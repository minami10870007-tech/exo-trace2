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22.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22.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5.xml" ContentType="application/vnd.openxmlformats-officedocument.drawing+xml"/>
  <Override PartName="/xl/drawings/drawing14.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16.xml" ContentType="application/vnd.openxmlformats-officedocument.drawing+xml"/>
  <Override PartName="/xl/drawings/drawing7.xml" ContentType="application/vnd.openxmlformats-officedocument.drawing+xml"/>
  <Override PartName="/xl/comments2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表紙" sheetId="1" state="visible" r:id="rId3"/>
    <sheet name="改訂履歴" sheetId="2" state="visible" r:id="rId4"/>
    <sheet name="レビュー記録" sheetId="3" state="visible" r:id="rId5"/>
    <sheet name="システム概要" sheetId="4" state="visible" r:id="rId6"/>
    <sheet name="業務フロー" sheetId="5" state="visible" r:id="rId7"/>
    <sheet name="機能一覧" sheetId="6" state="visible" r:id="rId8"/>
    <sheet name="画面一覧" sheetId="7" state="visible" r:id="rId9"/>
    <sheet name="画面項目定義" sheetId="8" state="visible" r:id="rId10"/>
    <sheet name="API一覧" sheetId="9" state="visible" r:id="rId11"/>
    <sheet name="処理詳細" sheetId="10" state="visible" r:id="rId12"/>
    <sheet name="業務ルール" sheetId="11" state="visible" r:id="rId13"/>
    <sheet name="状態遷移" sheetId="12" state="visible" r:id="rId14"/>
    <sheet name="テーブル一覧" sheetId="13" state="visible" r:id="rId15"/>
    <sheet name="項目定義" sheetId="14" state="visible" r:id="rId16"/>
    <sheet name="インデックス・制約" sheetId="15" state="visible" r:id="rId17"/>
    <sheet name="DDL" sheetId="16" state="visible" r:id="rId18"/>
    <sheet name="主要SQL" sheetId="17" state="visible" r:id="rId19"/>
    <sheet name="コード定義" sheetId="18" state="visible" r:id="rId20"/>
    <sheet name="権限マトリクス" sheetId="19" state="visible" r:id="rId21"/>
    <sheet name="メッセージ一覧" sheetId="20" state="visible" r:id="rId22"/>
    <sheet name="帳票一覧" sheetId="21" state="visible" r:id="rId23"/>
    <sheet name="バッチ一覧" sheetId="22" state="visible" r:id="rId24"/>
    <sheet name="非機能要件" sheetId="23" state="visible" r:id="rId25"/>
    <sheet name="課題一覧" sheetId="24" state="visible" r:id="rId26"/>
  </sheets>
  <definedNames>
    <definedName function="false" hidden="true" localSheetId="8" name="_xlnm._FilterDatabase" vbProcedure="false">API一覧!$A$3:$G$46</definedName>
    <definedName function="false" hidden="true" localSheetId="14" name="_xlnm._FilterDatabase" vbProcedure="false">インデックス・制約!$A$3:$E$38</definedName>
    <definedName function="false" hidden="true" localSheetId="17" name="_xlnm._FilterDatabase" vbProcedure="false">コード定義!$A$3:$D$45</definedName>
    <definedName function="false" hidden="true" localSheetId="3" name="_xlnm._FilterDatabase" vbProcedure="false">システム概要!$A$3:$B$12</definedName>
    <definedName function="false" hidden="true" localSheetId="12" name="_xlnm._FilterDatabase" vbProcedure="false">テーブル一覧!$A$3:$F$28</definedName>
    <definedName function="false" hidden="true" localSheetId="21" name="_xlnm._FilterDatabase" vbProcedure="false">バッチ一覧!$A$3:$E$8</definedName>
    <definedName function="false" hidden="true" localSheetId="19" name="_xlnm._FilterDatabase" vbProcedure="false">メッセージ一覧!$A$3:$D$22</definedName>
    <definedName function="false" hidden="true" localSheetId="2" name="_xlnm._FilterDatabase" vbProcedure="false">レビュー記録!$A$3:$G$4</definedName>
    <definedName function="false" hidden="true" localSheetId="16" name="_xlnm._FilterDatabase" vbProcedure="false">主要SQL!$A$3:$C$7</definedName>
    <definedName function="false" hidden="true" localSheetId="9" name="_xlnm._FilterDatabase" vbProcedure="false">処理詳細!$A$3:$E$47</definedName>
    <definedName function="false" hidden="true" localSheetId="20" name="_xlnm._FilterDatabase" vbProcedure="false">帳票一覧!$A$3:$F$11</definedName>
    <definedName function="false" hidden="true" localSheetId="1" name="_xlnm._FilterDatabase" vbProcedure="false">改訂履歴!$A$3:$E$4</definedName>
    <definedName function="false" hidden="true" localSheetId="4" name="_xlnm._FilterDatabase" vbProcedure="false">業務フロー!$A$3:$G$13</definedName>
    <definedName function="false" hidden="true" localSheetId="10" name="_xlnm._FilterDatabase" vbProcedure="false">業務ルール!$A$3:$D$19</definedName>
    <definedName function="false" hidden="true" localSheetId="18" name="_xlnm._FilterDatabase" vbProcedure="false">権限マトリクス!$A$3:$H$37</definedName>
    <definedName function="false" hidden="true" localSheetId="5" name="_xlnm._FilterDatabase" vbProcedure="false">機能一覧!$A$3:$F$37</definedName>
    <definedName function="false" hidden="true" localSheetId="11" name="_xlnm._FilterDatabase" vbProcedure="false">状態遷移!$A$3:$F$23</definedName>
    <definedName function="false" hidden="true" localSheetId="6" name="_xlnm._FilterDatabase" vbProcedure="false">画面一覧!$A$3:$E$27</definedName>
    <definedName function="false" hidden="true" localSheetId="7" name="_xlnm._FilterDatabase" vbProcedure="false">画面項目定義!$A$3:$K$65</definedName>
    <definedName function="false" hidden="true" localSheetId="23" name="_xlnm._FilterDatabase" vbProcedure="false">課題一覧!$A$3:$G$11</definedName>
    <definedName function="false" hidden="true" localSheetId="22" name="_xlnm._FilterDatabase" vbProcedure="false">非機能要件!$A$3:$C$19</definedName>
    <definedName function="false" hidden="true" localSheetId="13" name="_xlnm._FilterDatabase" vbProcedure="false">項目定義!$A$3:$K$353</definedName>
  </definedNames>
  <calcPr iterateCount="100" refMode="A1" iterate="false" iterateDelta="0.0001"/>
  <extLst>
    <ext xmlns:loext="http://schemas.libreoffice.org/" uri="{7626C862-2A13-11E5-B345-FEFF819CDC9F}">
      <loext:extCalcPr stringRefSyntax="ExcelA1"/>
    </ext>
  </extLst>
</workbook>
</file>

<file path=xl/comments24.xml><?xml version="1.0" encoding="utf-8"?>
<comments xmlns="http://schemas.openxmlformats.org/spreadsheetml/2006/main" xmlns:xdr="http://schemas.openxmlformats.org/drawingml/2006/spreadsheetDrawing">
  <authors>
    <author>Unknown Author</author>
  </authors>
  <commentList>
    <comment ref="G3" authorId="0">
      <text>
        <r>
          <rPr>
            <sz val="10"/>
            <rFont val="WenQuanYi Zen Hei"/>
            <family val="2"/>
          </rPr>
          <t xml:space="preserve">決定内容を記入し、</t>
        </r>
        <r>
          <rPr>
            <sz val="10"/>
            <rFont val="Arial"/>
            <family val="2"/>
          </rPr>
          <t xml:space="preserve">spec.py </t>
        </r>
        <r>
          <rPr>
            <sz val="10"/>
            <rFont val="WenQuanYi Zen Hei"/>
            <family val="2"/>
          </rPr>
          <t xml:space="preserve">に反映して再生成する</t>
        </r>
      </text>
    </comment>
  </commentList>
</comments>
</file>

<file path=xl/sharedStrings.xml><?xml version="1.0" encoding="utf-8"?>
<sst xmlns="http://schemas.openxmlformats.org/spreadsheetml/2006/main" count="5591" uniqueCount="2369">
  <si>
    <r>
      <rPr>
        <b val="true"/>
        <sz val="16"/>
        <color rgb="FF1F4E5F"/>
        <rFont val="WenQuanYi Zen Hei"/>
        <family val="2"/>
      </rPr>
      <t xml:space="preserve">エクソソーム仕入・販売トレーサビリティ管理システム（</t>
    </r>
    <r>
      <rPr>
        <b val="true"/>
        <sz val="16"/>
        <color rgb="FF1F4E5F"/>
        <rFont val="Arial"/>
        <family val="0"/>
        <charset val="1"/>
      </rPr>
      <t xml:space="preserve">EXO-TRACE</t>
    </r>
    <r>
      <rPr>
        <b val="true"/>
        <sz val="16"/>
        <color rgb="FF1F4E5F"/>
        <rFont val="WenQuanYi Zen Hei"/>
        <family val="2"/>
      </rPr>
      <t xml:space="preserve">）</t>
    </r>
  </si>
  <si>
    <t xml:space="preserve">詳細設計書</t>
  </si>
  <si>
    <t xml:space="preserve">版数</t>
  </si>
  <si>
    <t xml:space="preserve">1.0</t>
  </si>
  <si>
    <t xml:space="preserve">作成日</t>
  </si>
  <si>
    <t xml:space="preserve">2026-10-04</t>
  </si>
  <si>
    <t xml:space="preserve">最終更新日</t>
  </si>
  <si>
    <t xml:space="preserve">作成</t>
  </si>
  <si>
    <r>
      <rPr>
        <sz val="10"/>
        <rFont val="Arial"/>
        <family val="0"/>
        <charset val="1"/>
      </rPr>
      <t xml:space="preserve">Claude</t>
    </r>
    <r>
      <rPr>
        <sz val="10"/>
        <rFont val="WenQuanYi Zen Hei"/>
        <family val="2"/>
      </rPr>
      <t xml:space="preserve">（自動生成・自己レビュー済）</t>
    </r>
  </si>
  <si>
    <t xml:space="preserve">生成元</t>
  </si>
  <si>
    <r>
      <rPr>
        <sz val="10"/>
        <rFont val="Arial"/>
        <family val="0"/>
        <charset val="1"/>
      </rPr>
      <t xml:space="preserve">docs/design/tools/spec.py → build.py</t>
    </r>
    <r>
      <rPr>
        <sz val="10"/>
        <rFont val="WenQuanYi Zen Hei"/>
        <family val="2"/>
      </rPr>
      <t xml:space="preserve">（設計変更は </t>
    </r>
    <r>
      <rPr>
        <sz val="10"/>
        <rFont val="Arial"/>
        <family val="0"/>
        <charset val="1"/>
      </rPr>
      <t xml:space="preserve">spec.py </t>
    </r>
    <r>
      <rPr>
        <sz val="10"/>
        <rFont val="WenQuanYi Zen Hei"/>
        <family val="2"/>
      </rPr>
      <t xml:space="preserve">を編集し再生成）</t>
    </r>
  </si>
  <si>
    <t xml:space="preserve">設計規模サマリ（各シートから自動集計）</t>
  </si>
  <si>
    <t xml:space="preserve">機能数</t>
  </si>
  <si>
    <r>
      <rPr>
        <sz val="10"/>
        <rFont val="WenQuanYi Zen Hei"/>
        <family val="2"/>
      </rPr>
      <t xml:space="preserve">  うち </t>
    </r>
    <r>
      <rPr>
        <sz val="10"/>
        <rFont val="Arial"/>
        <family val="0"/>
        <charset val="1"/>
      </rPr>
      <t xml:space="preserve">MUST</t>
    </r>
  </si>
  <si>
    <t xml:space="preserve">画面数</t>
  </si>
  <si>
    <t xml:space="preserve">画面項目数</t>
  </si>
  <si>
    <r>
      <rPr>
        <sz val="10"/>
        <rFont val="Arial"/>
        <family val="0"/>
        <charset val="1"/>
      </rPr>
      <t xml:space="preserve">API</t>
    </r>
    <r>
      <rPr>
        <sz val="10"/>
        <rFont val="WenQuanYi Zen Hei"/>
        <family val="2"/>
      </rPr>
      <t xml:space="preserve">数</t>
    </r>
  </si>
  <si>
    <t xml:space="preserve">テーブル数</t>
  </si>
  <si>
    <t xml:space="preserve">カラム数（共通カラム含む）</t>
  </si>
  <si>
    <t xml:space="preserve">業務ルール数</t>
  </si>
  <si>
    <t xml:space="preserve">未対応の課題</t>
  </si>
  <si>
    <t xml:space="preserve">レビュー指摘数（累計）</t>
  </si>
  <si>
    <t xml:space="preserve">  うち 対応済</t>
  </si>
  <si>
    <t xml:space="preserve">目次（クリックで移動）</t>
  </si>
  <si>
    <t xml:space="preserve">No</t>
  </si>
  <si>
    <t xml:space="preserve">シート</t>
  </si>
  <si>
    <t xml:space="preserve">内容</t>
  </si>
  <si>
    <t xml:space="preserve">改訂履歴</t>
  </si>
  <si>
    <t xml:space="preserve">版ごとの変更内容</t>
  </si>
  <si>
    <t xml:space="preserve">レビュー記録</t>
  </si>
  <si>
    <t xml:space="preserve">自己レビュー（修正ループ）の指摘と対応</t>
  </si>
  <si>
    <t xml:space="preserve">システム概要</t>
  </si>
  <si>
    <t xml:space="preserve">目的・スコープ・前提・構成</t>
  </si>
  <si>
    <t xml:space="preserve">業務フロー</t>
  </si>
  <si>
    <t xml:space="preserve">業務の流れと関連機能・データ</t>
  </si>
  <si>
    <t xml:space="preserve">機能一覧</t>
  </si>
  <si>
    <r>
      <rPr>
        <sz val="10"/>
        <rFont val="WenQuanYi Zen Hei"/>
        <family val="2"/>
      </rPr>
      <t xml:space="preserve">機能</t>
    </r>
    <r>
      <rPr>
        <sz val="10"/>
        <rFont val="Arial"/>
        <family val="0"/>
        <charset val="1"/>
      </rPr>
      <t xml:space="preserve">ID</t>
    </r>
    <r>
      <rPr>
        <sz val="10"/>
        <rFont val="WenQuanYi Zen Hei"/>
        <family val="2"/>
      </rPr>
      <t xml:space="preserve">・優先度・関連画面</t>
    </r>
  </si>
  <si>
    <t xml:space="preserve">画面一覧</t>
  </si>
  <si>
    <r>
      <rPr>
        <sz val="10"/>
        <rFont val="WenQuanYi Zen Hei"/>
        <family val="2"/>
      </rPr>
      <t xml:space="preserve">画面</t>
    </r>
    <r>
      <rPr>
        <sz val="10"/>
        <rFont val="Arial"/>
        <family val="0"/>
        <charset val="1"/>
      </rPr>
      <t xml:space="preserve">ID</t>
    </r>
    <r>
      <rPr>
        <sz val="10"/>
        <rFont val="WenQuanYi Zen Hei"/>
        <family val="2"/>
      </rPr>
      <t xml:space="preserve">・概要・操作</t>
    </r>
  </si>
  <si>
    <t xml:space="preserve">画面項目定義</t>
  </si>
  <si>
    <t xml:space="preserve">主要画面の入出力項目とチェック</t>
  </si>
  <si>
    <t xml:space="preserve">API一覧</t>
  </si>
  <si>
    <r>
      <rPr>
        <sz val="10"/>
        <rFont val="Arial"/>
        <family val="0"/>
        <charset val="1"/>
      </rPr>
      <t xml:space="preserve">REST API</t>
    </r>
    <r>
      <rPr>
        <sz val="10"/>
        <rFont val="WenQuanYi Zen Hei"/>
        <family val="2"/>
      </rPr>
      <t xml:space="preserve">・許可ロール・処理詳細</t>
    </r>
  </si>
  <si>
    <t xml:space="preserve">処理詳細</t>
  </si>
  <si>
    <t xml:space="preserve">主要処理のステップ・トランザクション・エラー</t>
  </si>
  <si>
    <t xml:space="preserve">業務ルール</t>
  </si>
  <si>
    <t xml:space="preserve">業務ルール・バリデーション</t>
  </si>
  <si>
    <t xml:space="preserve">状態遷移</t>
  </si>
  <si>
    <r>
      <rPr>
        <sz val="10"/>
        <rFont val="WenQuanYi Zen Hei"/>
        <family val="2"/>
      </rPr>
      <t xml:space="preserve">ロット</t>
    </r>
    <r>
      <rPr>
        <sz val="10"/>
        <rFont val="Arial"/>
        <family val="0"/>
        <charset val="1"/>
      </rPr>
      <t xml:space="preserve">/</t>
    </r>
    <r>
      <rPr>
        <sz val="10"/>
        <rFont val="WenQuanYi Zen Hei"/>
        <family val="2"/>
      </rPr>
      <t xml:space="preserve">発注</t>
    </r>
    <r>
      <rPr>
        <sz val="10"/>
        <rFont val="Arial"/>
        <family val="0"/>
        <charset val="1"/>
      </rPr>
      <t xml:space="preserve">/</t>
    </r>
    <r>
      <rPr>
        <sz val="10"/>
        <rFont val="WenQuanYi Zen Hei"/>
        <family val="2"/>
      </rPr>
      <t xml:space="preserve">受注</t>
    </r>
    <r>
      <rPr>
        <sz val="10"/>
        <rFont val="Arial"/>
        <family val="0"/>
        <charset val="1"/>
      </rPr>
      <t xml:space="preserve">/</t>
    </r>
    <r>
      <rPr>
        <sz val="10"/>
        <rFont val="WenQuanYi Zen Hei"/>
        <family val="2"/>
      </rPr>
      <t xml:space="preserve">出荷</t>
    </r>
    <r>
      <rPr>
        <sz val="10"/>
        <rFont val="Arial"/>
        <family val="0"/>
        <charset val="1"/>
      </rPr>
      <t xml:space="preserve">/</t>
    </r>
    <r>
      <rPr>
        <sz val="10"/>
        <rFont val="WenQuanYi Zen Hei"/>
        <family val="2"/>
      </rPr>
      <t xml:space="preserve">回収の状態遷移</t>
    </r>
  </si>
  <si>
    <t xml:space="preserve">テーブル一覧</t>
  </si>
  <si>
    <r>
      <rPr>
        <sz val="10"/>
        <rFont val="WenQuanYi Zen Hei"/>
        <family val="2"/>
      </rPr>
      <t xml:space="preserve">テーブル一覧（</t>
    </r>
    <r>
      <rPr>
        <sz val="10"/>
        <rFont val="Arial"/>
        <family val="0"/>
        <charset val="1"/>
      </rPr>
      <t xml:space="preserve">ER</t>
    </r>
    <r>
      <rPr>
        <sz val="10"/>
        <rFont val="WenQuanYi Zen Hei"/>
        <family val="2"/>
      </rPr>
      <t xml:space="preserve">概要）</t>
    </r>
  </si>
  <si>
    <t xml:space="preserve">項目定義</t>
  </si>
  <si>
    <t xml:space="preserve">全テーブルの項目定義</t>
  </si>
  <si>
    <t xml:space="preserve">インデックス・制約</t>
  </si>
  <si>
    <r>
      <rPr>
        <sz val="10"/>
        <rFont val="WenQuanYi Zen Hei"/>
        <family val="2"/>
      </rPr>
      <t xml:space="preserve">一意制約・</t>
    </r>
    <r>
      <rPr>
        <sz val="10"/>
        <rFont val="Arial"/>
        <family val="0"/>
        <charset val="1"/>
      </rPr>
      <t xml:space="preserve">CHECK</t>
    </r>
    <r>
      <rPr>
        <sz val="10"/>
        <rFont val="WenQuanYi Zen Hei"/>
        <family val="2"/>
      </rPr>
      <t xml:space="preserve">・インデックス</t>
    </r>
  </si>
  <si>
    <t xml:space="preserve">DDL</t>
  </si>
  <si>
    <r>
      <rPr>
        <sz val="10"/>
        <rFont val="Arial"/>
        <family val="0"/>
        <charset val="1"/>
      </rPr>
      <t xml:space="preserve">PostgreSQL</t>
    </r>
    <r>
      <rPr>
        <sz val="10"/>
        <rFont val="WenQuanYi Zen Hei"/>
        <family val="2"/>
      </rPr>
      <t xml:space="preserve">用 </t>
    </r>
    <r>
      <rPr>
        <sz val="10"/>
        <rFont val="Arial"/>
        <family val="0"/>
        <charset val="1"/>
      </rPr>
      <t xml:space="preserve">CREATE TABLE</t>
    </r>
    <r>
      <rPr>
        <sz val="10"/>
        <rFont val="WenQuanYi Zen Hei"/>
        <family val="2"/>
      </rPr>
      <t xml:space="preserve">（項目定義から自動生成）</t>
    </r>
  </si>
  <si>
    <t xml:space="preserve">主要SQL</t>
  </si>
  <si>
    <r>
      <rPr>
        <sz val="10"/>
        <rFont val="WenQuanYi Zen Hei"/>
        <family val="2"/>
      </rPr>
      <t xml:space="preserve">トレース・回収抽出・整合性チェック</t>
    </r>
    <r>
      <rPr>
        <sz val="10"/>
        <rFont val="Arial"/>
        <family val="0"/>
        <charset val="1"/>
      </rPr>
      <t xml:space="preserve">SQL</t>
    </r>
  </si>
  <si>
    <t xml:space="preserve">コード定義</t>
  </si>
  <si>
    <t xml:space="preserve">コード値の定義</t>
  </si>
  <si>
    <t xml:space="preserve">権限マトリクス</t>
  </si>
  <si>
    <r>
      <rPr>
        <sz val="10"/>
        <rFont val="WenQuanYi Zen Hei"/>
        <family val="2"/>
      </rPr>
      <t xml:space="preserve">機能</t>
    </r>
    <r>
      <rPr>
        <sz val="10"/>
        <rFont val="Arial"/>
        <family val="0"/>
        <charset val="1"/>
      </rPr>
      <t xml:space="preserve">×</t>
    </r>
    <r>
      <rPr>
        <sz val="10"/>
        <rFont val="WenQuanYi Zen Hei"/>
        <family val="2"/>
      </rPr>
      <t xml:space="preserve">ロールの権限</t>
    </r>
  </si>
  <si>
    <t xml:space="preserve">メッセージ一覧</t>
  </si>
  <si>
    <t xml:space="preserve">画面メッセージ</t>
  </si>
  <si>
    <t xml:space="preserve">帳票一覧</t>
  </si>
  <si>
    <r>
      <rPr>
        <sz val="10"/>
        <rFont val="WenQuanYi Zen Hei"/>
        <family val="2"/>
      </rPr>
      <t xml:space="preserve">帳票・</t>
    </r>
    <r>
      <rPr>
        <sz val="10"/>
        <rFont val="Arial"/>
        <family val="0"/>
        <charset val="1"/>
      </rPr>
      <t xml:space="preserve">CSV</t>
    </r>
    <r>
      <rPr>
        <sz val="10"/>
        <rFont val="WenQuanYi Zen Hei"/>
        <family val="2"/>
      </rPr>
      <t xml:space="preserve">出力</t>
    </r>
  </si>
  <si>
    <t xml:space="preserve">バッチ一覧</t>
  </si>
  <si>
    <t xml:space="preserve">定期バッチ</t>
  </si>
  <si>
    <t xml:space="preserve">非機能要件</t>
  </si>
  <si>
    <t xml:space="preserve">性能・セキュリティ・運用等</t>
  </si>
  <si>
    <t xml:space="preserve">課題一覧</t>
  </si>
  <si>
    <t xml:space="preserve">未決事項・確認事項</t>
  </si>
  <si>
    <t xml:space="preserve">凡例</t>
  </si>
  <si>
    <t xml:space="preserve">表の見出し</t>
  </si>
  <si>
    <t xml:space="preserve">グループ見出し（テーブル名・処理名等）</t>
  </si>
  <si>
    <t xml:space="preserve">トレーサビリティ上の重要項目（★）</t>
  </si>
  <si>
    <t xml:space="preserve">課題一覧：ステータス／回答欄は記入可（プルダウン）</t>
  </si>
  <si>
    <t xml:space="preserve">← 表紙へ</t>
  </si>
  <si>
    <t xml:space="preserve">版</t>
  </si>
  <si>
    <t xml:space="preserve">日付</t>
  </si>
  <si>
    <t xml:space="preserve">区分</t>
  </si>
  <si>
    <r>
      <rPr>
        <b val="true"/>
        <sz val="10"/>
        <color rgb="FFFFFFFF"/>
        <rFont val="WenQuanYi Zen Hei"/>
        <family val="2"/>
      </rPr>
      <t xml:space="preserve">作成</t>
    </r>
    <r>
      <rPr>
        <b val="true"/>
        <sz val="10"/>
        <color rgb="FFFFFFFF"/>
        <rFont val="Arial"/>
        <family val="0"/>
        <charset val="1"/>
      </rPr>
      <t xml:space="preserve">/</t>
    </r>
    <r>
      <rPr>
        <b val="true"/>
        <sz val="10"/>
        <color rgb="FFFFFFFF"/>
        <rFont val="WenQuanYi Zen Hei"/>
        <family val="2"/>
      </rPr>
      <t xml:space="preserve">修正者</t>
    </r>
  </si>
  <si>
    <t xml:space="preserve">0.1</t>
  </si>
  <si>
    <t xml:space="preserve">新規</t>
  </si>
  <si>
    <t xml:space="preserve">初版作成（概要・機能・画面・テーブル・項目定義・権限・非機能）</t>
  </si>
  <si>
    <t xml:space="preserve">Claude</t>
  </si>
  <si>
    <t xml:space="preserve">レビュー記録（自己修正ループ）</t>
  </si>
  <si>
    <r>
      <rPr>
        <i val="true"/>
        <sz val="9"/>
        <color rgb="FF595959"/>
        <rFont val="WenQuanYi Zen Hei"/>
        <family val="2"/>
      </rPr>
      <t xml:space="preserve">自動整合性チェック（</t>
    </r>
    <r>
      <rPr>
        <i val="true"/>
        <sz val="9"/>
        <color rgb="FF595959"/>
        <rFont val="Arial"/>
        <family val="0"/>
        <charset val="1"/>
      </rPr>
      <t xml:space="preserve">tools/check.py</t>
    </r>
    <r>
      <rPr>
        <i val="true"/>
        <sz val="9"/>
        <color rgb="FF595959"/>
        <rFont val="WenQuanYi Zen Hei"/>
        <family val="2"/>
      </rPr>
      <t xml:space="preserve">）と、別エージェントによる設計レビューの指摘・対応を記録</t>
    </r>
  </si>
  <si>
    <t xml:space="preserve">回</t>
  </si>
  <si>
    <t xml:space="preserve">観点</t>
  </si>
  <si>
    <t xml:space="preserve">指摘内容</t>
  </si>
  <si>
    <t xml:space="preserve">対応内容</t>
  </si>
  <si>
    <t xml:space="preserve">状態</t>
  </si>
  <si>
    <t xml:space="preserve">対応版</t>
  </si>
  <si>
    <t xml:space="preserve">項目</t>
  </si>
  <si>
    <t xml:space="preserve">目的</t>
  </si>
  <si>
    <t xml:space="preserve">エクソソーム製品（原料・製剤）の仕入から在庫・販売・回収までをロット単位で一元管理し、「どのロットを・いつ・どの顧客に・どれだけ販売したか」を即時に追跡できる状態にする。</t>
  </si>
  <si>
    <t xml:space="preserve">背景・課題</t>
  </si>
  <si>
    <r>
      <rPr>
        <sz val="10"/>
        <rFont val="WenQuanYi Zen Hei"/>
        <family val="2"/>
      </rPr>
      <t xml:space="preserve">現状は仕入台帳・在庫表・販売台帳が</t>
    </r>
    <r>
      <rPr>
        <sz val="10"/>
        <rFont val="Arial"/>
        <family val="0"/>
        <charset val="1"/>
      </rPr>
      <t xml:space="preserve">Excel</t>
    </r>
    <r>
      <rPr>
        <sz val="10"/>
        <rFont val="WenQuanYi Zen Hei"/>
        <family val="2"/>
      </rPr>
      <t xml:space="preserve">等で分散しており、①ロットと販売先の紐付けが手作業 ②使用期限切れ・温度逸脱の見落とし ③品質問題発生時に販売先の特定に時間がかかる、という課題がある。</t>
    </r>
  </si>
  <si>
    <t xml:space="preserve">スコープ（対象）</t>
  </si>
  <si>
    <r>
      <rPr>
        <sz val="10"/>
        <rFont val="WenQuanYi Zen Hei"/>
        <family val="2"/>
      </rPr>
      <t xml:space="preserve">仕入先・商品・顧客マスタ管理／発注／入荷・受入検品／ロット・在庫管理／受注・出荷（ロット引当）／返品／回収（リコール）／温度記録／帳票・</t>
    </r>
    <r>
      <rPr>
        <sz val="10"/>
        <rFont val="Arial"/>
        <family val="0"/>
        <charset val="1"/>
      </rPr>
      <t xml:space="preserve">CSV</t>
    </r>
    <r>
      <rPr>
        <sz val="10"/>
        <rFont val="WenQuanYi Zen Hei"/>
        <family val="2"/>
      </rPr>
      <t xml:space="preserve">出力／監査ログ</t>
    </r>
  </si>
  <si>
    <t xml:space="preserve">スコープ（対象外）</t>
  </si>
  <si>
    <r>
      <rPr>
        <sz val="10"/>
        <rFont val="WenQuanYi Zen Hei"/>
        <family val="2"/>
      </rPr>
      <t xml:space="preserve">会計システム本体（仕訳は</t>
    </r>
    <r>
      <rPr>
        <sz val="10"/>
        <rFont val="Arial"/>
        <family val="0"/>
        <charset val="1"/>
      </rPr>
      <t xml:space="preserve">CSV</t>
    </r>
    <r>
      <rPr>
        <sz val="10"/>
        <rFont val="WenQuanYi Zen Hei"/>
        <family val="2"/>
      </rPr>
      <t xml:space="preserve">連携のみ）／</t>
    </r>
    <r>
      <rPr>
        <sz val="10"/>
        <rFont val="Arial"/>
        <family val="0"/>
        <charset val="1"/>
      </rPr>
      <t xml:space="preserve">EC</t>
    </r>
    <r>
      <rPr>
        <sz val="10"/>
        <rFont val="WenQuanYi Zen Hei"/>
        <family val="2"/>
      </rPr>
      <t xml:space="preserve">サイト／患者・施術記録（医療機関側の管理範囲）</t>
    </r>
  </si>
  <si>
    <t xml:space="preserve">利用者</t>
  </si>
  <si>
    <r>
      <rPr>
        <sz val="10"/>
        <rFont val="WenQuanYi Zen Hei"/>
        <family val="2"/>
      </rPr>
      <t xml:space="preserve">経営者・管理者、仕入担当、倉庫（入出庫）担当、営業担当、品質保証（</t>
    </r>
    <r>
      <rPr>
        <sz val="10"/>
        <rFont val="Arial"/>
        <family val="0"/>
        <charset val="1"/>
      </rPr>
      <t xml:space="preserve">QA</t>
    </r>
    <r>
      <rPr>
        <sz val="10"/>
        <rFont val="WenQuanYi Zen Hei"/>
        <family val="2"/>
      </rPr>
      <t xml:space="preserve">）担当</t>
    </r>
  </si>
  <si>
    <t xml:space="preserve">想定規模</t>
  </si>
  <si>
    <r>
      <rPr>
        <sz val="10"/>
        <rFont val="WenQuanYi Zen Hei"/>
        <family val="2"/>
      </rPr>
      <t xml:space="preserve">商品 〜</t>
    </r>
    <r>
      <rPr>
        <sz val="10"/>
        <rFont val="Arial"/>
        <family val="0"/>
        <charset val="1"/>
      </rPr>
      <t xml:space="preserve">100</t>
    </r>
    <r>
      <rPr>
        <sz val="10"/>
        <rFont val="WenQuanYi Zen Hei"/>
        <family val="2"/>
      </rPr>
      <t xml:space="preserve">品目／顧客 〜</t>
    </r>
    <r>
      <rPr>
        <sz val="10"/>
        <rFont val="Arial"/>
        <family val="0"/>
        <charset val="1"/>
      </rPr>
      <t xml:space="preserve">2,000</t>
    </r>
    <r>
      <rPr>
        <sz val="10"/>
        <rFont val="WenQuanYi Zen Hei"/>
        <family val="2"/>
      </rPr>
      <t xml:space="preserve">件／ロット 〜</t>
    </r>
    <r>
      <rPr>
        <sz val="10"/>
        <rFont val="Arial"/>
        <family val="0"/>
        <charset val="1"/>
      </rPr>
      <t xml:space="preserve">1,000</t>
    </r>
    <r>
      <rPr>
        <sz val="10"/>
        <rFont val="WenQuanYi Zen Hei"/>
        <family val="2"/>
      </rPr>
      <t xml:space="preserve">件</t>
    </r>
    <r>
      <rPr>
        <sz val="10"/>
        <rFont val="Arial"/>
        <family val="0"/>
        <charset val="1"/>
      </rPr>
      <t xml:space="preserve">/</t>
    </r>
    <r>
      <rPr>
        <sz val="10"/>
        <rFont val="WenQuanYi Zen Hei"/>
        <family val="2"/>
      </rPr>
      <t xml:space="preserve">年／出荷 〜</t>
    </r>
    <r>
      <rPr>
        <sz val="10"/>
        <rFont val="Arial"/>
        <family val="0"/>
        <charset val="1"/>
      </rPr>
      <t xml:space="preserve">10,000</t>
    </r>
    <r>
      <rPr>
        <sz val="10"/>
        <rFont val="WenQuanYi Zen Hei"/>
        <family val="2"/>
      </rPr>
      <t xml:space="preserve">明細</t>
    </r>
    <r>
      <rPr>
        <sz val="10"/>
        <rFont val="Arial"/>
        <family val="0"/>
        <charset val="1"/>
      </rPr>
      <t xml:space="preserve">/</t>
    </r>
    <r>
      <rPr>
        <sz val="10"/>
        <rFont val="WenQuanYi Zen Hei"/>
        <family val="2"/>
      </rPr>
      <t xml:space="preserve">年／同時利用 〜</t>
    </r>
    <r>
      <rPr>
        <sz val="10"/>
        <rFont val="Arial"/>
        <family val="0"/>
        <charset val="1"/>
      </rPr>
      <t xml:space="preserve">20</t>
    </r>
    <r>
      <rPr>
        <sz val="10"/>
        <rFont val="WenQuanYi Zen Hei"/>
        <family val="2"/>
      </rPr>
      <t xml:space="preserve">名</t>
    </r>
  </si>
  <si>
    <t xml:space="preserve">トレーサビリティの原則</t>
  </si>
  <si>
    <t xml:space="preserve">①全ての在庫はロット番号（＋保管場所）単位で保持する ②出荷明細には必ずロットを紐付ける（ロット未指定の出荷は登録不可） ③在庫数量の増減は全て在庫移動履歴に記録し、直接更新しない ④確定済み伝票は物理削除せず、取消伝票（赤伝）で打ち消す</t>
  </si>
  <si>
    <t xml:space="preserve">規制・コンプライアンス前提</t>
  </si>
  <si>
    <t xml:space="preserve">エクソソーム製品の法的区分（化粧品原料／研究用試薬／医療機関向け自由診療用途等）は商品ごとに『規制区分』として保持し、区分に応じて販売可能な顧客区分を制限する。法規制（薬機法・再生医療等安全性確保法の改正動向等）は導入前に専門家確認を要する（課題一覧 参照）。</t>
  </si>
  <si>
    <t xml:space="preserve">システム構成（提案）</t>
  </si>
  <si>
    <r>
      <rPr>
        <sz val="10"/>
        <rFont val="Arial"/>
        <family val="0"/>
        <charset val="1"/>
      </rPr>
      <t xml:space="preserve">Web</t>
    </r>
    <r>
      <rPr>
        <sz val="10"/>
        <rFont val="WenQuanYi Zen Hei"/>
        <family val="2"/>
      </rPr>
      <t xml:space="preserve">アプリケーション（ブラウザ利用）。フロント：</t>
    </r>
    <r>
      <rPr>
        <sz val="10"/>
        <rFont val="Arial"/>
        <family val="0"/>
        <charset val="1"/>
      </rPr>
      <t xml:space="preserve">Next.js(TypeScript)</t>
    </r>
    <r>
      <rPr>
        <sz val="10"/>
        <rFont val="WenQuanYi Zen Hei"/>
        <family val="2"/>
      </rPr>
      <t xml:space="preserve">／</t>
    </r>
    <r>
      <rPr>
        <sz val="10"/>
        <rFont val="Arial"/>
        <family val="0"/>
        <charset val="1"/>
      </rPr>
      <t xml:space="preserve">API</t>
    </r>
    <r>
      <rPr>
        <sz val="10"/>
        <rFont val="WenQuanYi Zen Hei"/>
        <family val="2"/>
      </rPr>
      <t xml:space="preserve">：</t>
    </r>
    <r>
      <rPr>
        <sz val="10"/>
        <rFont val="Arial"/>
        <family val="0"/>
        <charset val="1"/>
      </rPr>
      <t xml:space="preserve">Node.js</t>
    </r>
    <r>
      <rPr>
        <sz val="10"/>
        <rFont val="WenQuanYi Zen Hei"/>
        <family val="2"/>
      </rPr>
      <t xml:space="preserve">／</t>
    </r>
    <r>
      <rPr>
        <sz val="10"/>
        <rFont val="Arial"/>
        <family val="0"/>
        <charset val="1"/>
      </rPr>
      <t xml:space="preserve">DB</t>
    </r>
    <r>
      <rPr>
        <sz val="10"/>
        <rFont val="WenQuanYi Zen Hei"/>
        <family val="2"/>
      </rPr>
      <t xml:space="preserve">：</t>
    </r>
    <r>
      <rPr>
        <sz val="10"/>
        <rFont val="Arial"/>
        <family val="0"/>
        <charset val="1"/>
      </rPr>
      <t xml:space="preserve">PostgreSQL</t>
    </r>
    <r>
      <rPr>
        <sz val="10"/>
        <rFont val="WenQuanYi Zen Hei"/>
        <family val="2"/>
      </rPr>
      <t xml:space="preserve">／ファイル保管：オブジェクトストレージ（</t>
    </r>
    <r>
      <rPr>
        <sz val="10"/>
        <rFont val="Arial"/>
        <family val="0"/>
        <charset val="1"/>
      </rPr>
      <t xml:space="preserve">COA</t>
    </r>
    <r>
      <rPr>
        <sz val="10"/>
        <rFont val="WenQuanYi Zen Hei"/>
        <family val="2"/>
      </rPr>
      <t xml:space="preserve">等</t>
    </r>
    <r>
      <rPr>
        <sz val="10"/>
        <rFont val="Arial"/>
        <family val="0"/>
        <charset val="1"/>
      </rPr>
      <t xml:space="preserve">PDF</t>
    </r>
    <r>
      <rPr>
        <sz val="10"/>
        <rFont val="WenQuanYi Zen Hei"/>
        <family val="2"/>
      </rPr>
      <t xml:space="preserve">）／認証：メール＋パスワード＋</t>
    </r>
    <r>
      <rPr>
        <sz val="10"/>
        <rFont val="Arial"/>
        <family val="0"/>
        <charset val="1"/>
      </rPr>
      <t xml:space="preserve">2</t>
    </r>
    <r>
      <rPr>
        <sz val="10"/>
        <rFont val="WenQuanYi Zen Hei"/>
        <family val="2"/>
      </rPr>
      <t xml:space="preserve">要素認証。小規模で先行する場合は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での簡易版も可（非機能要件 参照）。</t>
    </r>
  </si>
  <si>
    <t xml:space="preserve">仕入 → 受入検品 → 保管 → 受注 → ロット引当・出荷 → 返品／回収 の流れ。全工程でロット番号を引き継ぐ</t>
  </si>
  <si>
    <t xml:space="preserve">業務</t>
  </si>
  <si>
    <t xml:space="preserve">ステップ</t>
  </si>
  <si>
    <t xml:space="preserve">担当</t>
  </si>
  <si>
    <r>
      <rPr>
        <b val="true"/>
        <sz val="10"/>
        <color rgb="FFFFFFFF"/>
        <rFont val="WenQuanYi Zen Hei"/>
        <family val="2"/>
      </rPr>
      <t xml:space="preserve">関連機能</t>
    </r>
    <r>
      <rPr>
        <b val="true"/>
        <sz val="10"/>
        <color rgb="FFFFFFFF"/>
        <rFont val="Arial"/>
        <family val="0"/>
        <charset val="1"/>
      </rPr>
      <t xml:space="preserve">ID</t>
    </r>
  </si>
  <si>
    <r>
      <rPr>
        <b val="true"/>
        <sz val="10"/>
        <color rgb="FFFFFFFF"/>
        <rFont val="WenQuanYi Zen Hei"/>
        <family val="2"/>
      </rPr>
      <t xml:space="preserve">生成</t>
    </r>
    <r>
      <rPr>
        <b val="true"/>
        <sz val="10"/>
        <color rgb="FFFFFFFF"/>
        <rFont val="Arial"/>
        <family val="0"/>
        <charset val="1"/>
      </rPr>
      <t xml:space="preserve">/</t>
    </r>
    <r>
      <rPr>
        <b val="true"/>
        <sz val="10"/>
        <color rgb="FFFFFFFF"/>
        <rFont val="WenQuanYi Zen Hei"/>
        <family val="2"/>
      </rPr>
      <t xml:space="preserve">更新データ</t>
    </r>
  </si>
  <si>
    <t xml:space="preserve">F-01</t>
  </si>
  <si>
    <t xml:space="preserve">仕入</t>
  </si>
  <si>
    <t xml:space="preserve">発注</t>
  </si>
  <si>
    <t xml:space="preserve">仕入担当</t>
  </si>
  <si>
    <t xml:space="preserve">仕入先・商品・数量・希望納期を指定して発注書を作成し、承認後に仕入先へ送付する。</t>
  </si>
  <si>
    <t xml:space="preserve">PUR-01,PUR-02</t>
  </si>
  <si>
    <t xml:space="preserve">t_purchase_order, t_purchase_order_line</t>
  </si>
  <si>
    <t xml:space="preserve">F-02</t>
  </si>
  <si>
    <t xml:space="preserve">入荷登録</t>
  </si>
  <si>
    <t xml:space="preserve">倉庫担当</t>
  </si>
  <si>
    <t xml:space="preserve">納品物を発注と照合し、仕入先ロット番号・製造日・使用期限・数量・到着時温度を登録する。入荷時点のロットは『検品待ち』で、引当不可。</t>
  </si>
  <si>
    <t xml:space="preserve">RCV-01</t>
  </si>
  <si>
    <t xml:space="preserve">t_receipt, t_receipt_line, t_lot, t_inventory, t_stock_movement</t>
  </si>
  <si>
    <t xml:space="preserve">F-03</t>
  </si>
  <si>
    <t xml:space="preserve">受入検品</t>
  </si>
  <si>
    <r>
      <rPr>
        <sz val="10"/>
        <rFont val="Arial"/>
        <family val="0"/>
        <charset val="1"/>
      </rPr>
      <t xml:space="preserve">QA</t>
    </r>
    <r>
      <rPr>
        <sz val="10"/>
        <rFont val="WenQuanYi Zen Hei"/>
        <family val="2"/>
      </rPr>
      <t xml:space="preserve">担当</t>
    </r>
  </si>
  <si>
    <r>
      <rPr>
        <sz val="10"/>
        <rFont val="Arial"/>
        <family val="0"/>
        <charset val="1"/>
      </rPr>
      <t xml:space="preserve">COA</t>
    </r>
    <r>
      <rPr>
        <sz val="10"/>
        <rFont val="WenQuanYi Zen Hei"/>
        <family val="2"/>
      </rPr>
      <t xml:space="preserve">（試験成績書）・外観・温度記録を確認し、ロットを『合格』『不合格』『保留』に判定する。合格のみ出荷引当可能になる。</t>
    </r>
  </si>
  <si>
    <t xml:space="preserve">RCV-02,LOT-02</t>
  </si>
  <si>
    <t xml:space="preserve">t_lot, t_attachment</t>
  </si>
  <si>
    <t xml:space="preserve">F-04</t>
  </si>
  <si>
    <t xml:space="preserve">在庫</t>
  </si>
  <si>
    <t xml:space="preserve">保管・温度管理</t>
  </si>
  <si>
    <t xml:space="preserve">保管場所（冷凍庫等）ごとに温度を記録する。許容範囲外は温度逸脱として該当在庫ロットを『保留』にする。</t>
  </si>
  <si>
    <t xml:space="preserve">INV-04</t>
  </si>
  <si>
    <t xml:space="preserve">t_temperature_log, t_lot</t>
  </si>
  <si>
    <t xml:space="preserve">F-05</t>
  </si>
  <si>
    <t xml:space="preserve">販売</t>
  </si>
  <si>
    <t xml:space="preserve">受注</t>
  </si>
  <si>
    <t xml:space="preserve">営業担当</t>
  </si>
  <si>
    <t xml:space="preserve">顧客・納品先・商品・数量を登録する。商品の規制区分と顧客区分の組合せが販売不可の場合は登録できない。</t>
  </si>
  <si>
    <t xml:space="preserve">SAL-01</t>
  </si>
  <si>
    <t xml:space="preserve">t_sales_order, t_sales_order_line</t>
  </si>
  <si>
    <t xml:space="preserve">F-06</t>
  </si>
  <si>
    <t xml:space="preserve">出荷（ロット引当）</t>
  </si>
  <si>
    <r>
      <rPr>
        <sz val="10"/>
        <rFont val="WenQuanYi Zen Hei"/>
        <family val="2"/>
      </rPr>
      <t xml:space="preserve">受注明細に対してロットを引当（既定は使用期限の近い順＝</t>
    </r>
    <r>
      <rPr>
        <sz val="10"/>
        <rFont val="Arial"/>
        <family val="0"/>
        <charset val="1"/>
      </rPr>
      <t xml:space="preserve">FEFO</t>
    </r>
    <r>
      <rPr>
        <sz val="10"/>
        <rFont val="WenQuanYi Zen Hei"/>
        <family val="2"/>
      </rPr>
      <t xml:space="preserve">）し、出荷を確定する。出荷時点で残存有効期間が商品ごとの最低出荷残期間を下回るロットは引当不可。</t>
    </r>
  </si>
  <si>
    <t xml:space="preserve">SHP-01,SHP-02</t>
  </si>
  <si>
    <t xml:space="preserve">t_shipment, t_shipment_line, t_inventory, t_stock_movement</t>
  </si>
  <si>
    <t xml:space="preserve">F-07</t>
  </si>
  <si>
    <t xml:space="preserve">納品書・請求</t>
  </si>
  <si>
    <r>
      <rPr>
        <sz val="10"/>
        <rFont val="WenQuanYi Zen Hei"/>
        <family val="2"/>
      </rPr>
      <t xml:space="preserve">出荷確定後に納品書（ロット番号・使用期限記載）を発行し、請求データを会計連携</t>
    </r>
    <r>
      <rPr>
        <sz val="10"/>
        <rFont val="Arial"/>
        <family val="0"/>
        <charset val="1"/>
      </rPr>
      <t xml:space="preserve">CSV</t>
    </r>
    <r>
      <rPr>
        <sz val="10"/>
        <rFont val="WenQuanYi Zen Hei"/>
        <family val="2"/>
      </rPr>
      <t xml:space="preserve">で出力する。</t>
    </r>
  </si>
  <si>
    <t xml:space="preserve">SHP-03,RPT-05</t>
  </si>
  <si>
    <t xml:space="preserve">—</t>
  </si>
  <si>
    <t xml:space="preserve">F-08</t>
  </si>
  <si>
    <t xml:space="preserve">返品</t>
  </si>
  <si>
    <r>
      <rPr>
        <sz val="10"/>
        <rFont val="WenQuanYi Zen Hei"/>
        <family val="2"/>
      </rPr>
      <t xml:space="preserve">返品を元出荷明細（＝ロット）に紐付けて登録し、</t>
    </r>
    <r>
      <rPr>
        <sz val="10"/>
        <rFont val="Arial"/>
        <family val="0"/>
        <charset val="1"/>
      </rPr>
      <t xml:space="preserve">QA</t>
    </r>
    <r>
      <rPr>
        <sz val="10"/>
        <rFont val="WenQuanYi Zen Hei"/>
        <family val="2"/>
      </rPr>
      <t xml:space="preserve">判定後に在庫戻し </t>
    </r>
    <r>
      <rPr>
        <sz val="10"/>
        <rFont val="Arial"/>
        <family val="0"/>
        <charset val="1"/>
      </rPr>
      <t xml:space="preserve">or </t>
    </r>
    <r>
      <rPr>
        <sz val="10"/>
        <rFont val="WenQuanYi Zen Hei"/>
        <family val="2"/>
      </rPr>
      <t xml:space="preserve">廃棄とする。</t>
    </r>
  </si>
  <si>
    <t xml:space="preserve">RET-01</t>
  </si>
  <si>
    <t xml:space="preserve">t_return, t_inventory, t_stock_movement</t>
  </si>
  <si>
    <t xml:space="preserve">F-09</t>
  </si>
  <si>
    <t xml:space="preserve">品質</t>
  </si>
  <si>
    <t xml:space="preserve">回収（リコール）</t>
  </si>
  <si>
    <t xml:space="preserve">対象ロットを指定すると、出荷先顧客・数量を自動抽出する。ロットを『回収』にして出荷停止し、顧客ごとの連絡・回収状況を管理する。</t>
  </si>
  <si>
    <t xml:space="preserve">RCL-01,RCL-02,TRC-01</t>
  </si>
  <si>
    <t xml:space="preserve">t_recall, t_recall_target, t_lot</t>
  </si>
  <si>
    <t xml:space="preserve">F-10</t>
  </si>
  <si>
    <t xml:space="preserve">管理</t>
  </si>
  <si>
    <t xml:space="preserve">棚卸</t>
  </si>
  <si>
    <r>
      <rPr>
        <sz val="10"/>
        <rFont val="WenQuanYi Zen Hei"/>
        <family val="2"/>
      </rPr>
      <t xml:space="preserve">保管場所</t>
    </r>
    <r>
      <rPr>
        <sz val="10"/>
        <rFont val="Arial"/>
        <family val="0"/>
        <charset val="1"/>
      </rPr>
      <t xml:space="preserve">×</t>
    </r>
    <r>
      <rPr>
        <sz val="10"/>
        <rFont val="WenQuanYi Zen Hei"/>
        <family val="2"/>
      </rPr>
      <t xml:space="preserve">ロット単位で実数をカウントし、差異は理由付きの在庫調整として記録する。</t>
    </r>
  </si>
  <si>
    <t xml:space="preserve">INV-03</t>
  </si>
  <si>
    <t xml:space="preserve">t_stock_movement, t_inventory</t>
  </si>
  <si>
    <r>
      <rPr>
        <i val="true"/>
        <sz val="9"/>
        <color rgb="FF595959"/>
        <rFont val="WenQuanYi Zen Hei"/>
        <family val="2"/>
      </rPr>
      <t xml:space="preserve">優先度：</t>
    </r>
    <r>
      <rPr>
        <i val="true"/>
        <sz val="9"/>
        <color rgb="FF595959"/>
        <rFont val="Arial"/>
        <family val="0"/>
        <charset val="1"/>
      </rPr>
      <t xml:space="preserve">MUST</t>
    </r>
    <r>
      <rPr>
        <i val="true"/>
        <sz val="9"/>
        <color rgb="FF595959"/>
        <rFont val="WenQuanYi Zen Hei"/>
        <family val="2"/>
      </rPr>
      <t xml:space="preserve">＝初期リリース必須／</t>
    </r>
    <r>
      <rPr>
        <i val="true"/>
        <sz val="9"/>
        <color rgb="FF595959"/>
        <rFont val="Arial"/>
        <family val="0"/>
        <charset val="1"/>
      </rPr>
      <t xml:space="preserve">SHOULD</t>
    </r>
    <r>
      <rPr>
        <i val="true"/>
        <sz val="9"/>
        <color rgb="FF595959"/>
        <rFont val="WenQuanYi Zen Hei"/>
        <family val="2"/>
      </rPr>
      <t xml:space="preserve">＝初期リリース推奨／</t>
    </r>
    <r>
      <rPr>
        <i val="true"/>
        <sz val="9"/>
        <color rgb="FF595959"/>
        <rFont val="Arial"/>
        <family val="0"/>
        <charset val="1"/>
      </rPr>
      <t xml:space="preserve">COULD</t>
    </r>
    <r>
      <rPr>
        <i val="true"/>
        <sz val="9"/>
        <color rgb="FF595959"/>
        <rFont val="WenQuanYi Zen Hei"/>
        <family val="2"/>
      </rPr>
      <t xml:space="preserve">＝将来</t>
    </r>
  </si>
  <si>
    <r>
      <rPr>
        <b val="true"/>
        <sz val="10"/>
        <color rgb="FFFFFFFF"/>
        <rFont val="WenQuanYi Zen Hei"/>
        <family val="2"/>
      </rPr>
      <t xml:space="preserve">機能</t>
    </r>
    <r>
      <rPr>
        <b val="true"/>
        <sz val="10"/>
        <color rgb="FFFFFFFF"/>
        <rFont val="Arial"/>
        <family val="0"/>
        <charset val="1"/>
      </rPr>
      <t xml:space="preserve">ID</t>
    </r>
  </si>
  <si>
    <t xml:space="preserve">大分類</t>
  </si>
  <si>
    <t xml:space="preserve">機能名</t>
  </si>
  <si>
    <t xml:space="preserve">概要</t>
  </si>
  <si>
    <t xml:space="preserve">優先度</t>
  </si>
  <si>
    <r>
      <rPr>
        <b val="true"/>
        <sz val="10"/>
        <color rgb="FFFFFFFF"/>
        <rFont val="WenQuanYi Zen Hei"/>
        <family val="2"/>
      </rPr>
      <t xml:space="preserve">関連画面</t>
    </r>
    <r>
      <rPr>
        <b val="true"/>
        <sz val="10"/>
        <color rgb="FFFFFFFF"/>
        <rFont val="Arial"/>
        <family val="0"/>
        <charset val="1"/>
      </rPr>
      <t xml:space="preserve">ID</t>
    </r>
  </si>
  <si>
    <t xml:space="preserve">MST-01</t>
  </si>
  <si>
    <t xml:space="preserve">マスタ</t>
  </si>
  <si>
    <t xml:space="preserve">仕入先管理</t>
  </si>
  <si>
    <t xml:space="preserve">仕入先の登録・編集・無効化。取引条件・連絡先・取引開始日を保持。</t>
  </si>
  <si>
    <t xml:space="preserve">MUST</t>
  </si>
  <si>
    <t xml:space="preserve">SCR-11</t>
  </si>
  <si>
    <t xml:space="preserve">MST-02</t>
  </si>
  <si>
    <t xml:space="preserve">商品管理</t>
  </si>
  <si>
    <t xml:space="preserve">商品の登録・編集・無効化。形態・由来・保管温度区分・有効期間・最低出荷残期間・規制区分を保持。</t>
  </si>
  <si>
    <t xml:space="preserve">SCR-12</t>
  </si>
  <si>
    <t xml:space="preserve">MST-03</t>
  </si>
  <si>
    <t xml:space="preserve">顧客管理</t>
  </si>
  <si>
    <t xml:space="preserve">顧客（医療機関・サロン・代理店等）と納品先の登録・編集。顧客区分・医療機関コード・与信限度額を保持。</t>
  </si>
  <si>
    <t xml:space="preserve">SCR-13</t>
  </si>
  <si>
    <t xml:space="preserve">MST-04</t>
  </si>
  <si>
    <t xml:space="preserve">保管場所管理</t>
  </si>
  <si>
    <t xml:space="preserve">倉庫・冷凍庫等の保管場所と許容温度範囲の登録。</t>
  </si>
  <si>
    <t xml:space="preserve">SCR-14</t>
  </si>
  <si>
    <t xml:space="preserve">MST-05</t>
  </si>
  <si>
    <t xml:space="preserve">ユーザー・権限管理</t>
  </si>
  <si>
    <t xml:space="preserve">ユーザーの登録、ロール割当、アカウント停止。</t>
  </si>
  <si>
    <t xml:space="preserve">SCR-15</t>
  </si>
  <si>
    <t xml:space="preserve">MST-06</t>
  </si>
  <si>
    <t xml:space="preserve">販売可否ルール管理</t>
  </si>
  <si>
    <r>
      <rPr>
        <sz val="10"/>
        <rFont val="WenQuanYi Zen Hei"/>
        <family val="2"/>
      </rPr>
      <t xml:space="preserve">商品の規制区分</t>
    </r>
    <r>
      <rPr>
        <sz val="10"/>
        <rFont val="Arial"/>
        <family val="0"/>
        <charset val="1"/>
      </rPr>
      <t xml:space="preserve">×</t>
    </r>
    <r>
      <rPr>
        <sz val="10"/>
        <rFont val="WenQuanYi Zen Hei"/>
        <family val="2"/>
      </rPr>
      <t xml:space="preserve">顧客区分ごとの販売可否を設定。</t>
    </r>
  </si>
  <si>
    <t xml:space="preserve">SCR-16</t>
  </si>
  <si>
    <t xml:space="preserve">PUR-01</t>
  </si>
  <si>
    <t xml:space="preserve">発注登録</t>
  </si>
  <si>
    <t xml:space="preserve">発注書の作成・編集・取消。</t>
  </si>
  <si>
    <t xml:space="preserve">SHOULD</t>
  </si>
  <si>
    <t xml:space="preserve">SCR-21</t>
  </si>
  <si>
    <t xml:space="preserve">PUR-02</t>
  </si>
  <si>
    <t xml:space="preserve">発注承認・発注書出力</t>
  </si>
  <si>
    <r>
      <rPr>
        <sz val="10"/>
        <rFont val="WenQuanYi Zen Hei"/>
        <family val="2"/>
      </rPr>
      <t xml:space="preserve">管理者による承認と発注書</t>
    </r>
    <r>
      <rPr>
        <sz val="10"/>
        <rFont val="Arial"/>
        <family val="0"/>
        <charset val="1"/>
      </rPr>
      <t xml:space="preserve">PDF</t>
    </r>
    <r>
      <rPr>
        <sz val="10"/>
        <rFont val="WenQuanYi Zen Hei"/>
        <family val="2"/>
      </rPr>
      <t xml:space="preserve">の出力。</t>
    </r>
  </si>
  <si>
    <t xml:space="preserve">発注引当または発注なしでの入荷登録。ロット自動生成（仕入先ロット番号・使用期限を登録）。</t>
  </si>
  <si>
    <t xml:space="preserve">SCR-22</t>
  </si>
  <si>
    <t xml:space="preserve">RCV-02</t>
  </si>
  <si>
    <r>
      <rPr>
        <sz val="10"/>
        <rFont val="Arial"/>
        <family val="0"/>
        <charset val="1"/>
      </rPr>
      <t xml:space="preserve">COA</t>
    </r>
    <r>
      <rPr>
        <sz val="10"/>
        <rFont val="WenQuanYi Zen Hei"/>
        <family val="2"/>
      </rPr>
      <t xml:space="preserve">添付、検品結果の登録、ロット判定（合格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t>
    </r>
  </si>
  <si>
    <t xml:space="preserve">SCR-23</t>
  </si>
  <si>
    <t xml:space="preserve">LOT-01</t>
  </si>
  <si>
    <t xml:space="preserve">ロット</t>
  </si>
  <si>
    <t xml:space="preserve">ロット一覧・詳細</t>
  </si>
  <si>
    <t xml:space="preserve">ロットごとの基本情報・在庫・入出荷履歴・添付書類の参照。</t>
  </si>
  <si>
    <t xml:space="preserve">SCR-31,SCR-32</t>
  </si>
  <si>
    <t xml:space="preserve">LOT-02</t>
  </si>
  <si>
    <t xml:space="preserve">ロットステータス変更</t>
  </si>
  <si>
    <r>
      <rPr>
        <sz val="10"/>
        <rFont val="WenQuanYi Zen Hei"/>
        <family val="2"/>
      </rPr>
      <t xml:space="preserve">保留・出荷停止・解除等のステータス変更（理由必須、</t>
    </r>
    <r>
      <rPr>
        <sz val="10"/>
        <rFont val="Arial"/>
        <family val="0"/>
        <charset val="1"/>
      </rPr>
      <t xml:space="preserve">QA</t>
    </r>
    <r>
      <rPr>
        <sz val="10"/>
        <rFont val="WenQuanYi Zen Hei"/>
        <family val="2"/>
      </rPr>
      <t xml:space="preserve">権限）。</t>
    </r>
  </si>
  <si>
    <t xml:space="preserve">SCR-32</t>
  </si>
  <si>
    <t xml:space="preserve">INV-01</t>
  </si>
  <si>
    <t xml:space="preserve">在庫照会</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</si>
  <si>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保管場所の在庫数・引当可能数・使用期限を照会。</t>
    </r>
  </si>
  <si>
    <t xml:space="preserve">SCR-33</t>
  </si>
  <si>
    <t xml:space="preserve">INV-02</t>
  </si>
  <si>
    <t xml:space="preserve">在庫移動（保管場所間）</t>
  </si>
  <si>
    <t xml:space="preserve">保管場所間の移動登録。</t>
  </si>
  <si>
    <t xml:space="preserve">SCR-34</t>
  </si>
  <si>
    <t xml:space="preserve">棚卸・在庫調整</t>
  </si>
  <si>
    <t xml:space="preserve">棚卸結果の登録と差異調整、破損・期限切れによる廃棄。</t>
  </si>
  <si>
    <t xml:space="preserve">温度記録</t>
  </si>
  <si>
    <r>
      <rPr>
        <sz val="10"/>
        <rFont val="WenQuanYi Zen Hei"/>
        <family val="2"/>
      </rPr>
      <t xml:space="preserve">保管場所ごとの温度入力（手入力</t>
    </r>
    <r>
      <rPr>
        <sz val="10"/>
        <rFont val="Arial"/>
        <family val="0"/>
        <charset val="1"/>
      </rPr>
      <t xml:space="preserve">/CSV</t>
    </r>
    <r>
      <rPr>
        <sz val="10"/>
        <rFont val="WenQuanYi Zen Hei"/>
        <family val="2"/>
      </rPr>
      <t xml:space="preserve">取込）と逸脱検知。</t>
    </r>
  </si>
  <si>
    <t xml:space="preserve">SCR-35</t>
  </si>
  <si>
    <t xml:space="preserve">INV-05</t>
  </si>
  <si>
    <t xml:space="preserve">期限・在庫アラート</t>
  </si>
  <si>
    <t xml:space="preserve">使用期限接近・期限切れ・在庫下限割れ・温度逸脱をダッシュボードとメールで通知。</t>
  </si>
  <si>
    <t xml:space="preserve">SCR-01</t>
  </si>
  <si>
    <t xml:space="preserve">受注登録</t>
  </si>
  <si>
    <t xml:space="preserve">受注の登録・編集・取消。販売可否ルール・与信限度額チェック。</t>
  </si>
  <si>
    <t xml:space="preserve">SCR-41</t>
  </si>
  <si>
    <t xml:space="preserve">SHP-01</t>
  </si>
  <si>
    <t xml:space="preserve">ロット引当</t>
  </si>
  <si>
    <r>
      <rPr>
        <sz val="10"/>
        <rFont val="WenQuanYi Zen Hei"/>
        <family val="2"/>
      </rPr>
      <t xml:space="preserve">受注明細へのロット引当（</t>
    </r>
    <r>
      <rPr>
        <sz val="10"/>
        <rFont val="Arial"/>
        <family val="0"/>
        <charset val="1"/>
      </rPr>
      <t xml:space="preserve">FEFO</t>
    </r>
    <r>
      <rPr>
        <sz val="10"/>
        <rFont val="WenQuanYi Zen Hei"/>
        <family val="2"/>
      </rPr>
      <t xml:space="preserve">自動引当＋手動変更）。</t>
    </r>
  </si>
  <si>
    <t xml:space="preserve">SCR-42</t>
  </si>
  <si>
    <t xml:space="preserve">SHP-02</t>
  </si>
  <si>
    <t xml:space="preserve">出荷確定・取消</t>
  </si>
  <si>
    <t xml:space="preserve">出荷確定による在庫減算、取消時の赤伝処理。</t>
  </si>
  <si>
    <t xml:space="preserve">SHP-03</t>
  </si>
  <si>
    <t xml:space="preserve">納品書出力</t>
  </si>
  <si>
    <r>
      <rPr>
        <sz val="10"/>
        <rFont val="WenQuanYi Zen Hei"/>
        <family val="2"/>
      </rPr>
      <t xml:space="preserve">ロット番号・使用期限を記載した納品書</t>
    </r>
    <r>
      <rPr>
        <sz val="10"/>
        <rFont val="Arial"/>
        <family val="0"/>
        <charset val="1"/>
      </rPr>
      <t xml:space="preserve">PDF</t>
    </r>
    <r>
      <rPr>
        <sz val="10"/>
        <rFont val="WenQuanYi Zen Hei"/>
        <family val="2"/>
      </rPr>
      <t xml:space="preserve">の出力。</t>
    </r>
  </si>
  <si>
    <t xml:space="preserve">返品登録</t>
  </si>
  <si>
    <r>
      <rPr>
        <sz val="10"/>
        <rFont val="WenQuanYi Zen Hei"/>
        <family val="2"/>
      </rPr>
      <t xml:space="preserve">元出荷明細を指定した返品登録と</t>
    </r>
    <r>
      <rPr>
        <sz val="10"/>
        <rFont val="Arial"/>
        <family val="0"/>
        <charset val="1"/>
      </rPr>
      <t xml:space="preserve">QA</t>
    </r>
    <r>
      <rPr>
        <sz val="10"/>
        <rFont val="WenQuanYi Zen Hei"/>
        <family val="2"/>
      </rPr>
      <t xml:space="preserve">判定（在庫戻し</t>
    </r>
    <r>
      <rPr>
        <sz val="10"/>
        <rFont val="Arial"/>
        <family val="0"/>
        <charset val="1"/>
      </rPr>
      <t xml:space="preserve">/</t>
    </r>
    <r>
      <rPr>
        <sz val="10"/>
        <rFont val="WenQuanYi Zen Hei"/>
        <family val="2"/>
      </rPr>
      <t xml:space="preserve">廃棄）。</t>
    </r>
  </si>
  <si>
    <t xml:space="preserve">SCR-43</t>
  </si>
  <si>
    <t xml:space="preserve">TRC-01</t>
  </si>
  <si>
    <t xml:space="preserve">トレース</t>
  </si>
  <si>
    <t xml:space="preserve">ロット→顧客 追跡</t>
  </si>
  <si>
    <t xml:space="preserve">ロット番号から出荷先顧客・納品先・出荷日・数量を一覧（前方追跡）。</t>
  </si>
  <si>
    <t xml:space="preserve">SCR-51</t>
  </si>
  <si>
    <t xml:space="preserve">TRC-02</t>
  </si>
  <si>
    <t xml:space="preserve">顧客→ロット 追跡</t>
  </si>
  <si>
    <t xml:space="preserve">顧客から購入した商品・ロット・数量を一覧（後方追跡）。</t>
  </si>
  <si>
    <t xml:space="preserve">SCR-52</t>
  </si>
  <si>
    <t xml:space="preserve">RCL-01</t>
  </si>
  <si>
    <t xml:space="preserve">回収案件登録</t>
  </si>
  <si>
    <t xml:space="preserve">回収案件の登録、対象ロット指定、対象顧客の自動抽出、ロットの出荷停止。</t>
  </si>
  <si>
    <t xml:space="preserve">SCR-53</t>
  </si>
  <si>
    <t xml:space="preserve">RCL-02</t>
  </si>
  <si>
    <t xml:space="preserve">回収進捗管理</t>
  </si>
  <si>
    <t xml:space="preserve">顧客ごとの連絡日・回答・回収数量・完了の管理。</t>
  </si>
  <si>
    <t xml:space="preserve">RPT-01</t>
  </si>
  <si>
    <t xml:space="preserve">帳票</t>
  </si>
  <si>
    <t xml:space="preserve">仕入実績表</t>
  </si>
  <si>
    <t xml:space="preserve">期間・仕入先・商品別の仕入数量・金額。</t>
  </si>
  <si>
    <t xml:space="preserve">SCR-61</t>
  </si>
  <si>
    <t xml:space="preserve">RPT-02</t>
  </si>
  <si>
    <t xml:space="preserve">販売実績表</t>
  </si>
  <si>
    <t xml:space="preserve">期間・顧客・商品別の販売数量・金額・粗利。</t>
  </si>
  <si>
    <t xml:space="preserve">RPT-03</t>
  </si>
  <si>
    <t xml:space="preserve">在庫受払表</t>
  </si>
  <si>
    <r>
      <rPr>
        <sz val="10"/>
        <rFont val="WenQuanYi Zen Hei"/>
        <family val="2"/>
      </rPr>
      <t xml:space="preserve">期間・商品・ロット別の期首</t>
    </r>
    <r>
      <rPr>
        <sz val="10"/>
        <rFont val="Arial"/>
        <family val="0"/>
        <charset val="1"/>
      </rPr>
      <t xml:space="preserve">/</t>
    </r>
    <r>
      <rPr>
        <sz val="10"/>
        <rFont val="WenQuanYi Zen Hei"/>
        <family val="2"/>
      </rPr>
      <t xml:space="preserve">入庫</t>
    </r>
    <r>
      <rPr>
        <sz val="10"/>
        <rFont val="Arial"/>
        <family val="0"/>
        <charset val="1"/>
      </rPr>
      <t xml:space="preserve">/</t>
    </r>
    <r>
      <rPr>
        <sz val="10"/>
        <rFont val="WenQuanYi Zen Hei"/>
        <family val="2"/>
      </rPr>
      <t xml:space="preserve">出庫</t>
    </r>
    <r>
      <rPr>
        <sz val="10"/>
        <rFont val="Arial"/>
        <family val="0"/>
        <charset val="1"/>
      </rPr>
      <t xml:space="preserve">/</t>
    </r>
    <r>
      <rPr>
        <sz val="10"/>
        <rFont val="WenQuanYi Zen Hei"/>
        <family val="2"/>
      </rPr>
      <t xml:space="preserve">期末。</t>
    </r>
  </si>
  <si>
    <t xml:space="preserve">RPT-04</t>
  </si>
  <si>
    <t xml:space="preserve">トレーサビリティ台帳</t>
  </si>
  <si>
    <t xml:space="preserve">ロット別の入荷〜出荷〜返品・回収の全履歴（監査・行政対応用）。</t>
  </si>
  <si>
    <t xml:space="preserve">RPT-05</t>
  </si>
  <si>
    <r>
      <rPr>
        <sz val="10"/>
        <rFont val="WenQuanYi Zen Hei"/>
        <family val="2"/>
      </rPr>
      <t xml:space="preserve">会計連携</t>
    </r>
    <r>
      <rPr>
        <sz val="10"/>
        <rFont val="Arial"/>
        <family val="0"/>
        <charset val="1"/>
      </rPr>
      <t xml:space="preserve">CSV</t>
    </r>
  </si>
  <si>
    <t xml:space="preserve">売上・仕入データを会計ソフト取込形式で出力。</t>
  </si>
  <si>
    <t xml:space="preserve">SYS-01</t>
  </si>
  <si>
    <t xml:space="preserve">共通</t>
  </si>
  <si>
    <t xml:space="preserve">ログイン・認証</t>
  </si>
  <si>
    <r>
      <rPr>
        <sz val="10"/>
        <rFont val="WenQuanYi Zen Hei"/>
        <family val="2"/>
      </rPr>
      <t xml:space="preserve">メール＋パスワード＋</t>
    </r>
    <r>
      <rPr>
        <sz val="10"/>
        <rFont val="Arial"/>
        <family val="0"/>
        <charset val="1"/>
      </rPr>
      <t xml:space="preserve">2</t>
    </r>
    <r>
      <rPr>
        <sz val="10"/>
        <rFont val="WenQuanYi Zen Hei"/>
        <family val="2"/>
      </rPr>
      <t xml:space="preserve">要素認証、一定回数失敗でロック。</t>
    </r>
  </si>
  <si>
    <t xml:space="preserve">SCR-00</t>
  </si>
  <si>
    <t xml:space="preserve">SYS-02</t>
  </si>
  <si>
    <t xml:space="preserve">監査ログ</t>
  </si>
  <si>
    <t xml:space="preserve">登録・更新・取消・ステータス変更・ログインの記録と照会。</t>
  </si>
  <si>
    <t xml:space="preserve">SCR-62</t>
  </si>
  <si>
    <t xml:space="preserve">SYS-03</t>
  </si>
  <si>
    <t xml:space="preserve">ダッシュボード</t>
  </si>
  <si>
    <t xml:space="preserve">アラート、当日の入荷予定・出荷予定、回収案件の状況。</t>
  </si>
  <si>
    <r>
      <rPr>
        <b val="true"/>
        <sz val="10"/>
        <color rgb="FFFFFFFF"/>
        <rFont val="WenQuanYi Zen Hei"/>
        <family val="2"/>
      </rPr>
      <t xml:space="preserve">画面</t>
    </r>
    <r>
      <rPr>
        <b val="true"/>
        <sz val="10"/>
        <color rgb="FFFFFFFF"/>
        <rFont val="Arial"/>
        <family val="0"/>
        <charset val="1"/>
      </rPr>
      <t xml:space="preserve">ID</t>
    </r>
  </si>
  <si>
    <t xml:space="preserve">画面名</t>
  </si>
  <si>
    <t xml:space="preserve">主な操作</t>
  </si>
  <si>
    <t xml:space="preserve">ログイン</t>
  </si>
  <si>
    <t xml:space="preserve">認証画面</t>
  </si>
  <si>
    <r>
      <rPr>
        <sz val="10"/>
        <rFont val="WenQuanYi Zen Hei"/>
        <family val="2"/>
      </rPr>
      <t xml:space="preserve">ログイン、</t>
    </r>
    <r>
      <rPr>
        <sz val="10"/>
        <rFont val="Arial"/>
        <family val="0"/>
        <charset val="1"/>
      </rPr>
      <t xml:space="preserve">2</t>
    </r>
    <r>
      <rPr>
        <sz val="10"/>
        <rFont val="WenQuanYi Zen Hei"/>
        <family val="2"/>
      </rPr>
      <t xml:space="preserve">要素認証、パスワード再設定</t>
    </r>
  </si>
  <si>
    <t xml:space="preserve">アラート・当日予定・回収状況の表示</t>
  </si>
  <si>
    <t xml:space="preserve">各アラートから該当画面へ遷移</t>
  </si>
  <si>
    <t xml:space="preserve">仕入先一覧・編集</t>
  </si>
  <si>
    <t xml:space="preserve">仕入先の検索・登録・編集</t>
  </si>
  <si>
    <t xml:space="preserve">検索、新規、編集、無効化</t>
  </si>
  <si>
    <t xml:space="preserve">商品一覧・編集</t>
  </si>
  <si>
    <t xml:space="preserve">商品の検索・登録・編集</t>
  </si>
  <si>
    <t xml:space="preserve">顧客一覧・編集</t>
  </si>
  <si>
    <t xml:space="preserve">顧客・納品先の検索・登録・編集</t>
  </si>
  <si>
    <t xml:space="preserve">検索、新規、編集、納品先追加、無効化</t>
  </si>
  <si>
    <t xml:space="preserve">保管場所一覧・編集</t>
  </si>
  <si>
    <t xml:space="preserve">保管場所の登録・編集</t>
  </si>
  <si>
    <t xml:space="preserve">新規、編集、無効化</t>
  </si>
  <si>
    <t xml:space="preserve">ユーザー管理</t>
  </si>
  <si>
    <t xml:space="preserve">ユーザー・ロールの管理</t>
  </si>
  <si>
    <t xml:space="preserve">新規、ロール変更、停止</t>
  </si>
  <si>
    <t xml:space="preserve">販売可否ルール</t>
  </si>
  <si>
    <r>
      <rPr>
        <sz val="10"/>
        <rFont val="WenQuanYi Zen Hei"/>
        <family val="2"/>
      </rPr>
      <t xml:space="preserve">規制区分</t>
    </r>
    <r>
      <rPr>
        <sz val="10"/>
        <rFont val="Arial"/>
        <family val="0"/>
        <charset val="1"/>
      </rPr>
      <t xml:space="preserve">×</t>
    </r>
    <r>
      <rPr>
        <sz val="10"/>
        <rFont val="WenQuanYi Zen Hei"/>
        <family val="2"/>
      </rPr>
      <t xml:space="preserve">顧客区分のマトリクス編集</t>
    </r>
  </si>
  <si>
    <t xml:space="preserve">編集</t>
  </si>
  <si>
    <t xml:space="preserve">発注一覧・登録</t>
  </si>
  <si>
    <t xml:space="preserve">発注の検索・登録・承認</t>
  </si>
  <si>
    <r>
      <rPr>
        <sz val="10"/>
        <rFont val="WenQuanYi Zen Hei"/>
        <family val="2"/>
      </rPr>
      <t xml:space="preserve">新規、編集、承認、取消、発注書</t>
    </r>
    <r>
      <rPr>
        <sz val="10"/>
        <rFont val="Arial"/>
        <family val="0"/>
        <charset val="1"/>
      </rPr>
      <t xml:space="preserve">PDF</t>
    </r>
  </si>
  <si>
    <t xml:space="preserve">発注を選択して入荷・ロット情報を登録</t>
  </si>
  <si>
    <t xml:space="preserve">発注選択、ロット入力、確定</t>
  </si>
  <si>
    <t xml:space="preserve">検品待ちロットの判定</t>
  </si>
  <si>
    <r>
      <rPr>
        <sz val="10"/>
        <rFont val="Arial"/>
        <family val="0"/>
        <charset val="1"/>
      </rPr>
      <t xml:space="preserve">COA</t>
    </r>
    <r>
      <rPr>
        <sz val="10"/>
        <rFont val="WenQuanYi Zen Hei"/>
        <family val="2"/>
      </rPr>
      <t xml:space="preserve">添付、判定登録</t>
    </r>
  </si>
  <si>
    <t xml:space="preserve">SCR-31</t>
  </si>
  <si>
    <t xml:space="preserve">ロット一覧</t>
  </si>
  <si>
    <t xml:space="preserve">ロットの検索（商品・期限・ステータス）</t>
  </si>
  <si>
    <r>
      <rPr>
        <sz val="10"/>
        <rFont val="WenQuanYi Zen Hei"/>
        <family val="2"/>
      </rPr>
      <t xml:space="preserve">検索、</t>
    </r>
    <r>
      <rPr>
        <sz val="10"/>
        <rFont val="Arial"/>
        <family val="0"/>
        <charset val="1"/>
      </rPr>
      <t xml:space="preserve">CSV</t>
    </r>
    <r>
      <rPr>
        <sz val="10"/>
        <rFont val="WenQuanYi Zen Hei"/>
        <family val="2"/>
      </rPr>
      <t xml:space="preserve">出力</t>
    </r>
  </si>
  <si>
    <t xml:space="preserve">ロット詳細</t>
  </si>
  <si>
    <t xml:space="preserve">ロット情報・在庫・入出荷履歴・添付・ステータス履歴</t>
  </si>
  <si>
    <t xml:space="preserve">ステータス変更、トレース画面へ遷移</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</si>
  <si>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t>
    </r>
  </si>
  <si>
    <t xml:space="preserve">在庫移動・棚卸</t>
  </si>
  <si>
    <t xml:space="preserve">保管場所間移動、棚卸、調整、廃棄</t>
  </si>
  <si>
    <t xml:space="preserve">登録、確定</t>
  </si>
  <si>
    <t xml:space="preserve">保管場所ごとの温度記録と逸脱一覧</t>
  </si>
  <si>
    <r>
      <rPr>
        <sz val="10"/>
        <rFont val="WenQuanYi Zen Hei"/>
        <family val="2"/>
      </rPr>
      <t xml:space="preserve">入力、</t>
    </r>
    <r>
      <rPr>
        <sz val="10"/>
        <rFont val="Arial"/>
        <family val="0"/>
        <charset val="1"/>
      </rPr>
      <t xml:space="preserve">CSV</t>
    </r>
    <r>
      <rPr>
        <sz val="10"/>
        <rFont val="WenQuanYi Zen Hei"/>
        <family val="2"/>
      </rPr>
      <t xml:space="preserve">取込</t>
    </r>
  </si>
  <si>
    <t xml:space="preserve">受注一覧・登録</t>
  </si>
  <si>
    <t xml:space="preserve">受注の検索・登録</t>
  </si>
  <si>
    <t xml:space="preserve">新規、編集、取消</t>
  </si>
  <si>
    <t xml:space="preserve">出荷（引当・確定）</t>
  </si>
  <si>
    <t xml:space="preserve">ロット引当・出荷確定・納品書出力</t>
  </si>
  <si>
    <r>
      <rPr>
        <sz val="10"/>
        <rFont val="WenQuanYi Zen Hei"/>
        <family val="2"/>
      </rPr>
      <t xml:space="preserve">自動引当、手動変更、確定、取消、納品書</t>
    </r>
    <r>
      <rPr>
        <sz val="10"/>
        <rFont val="Arial"/>
        <family val="0"/>
        <charset val="1"/>
      </rPr>
      <t xml:space="preserve">PDF</t>
    </r>
  </si>
  <si>
    <t xml:space="preserve">元出荷明細を指定して返品登録</t>
  </si>
  <si>
    <r>
      <rPr>
        <sz val="10"/>
        <rFont val="WenQuanYi Zen Hei"/>
        <family val="2"/>
      </rPr>
      <t xml:space="preserve">登録、</t>
    </r>
    <r>
      <rPr>
        <sz val="10"/>
        <rFont val="Arial"/>
        <family val="0"/>
        <charset val="1"/>
      </rPr>
      <t xml:space="preserve">QA</t>
    </r>
    <r>
      <rPr>
        <sz val="10"/>
        <rFont val="WenQuanYi Zen Hei"/>
        <family val="2"/>
      </rPr>
      <t xml:space="preserve">判定</t>
    </r>
  </si>
  <si>
    <t xml:space="preserve">ロット追跡（前方）</t>
  </si>
  <si>
    <t xml:space="preserve">ロット→出荷先顧客一覧</t>
  </si>
  <si>
    <r>
      <rPr>
        <sz val="10"/>
        <rFont val="WenQuanYi Zen Hei"/>
        <family val="2"/>
      </rPr>
      <t xml:space="preserve">検索、</t>
    </r>
    <r>
      <rPr>
        <sz val="10"/>
        <rFont val="Arial"/>
        <family val="0"/>
        <charset val="1"/>
      </rPr>
      <t xml:space="preserve">CSV/PDF</t>
    </r>
    <r>
      <rPr>
        <sz val="10"/>
        <rFont val="WenQuanYi Zen Hei"/>
        <family val="2"/>
      </rPr>
      <t xml:space="preserve">出力</t>
    </r>
  </si>
  <si>
    <t xml:space="preserve">顧客追跡（後方）</t>
  </si>
  <si>
    <t xml:space="preserve">顧客→購入ロット一覧</t>
  </si>
  <si>
    <t xml:space="preserve">回収管理</t>
  </si>
  <si>
    <t xml:space="preserve">回収案件・対象顧客・進捗</t>
  </si>
  <si>
    <t xml:space="preserve">新規、対象抽出、進捗更新、完了</t>
  </si>
  <si>
    <t xml:space="preserve">帳票出力</t>
  </si>
  <si>
    <r>
      <rPr>
        <sz val="10"/>
        <rFont val="WenQuanYi Zen Hei"/>
        <family val="2"/>
      </rPr>
      <t xml:space="preserve">各種帳票・</t>
    </r>
    <r>
      <rPr>
        <sz val="10"/>
        <rFont val="Arial"/>
        <family val="0"/>
        <charset val="1"/>
      </rPr>
      <t xml:space="preserve">CSV</t>
    </r>
    <r>
      <rPr>
        <sz val="10"/>
        <rFont val="WenQuanYi Zen Hei"/>
        <family val="2"/>
      </rPr>
      <t xml:space="preserve">の条件指定と出力</t>
    </r>
  </si>
  <si>
    <t xml:space="preserve">条件指定、出力</t>
  </si>
  <si>
    <t xml:space="preserve">監査ログ照会</t>
  </si>
  <si>
    <t xml:space="preserve">操作履歴の検索</t>
  </si>
  <si>
    <t xml:space="preserve">主要画面（入荷・検品・受注・出荷・追跡・回収）の項目。マスタ画面は項目定義シートのカラムをそのまま入力項目とする</t>
  </si>
  <si>
    <t xml:space="preserve">項目名</t>
  </si>
  <si>
    <t xml:space="preserve">種別</t>
  </si>
  <si>
    <t xml:space="preserve">入出力</t>
  </si>
  <si>
    <t xml:space="preserve">必須</t>
  </si>
  <si>
    <r>
      <rPr>
        <b val="true"/>
        <sz val="10"/>
        <color rgb="FFFFFFFF"/>
        <rFont val="WenQuanYi Zen Hei"/>
        <family val="2"/>
      </rPr>
      <t xml:space="preserve">桁</t>
    </r>
    <r>
      <rPr>
        <b val="true"/>
        <sz val="10"/>
        <color rgb="FFFFFFFF"/>
        <rFont val="Arial"/>
        <family val="0"/>
        <charset val="1"/>
      </rPr>
      <t xml:space="preserve">/</t>
    </r>
    <r>
      <rPr>
        <b val="true"/>
        <sz val="10"/>
        <color rgb="FFFFFFFF"/>
        <rFont val="WenQuanYi Zen Hei"/>
        <family val="2"/>
      </rPr>
      <t xml:space="preserve">形式</t>
    </r>
  </si>
  <si>
    <r>
      <rPr>
        <b val="true"/>
        <sz val="10"/>
        <color rgb="FFFFFFFF"/>
        <rFont val="WenQuanYi Zen Hei"/>
        <family val="2"/>
      </rPr>
      <t xml:space="preserve">対応テーブル</t>
    </r>
    <r>
      <rPr>
        <b val="true"/>
        <sz val="10"/>
        <color rgb="FFFFFFFF"/>
        <rFont val="Arial"/>
        <family val="0"/>
        <charset val="1"/>
      </rPr>
      <t xml:space="preserve">.</t>
    </r>
    <r>
      <rPr>
        <b val="true"/>
        <sz val="10"/>
        <color rgb="FFFFFFFF"/>
        <rFont val="WenQuanYi Zen Hei"/>
        <family val="2"/>
      </rPr>
      <t xml:space="preserve">カラム</t>
    </r>
  </si>
  <si>
    <t xml:space="preserve">初期値</t>
  </si>
  <si>
    <t xml:space="preserve">チェック・備考</t>
  </si>
  <si>
    <t xml:space="preserve">発注番号</t>
  </si>
  <si>
    <t xml:space="preserve">検索選択</t>
  </si>
  <si>
    <t xml:space="preserve">入力</t>
  </si>
  <si>
    <t xml:space="preserve">t_receipt.purchase_order_id</t>
  </si>
  <si>
    <r>
      <rPr>
        <sz val="10"/>
        <rFont val="Arial"/>
        <family val="0"/>
        <charset val="1"/>
      </rPr>
      <t xml:space="preserve">APPROVED/PARTIAL </t>
    </r>
    <r>
      <rPr>
        <sz val="10"/>
        <rFont val="WenQuanYi Zen Hei"/>
        <family val="2"/>
      </rPr>
      <t xml:space="preserve">の発注のみ選択可。選択で明細を展開</t>
    </r>
  </si>
  <si>
    <t xml:space="preserve">仕入先</t>
  </si>
  <si>
    <t xml:space="preserve">選択</t>
  </si>
  <si>
    <t xml:space="preserve">Y</t>
  </si>
  <si>
    <t xml:space="preserve">t_receipt.supplier_id</t>
  </si>
  <si>
    <t xml:space="preserve">発注の仕入先</t>
  </si>
  <si>
    <t xml:space="preserve">発注選択時は変更不可</t>
  </si>
  <si>
    <t xml:space="preserve">入荷日</t>
  </si>
  <si>
    <t xml:space="preserve">YYYY-MM-DD</t>
  </si>
  <si>
    <t xml:space="preserve">t_receipt.receipt_date</t>
  </si>
  <si>
    <t xml:space="preserve">当日</t>
  </si>
  <si>
    <t xml:space="preserve">未来日不可</t>
  </si>
  <si>
    <t xml:space="preserve">到着時温度（℃）</t>
  </si>
  <si>
    <t xml:space="preserve">数値</t>
  </si>
  <si>
    <t xml:space="preserve">5,1</t>
  </si>
  <si>
    <t xml:space="preserve">t_receipt.arrival_temp</t>
  </si>
  <si>
    <r>
      <rPr>
        <sz val="10"/>
        <rFont val="WenQuanYi Zen Hei"/>
        <family val="2"/>
      </rPr>
      <t xml:space="preserve">保管温度区分の許容範囲外なら警告（</t>
    </r>
    <r>
      <rPr>
        <sz val="10"/>
        <rFont val="Arial"/>
        <family val="0"/>
        <charset val="1"/>
      </rPr>
      <t xml:space="preserve">MSG-W01</t>
    </r>
    <r>
      <rPr>
        <sz val="10"/>
        <rFont val="WenQuanYi Zen Hei"/>
        <family val="2"/>
      </rPr>
      <t xml:space="preserve">）</t>
    </r>
  </si>
  <si>
    <t xml:space="preserve">商品</t>
  </si>
  <si>
    <t xml:space="preserve">t_receipt_line.product_id</t>
  </si>
  <si>
    <t xml:space="preserve">発注明細</t>
  </si>
  <si>
    <t xml:space="preserve">明細行</t>
  </si>
  <si>
    <t xml:space="preserve">仕入先ロット番号</t>
  </si>
  <si>
    <t xml:space="preserve">テキスト</t>
  </si>
  <si>
    <t xml:space="preserve">50</t>
  </si>
  <si>
    <t xml:space="preserve">t_lot.supplier_lot_no</t>
  </si>
  <si>
    <r>
      <rPr>
        <sz val="10"/>
        <rFont val="Arial"/>
        <family val="0"/>
        <charset val="1"/>
      </rPr>
      <t xml:space="preserve">BR-15 </t>
    </r>
    <r>
      <rPr>
        <sz val="10"/>
        <rFont val="WenQuanYi Zen Hei"/>
        <family val="2"/>
      </rPr>
      <t xml:space="preserve">重複チェック（</t>
    </r>
    <r>
      <rPr>
        <sz val="10"/>
        <rFont val="Arial"/>
        <family val="0"/>
        <charset val="1"/>
      </rPr>
      <t xml:space="preserve">MSG-E05</t>
    </r>
    <r>
      <rPr>
        <sz val="10"/>
        <rFont val="WenQuanYi Zen Hei"/>
        <family val="2"/>
      </rPr>
      <t xml:space="preserve">）</t>
    </r>
  </si>
  <si>
    <t xml:space="preserve">製造日</t>
  </si>
  <si>
    <t xml:space="preserve">t_lot.manufactured_on</t>
  </si>
  <si>
    <t xml:space="preserve">入荷日以前</t>
  </si>
  <si>
    <t xml:space="preserve">使用期限</t>
  </si>
  <si>
    <t xml:space="preserve">t_lot.expires_on</t>
  </si>
  <si>
    <t xml:space="preserve">入荷日＋有効期間</t>
  </si>
  <si>
    <r>
      <rPr>
        <sz val="10"/>
        <rFont val="WenQuanYi Zen Hei"/>
        <family val="2"/>
      </rPr>
      <t xml:space="preserve">入荷日より後（</t>
    </r>
    <r>
      <rPr>
        <sz val="10"/>
        <rFont val="Arial"/>
        <family val="0"/>
        <charset val="1"/>
      </rPr>
      <t xml:space="preserve">MSG-E06</t>
    </r>
    <r>
      <rPr>
        <sz val="10"/>
        <rFont val="WenQuanYi Zen Hei"/>
        <family val="2"/>
      </rPr>
      <t xml:space="preserve">）</t>
    </r>
  </si>
  <si>
    <t xml:space="preserve">入荷数量</t>
  </si>
  <si>
    <t xml:space="preserve">整数</t>
  </si>
  <si>
    <t xml:space="preserve">t_receipt_line.quantity</t>
  </si>
  <si>
    <t xml:space="preserve">発注残数</t>
  </si>
  <si>
    <r>
      <rPr>
        <sz val="10"/>
        <rFont val="Arial"/>
        <family val="0"/>
        <charset val="1"/>
      </rPr>
      <t xml:space="preserve">1</t>
    </r>
    <r>
      <rPr>
        <sz val="10"/>
        <rFont val="WenQuanYi Zen Hei"/>
        <family val="2"/>
      </rPr>
      <t xml:space="preserve">以上。発注残超過は警告（</t>
    </r>
    <r>
      <rPr>
        <sz val="10"/>
        <rFont val="Arial"/>
        <family val="0"/>
        <charset val="1"/>
      </rPr>
      <t xml:space="preserve">MSG-W02</t>
    </r>
    <r>
      <rPr>
        <sz val="10"/>
        <rFont val="WenQuanYi Zen Hei"/>
        <family val="2"/>
      </rPr>
      <t xml:space="preserve">）</t>
    </r>
  </si>
  <si>
    <t xml:space="preserve">仕入単価（円）</t>
  </si>
  <si>
    <t xml:space="preserve">12,2</t>
  </si>
  <si>
    <t xml:space="preserve">t_receipt_line.unit_price</t>
  </si>
  <si>
    <t xml:space="preserve">発注単価</t>
  </si>
  <si>
    <r>
      <rPr>
        <sz val="10"/>
        <rFont val="Arial"/>
        <family val="0"/>
        <charset val="1"/>
      </rPr>
      <t xml:space="preserve">0</t>
    </r>
    <r>
      <rPr>
        <sz val="10"/>
        <rFont val="WenQuanYi Zen Hei"/>
        <family val="2"/>
      </rPr>
      <t xml:space="preserve">以上</t>
    </r>
  </si>
  <si>
    <t xml:space="preserve">入庫保管場所</t>
  </si>
  <si>
    <t xml:space="preserve">t_receipt_line.location_id</t>
  </si>
  <si>
    <r>
      <rPr>
        <sz val="10"/>
        <rFont val="WenQuanYi Zen Hei"/>
        <family val="2"/>
      </rPr>
      <t xml:space="preserve">商品と同一保管温度区分のみ表示（</t>
    </r>
    <r>
      <rPr>
        <sz val="10"/>
        <rFont val="Arial"/>
        <family val="0"/>
        <charset val="1"/>
      </rPr>
      <t xml:space="preserve">BR-06</t>
    </r>
    <r>
      <rPr>
        <sz val="10"/>
        <rFont val="WenQuanYi Zen Hei"/>
        <family val="2"/>
      </rPr>
      <t xml:space="preserve">）</t>
    </r>
  </si>
  <si>
    <t xml:space="preserve">社内ロット番号</t>
  </si>
  <si>
    <t xml:space="preserve">ラベル</t>
  </si>
  <si>
    <t xml:space="preserve">出力</t>
  </si>
  <si>
    <t xml:space="preserve">t_lot.lot_no</t>
  </si>
  <si>
    <t xml:space="preserve">確定時に採番して表示</t>
  </si>
  <si>
    <t xml:space="preserve">確定ボタン</t>
  </si>
  <si>
    <t xml:space="preserve">ボタン</t>
  </si>
  <si>
    <r>
      <rPr>
        <sz val="10"/>
        <rFont val="WenQuanYi Zen Hei"/>
        <family val="2"/>
      </rPr>
      <t xml:space="preserve">処理詳細 </t>
    </r>
    <r>
      <rPr>
        <sz val="10"/>
        <rFont val="Arial"/>
        <family val="0"/>
        <charset val="1"/>
      </rPr>
      <t xml:space="preserve">P-01 </t>
    </r>
    <r>
      <rPr>
        <sz val="10"/>
        <rFont val="WenQuanYi Zen Hei"/>
        <family val="2"/>
      </rPr>
      <t xml:space="preserve">を実行</t>
    </r>
  </si>
  <si>
    <t xml:space="preserve">検品待ちロット一覧</t>
  </si>
  <si>
    <t xml:space="preserve">一覧</t>
  </si>
  <si>
    <t xml:space="preserve">t_lot (status=QUARANTINE)</t>
  </si>
  <si>
    <t xml:space="preserve">入荷日昇順</t>
  </si>
  <si>
    <r>
      <rPr>
        <sz val="10"/>
        <rFont val="Arial"/>
        <family val="0"/>
        <charset val="1"/>
      </rPr>
      <t xml:space="preserve">COA</t>
    </r>
    <r>
      <rPr>
        <sz val="10"/>
        <rFont val="WenQuanYi Zen Hei"/>
        <family val="2"/>
      </rPr>
      <t xml:space="preserve">添付</t>
    </r>
  </si>
  <si>
    <t xml:space="preserve">ファイル</t>
  </si>
  <si>
    <r>
      <rPr>
        <sz val="10"/>
        <rFont val="WenQuanYi Zen Hei"/>
        <family val="2"/>
      </rPr>
      <t xml:space="preserve">合格時</t>
    </r>
    <r>
      <rPr>
        <sz val="10"/>
        <rFont val="Arial"/>
        <family val="0"/>
        <charset val="1"/>
      </rPr>
      <t xml:space="preserve">Y</t>
    </r>
  </si>
  <si>
    <r>
      <rPr>
        <sz val="10"/>
        <rFont val="Arial"/>
        <family val="0"/>
        <charset val="1"/>
      </rPr>
      <t xml:space="preserve">PDF/</t>
    </r>
    <r>
      <rPr>
        <sz val="10"/>
        <rFont val="WenQuanYi Zen Hei"/>
        <family val="2"/>
      </rPr>
      <t xml:space="preserve">画像 </t>
    </r>
    <r>
      <rPr>
        <sz val="10"/>
        <rFont val="Arial"/>
        <family val="0"/>
        <charset val="1"/>
      </rPr>
      <t xml:space="preserve">10MB</t>
    </r>
    <r>
      <rPr>
        <sz val="10"/>
        <rFont val="WenQuanYi Zen Hei"/>
        <family val="2"/>
      </rPr>
      <t xml:space="preserve">以下</t>
    </r>
  </si>
  <si>
    <t xml:space="preserve">t_attachment</t>
  </si>
  <si>
    <t xml:space="preserve">BR-08</t>
  </si>
  <si>
    <r>
      <rPr>
        <sz val="10"/>
        <rFont val="WenQuanYi Zen Hei"/>
        <family val="2"/>
      </rPr>
      <t xml:space="preserve">実測粒子濃度（個</t>
    </r>
    <r>
      <rPr>
        <sz val="10"/>
        <rFont val="Arial"/>
        <family val="0"/>
        <charset val="1"/>
      </rPr>
      <t xml:space="preserve">/mL</t>
    </r>
    <r>
      <rPr>
        <sz val="10"/>
        <rFont val="WenQuanYi Zen Hei"/>
        <family val="2"/>
      </rPr>
      <t xml:space="preserve">）</t>
    </r>
  </si>
  <si>
    <t xml:space="preserve">20,0</t>
  </si>
  <si>
    <t xml:space="preserve">t_lot.measured_particle_conc</t>
  </si>
  <si>
    <r>
      <rPr>
        <sz val="10"/>
        <rFont val="Arial"/>
        <family val="0"/>
        <charset val="1"/>
      </rPr>
      <t xml:space="preserve">COA</t>
    </r>
    <r>
      <rPr>
        <sz val="10"/>
        <rFont val="WenQuanYi Zen Hei"/>
        <family val="2"/>
      </rPr>
      <t xml:space="preserve">記載値</t>
    </r>
  </si>
  <si>
    <t xml:space="preserve">判定</t>
  </si>
  <si>
    <t xml:space="preserve">ラジオ</t>
  </si>
  <si>
    <r>
      <rPr>
        <sz val="10"/>
        <rFont val="WenQuanYi Zen Hei"/>
        <family val="2"/>
      </rPr>
      <t xml:space="preserve">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t>
    </r>
  </si>
  <si>
    <t xml:space="preserve">t_lot.status</t>
  </si>
  <si>
    <t xml:space="preserve">判定理由</t>
  </si>
  <si>
    <t xml:space="preserve">テキストエリア</t>
  </si>
  <si>
    <r>
      <rPr>
        <sz val="10"/>
        <rFont val="WenQuanYi Zen Hei"/>
        <family val="2"/>
      </rPr>
      <t xml:space="preserve">不合格・保留時</t>
    </r>
    <r>
      <rPr>
        <sz val="10"/>
        <rFont val="Arial"/>
        <family val="0"/>
        <charset val="1"/>
      </rPr>
      <t xml:space="preserve">Y</t>
    </r>
  </si>
  <si>
    <t xml:space="preserve">1000</t>
  </si>
  <si>
    <t xml:space="preserve">t_lot.status_reason</t>
  </si>
  <si>
    <t xml:space="preserve">判定ボタン</t>
  </si>
  <si>
    <r>
      <rPr>
        <sz val="10"/>
        <rFont val="WenQuanYi Zen Hei"/>
        <family val="2"/>
      </rPr>
      <t xml:space="preserve">処理詳細 </t>
    </r>
    <r>
      <rPr>
        <sz val="10"/>
        <rFont val="Arial"/>
        <family val="0"/>
        <charset val="1"/>
      </rPr>
      <t xml:space="preserve">P-02 </t>
    </r>
    <r>
      <rPr>
        <sz val="10"/>
        <rFont val="WenQuanYi Zen Hei"/>
        <family val="2"/>
      </rPr>
      <t xml:space="preserve">を実行</t>
    </r>
  </si>
  <si>
    <t xml:space="preserve">受注番号</t>
  </si>
  <si>
    <t xml:space="preserve">t_sales_order.so_no</t>
  </si>
  <si>
    <t xml:space="preserve">保存時採番</t>
  </si>
  <si>
    <t xml:space="preserve">顧客</t>
  </si>
  <si>
    <t xml:space="preserve">t_sales_order.customer_id</t>
  </si>
  <si>
    <t xml:space="preserve">有効顧客のみ</t>
  </si>
  <si>
    <t xml:space="preserve">納品先</t>
  </si>
  <si>
    <t xml:space="preserve">t_sales_order.ship_to_id</t>
  </si>
  <si>
    <t xml:space="preserve">既定納品先</t>
  </si>
  <si>
    <t xml:space="preserve">選択顧客の納品先のみ</t>
  </si>
  <si>
    <t xml:space="preserve">受注日</t>
  </si>
  <si>
    <t xml:space="preserve">t_sales_order.order_date</t>
  </si>
  <si>
    <t xml:space="preserve">希望納期</t>
  </si>
  <si>
    <t xml:space="preserve">t_sales_order.requested_date</t>
  </si>
  <si>
    <t xml:space="preserve">受注日以降</t>
  </si>
  <si>
    <t xml:space="preserve">t_sales_order.sales_user_id</t>
  </si>
  <si>
    <t xml:space="preserve">ログインユーザー</t>
  </si>
  <si>
    <t xml:space="preserve">t_sales_order_line.product_id</t>
  </si>
  <si>
    <r>
      <rPr>
        <sz val="10"/>
        <rFont val="Arial"/>
        <family val="0"/>
        <charset val="1"/>
      </rPr>
      <t xml:space="preserve">BR-09 </t>
    </r>
    <r>
      <rPr>
        <sz val="10"/>
        <rFont val="WenQuanYi Zen Hei"/>
        <family val="2"/>
      </rPr>
      <t xml:space="preserve">販売可否チェック（</t>
    </r>
    <r>
      <rPr>
        <sz val="10"/>
        <rFont val="Arial"/>
        <family val="0"/>
        <charset val="1"/>
      </rPr>
      <t xml:space="preserve">MSG-E10</t>
    </r>
    <r>
      <rPr>
        <sz val="10"/>
        <rFont val="WenQuanYi Zen Hei"/>
        <family val="2"/>
      </rPr>
      <t xml:space="preserve">）</t>
    </r>
  </si>
  <si>
    <t xml:space="preserve">引当可能数</t>
  </si>
  <si>
    <t xml:space="preserve">（集計）</t>
  </si>
  <si>
    <r>
      <rPr>
        <sz val="10"/>
        <rFont val="Arial"/>
        <family val="0"/>
        <charset val="1"/>
      </rPr>
      <t xml:space="preserve">BR-04 </t>
    </r>
    <r>
      <rPr>
        <sz val="10"/>
        <rFont val="WenQuanYi Zen Hei"/>
        <family val="2"/>
      </rPr>
      <t xml:space="preserve">条件を満たすロットの </t>
    </r>
    <r>
      <rPr>
        <sz val="10"/>
        <rFont val="Arial"/>
        <family val="0"/>
        <charset val="1"/>
      </rPr>
      <t xml:space="preserve">(</t>
    </r>
    <r>
      <rPr>
        <sz val="10"/>
        <rFont val="WenQuanYi Zen Hei"/>
        <family val="2"/>
      </rPr>
      <t xml:space="preserve">現在庫−引当済</t>
    </r>
    <r>
      <rPr>
        <sz val="10"/>
        <rFont val="Arial"/>
        <family val="0"/>
        <charset val="1"/>
      </rPr>
      <t xml:space="preserve">) </t>
    </r>
    <r>
      <rPr>
        <sz val="10"/>
        <rFont val="WenQuanYi Zen Hei"/>
        <family val="2"/>
      </rPr>
      <t xml:space="preserve">合計</t>
    </r>
  </si>
  <si>
    <t xml:space="preserve">受注数量</t>
  </si>
  <si>
    <t xml:space="preserve">t_sales_order_line.quantity</t>
  </si>
  <si>
    <r>
      <rPr>
        <sz val="10"/>
        <rFont val="Arial"/>
        <family val="0"/>
        <charset val="1"/>
      </rPr>
      <t xml:space="preserve">1</t>
    </r>
    <r>
      <rPr>
        <sz val="10"/>
        <rFont val="WenQuanYi Zen Hei"/>
        <family val="2"/>
      </rPr>
      <t xml:space="preserve">以上</t>
    </r>
  </si>
  <si>
    <t xml:space="preserve">販売単価（円）</t>
  </si>
  <si>
    <t xml:space="preserve">t_sales_order_line.unit_price</t>
  </si>
  <si>
    <r>
      <rPr>
        <sz val="10"/>
        <rFont val="WenQuanYi Zen Hei"/>
        <family val="2"/>
      </rPr>
      <t xml:space="preserve">商品</t>
    </r>
    <r>
      <rPr>
        <sz val="10"/>
        <rFont val="Arial"/>
        <family val="0"/>
        <charset val="1"/>
      </rPr>
      <t xml:space="preserve">.</t>
    </r>
    <r>
      <rPr>
        <sz val="10"/>
        <rFont val="WenQuanYi Zen Hei"/>
        <family val="2"/>
      </rPr>
      <t xml:space="preserve">標準売価</t>
    </r>
  </si>
  <si>
    <t xml:space="preserve">合計金額（税抜）</t>
  </si>
  <si>
    <t xml:space="preserve">（計算）</t>
  </si>
  <si>
    <r>
      <rPr>
        <sz val="10"/>
        <rFont val="Arial"/>
        <family val="0"/>
        <charset val="1"/>
      </rPr>
      <t xml:space="preserve">Σ</t>
    </r>
    <r>
      <rPr>
        <sz val="10"/>
        <rFont val="WenQuanYi Zen Hei"/>
        <family val="2"/>
      </rPr>
      <t xml:space="preserve">数量</t>
    </r>
    <r>
      <rPr>
        <sz val="10"/>
        <rFont val="Arial"/>
        <family val="0"/>
        <charset val="1"/>
      </rPr>
      <t xml:space="preserve">×</t>
    </r>
    <r>
      <rPr>
        <sz val="10"/>
        <rFont val="WenQuanYi Zen Hei"/>
        <family val="2"/>
      </rPr>
      <t xml:space="preserve">単価。与信チェック </t>
    </r>
    <r>
      <rPr>
        <sz val="10"/>
        <rFont val="Arial"/>
        <family val="0"/>
        <charset val="1"/>
      </rPr>
      <t xml:space="preserve">BR-11</t>
    </r>
    <r>
      <rPr>
        <sz val="10"/>
        <rFont val="WenQuanYi Zen Hei"/>
        <family val="2"/>
      </rPr>
      <t xml:space="preserve">（</t>
    </r>
    <r>
      <rPr>
        <sz val="10"/>
        <rFont val="Arial"/>
        <family val="0"/>
        <charset val="1"/>
      </rPr>
      <t xml:space="preserve">MSG-W03</t>
    </r>
    <r>
      <rPr>
        <sz val="10"/>
        <rFont val="WenQuanYi Zen Hei"/>
        <family val="2"/>
      </rPr>
      <t xml:space="preserve">）</t>
    </r>
  </si>
  <si>
    <t xml:space="preserve">保存ボタン</t>
  </si>
  <si>
    <r>
      <rPr>
        <sz val="10"/>
        <rFont val="WenQuanYi Zen Hei"/>
        <family val="2"/>
      </rPr>
      <t xml:space="preserve">処理詳細 </t>
    </r>
    <r>
      <rPr>
        <sz val="10"/>
        <rFont val="Arial"/>
        <family val="0"/>
        <charset val="1"/>
      </rPr>
      <t xml:space="preserve">P-03 </t>
    </r>
    <r>
      <rPr>
        <sz val="10"/>
        <rFont val="WenQuanYi Zen Hei"/>
        <family val="2"/>
      </rPr>
      <t xml:space="preserve">を実行</t>
    </r>
  </si>
  <si>
    <t xml:space="preserve">t_shipment.sales_order_id</t>
  </si>
  <si>
    <r>
      <rPr>
        <sz val="10"/>
        <rFont val="Arial"/>
        <family val="0"/>
        <charset val="1"/>
      </rPr>
      <t xml:space="preserve">OPEN/PARTIAL </t>
    </r>
    <r>
      <rPr>
        <sz val="10"/>
        <rFont val="WenQuanYi Zen Hei"/>
        <family val="2"/>
      </rPr>
      <t xml:space="preserve">の受注のみ</t>
    </r>
  </si>
  <si>
    <t xml:space="preserve">出荷日</t>
  </si>
  <si>
    <t xml:space="preserve">t_shipment.shipped_on</t>
  </si>
  <si>
    <t xml:space="preserve">受注明細（商品・残数量）</t>
  </si>
  <si>
    <t xml:space="preserve">t_sales_order_line</t>
  </si>
  <si>
    <t xml:space="preserve">受注数量−出荷済数量</t>
  </si>
  <si>
    <t xml:space="preserve">自動引当ボタン</t>
  </si>
  <si>
    <r>
      <rPr>
        <sz val="10"/>
        <rFont val="WenQuanYi Zen Hei"/>
        <family val="2"/>
      </rPr>
      <t xml:space="preserve">処理詳細 </t>
    </r>
    <r>
      <rPr>
        <sz val="10"/>
        <rFont val="Arial"/>
        <family val="0"/>
        <charset val="1"/>
      </rPr>
      <t xml:space="preserve">P-04</t>
    </r>
    <r>
      <rPr>
        <sz val="10"/>
        <rFont val="WenQuanYi Zen Hei"/>
        <family val="2"/>
      </rPr>
      <t xml:space="preserve">（</t>
    </r>
    <r>
      <rPr>
        <sz val="10"/>
        <rFont val="Arial"/>
        <family val="0"/>
        <charset val="1"/>
      </rPr>
      <t xml:space="preserve">FEFO</t>
    </r>
    <r>
      <rPr>
        <sz val="10"/>
        <rFont val="WenQuanYi Zen Hei"/>
        <family val="2"/>
      </rPr>
      <t xml:space="preserve">）</t>
    </r>
  </si>
  <si>
    <t xml:space="preserve">引当ロット</t>
  </si>
  <si>
    <t xml:space="preserve">t_shipment_line.lot_id</t>
  </si>
  <si>
    <t xml:space="preserve">自動引当結果</t>
  </si>
  <si>
    <r>
      <rPr>
        <sz val="10"/>
        <rFont val="Arial"/>
        <family val="0"/>
        <charset val="1"/>
      </rPr>
      <t xml:space="preserve">BR-04 </t>
    </r>
    <r>
      <rPr>
        <sz val="10"/>
        <rFont val="WenQuanYi Zen Hei"/>
        <family val="2"/>
      </rPr>
      <t xml:space="preserve">条件を満たすロットのみ表示。使用期限・残期間を併記</t>
    </r>
  </si>
  <si>
    <t xml:space="preserve">出庫保管場所</t>
  </si>
  <si>
    <t xml:space="preserve">t_shipment_line.location_id</t>
  </si>
  <si>
    <t xml:space="preserve">選択ロットの在庫がある場所のみ</t>
  </si>
  <si>
    <t xml:space="preserve">出荷数量</t>
  </si>
  <si>
    <t xml:space="preserve">t_shipment_line.quantity</t>
  </si>
  <si>
    <r>
      <rPr>
        <sz val="10"/>
        <rFont val="Arial"/>
        <family val="0"/>
        <charset val="1"/>
      </rPr>
      <t xml:space="preserve">1</t>
    </r>
    <r>
      <rPr>
        <sz val="10"/>
        <rFont val="WenQuanYi Zen Hei"/>
        <family val="2"/>
      </rPr>
      <t xml:space="preserve">以上・引当可能数以下（</t>
    </r>
    <r>
      <rPr>
        <sz val="10"/>
        <rFont val="Arial"/>
        <family val="0"/>
        <charset val="1"/>
      </rPr>
      <t xml:space="preserve">MSG-E12</t>
    </r>
    <r>
      <rPr>
        <sz val="10"/>
        <rFont val="WenQuanYi Zen Hei"/>
        <family val="2"/>
      </rPr>
      <t xml:space="preserve">）</t>
    </r>
  </si>
  <si>
    <t xml:space="preserve">配送業者</t>
  </si>
  <si>
    <t xml:space="preserve">t_shipment.carrier</t>
  </si>
  <si>
    <t xml:space="preserve">温度区分に応じたクール便区分</t>
  </si>
  <si>
    <t xml:space="preserve">送り状番号</t>
  </si>
  <si>
    <t xml:space="preserve">t_shipment.tracking_no</t>
  </si>
  <si>
    <t xml:space="preserve">出荷確定ボタン</t>
  </si>
  <si>
    <r>
      <rPr>
        <sz val="10"/>
        <rFont val="WenQuanYi Zen Hei"/>
        <family val="2"/>
      </rPr>
      <t xml:space="preserve">処理詳細 </t>
    </r>
    <r>
      <rPr>
        <sz val="10"/>
        <rFont val="Arial"/>
        <family val="0"/>
        <charset val="1"/>
      </rPr>
      <t xml:space="preserve">P-05</t>
    </r>
  </si>
  <si>
    <t xml:space="preserve">納品書出力ボタン</t>
  </si>
  <si>
    <r>
      <rPr>
        <sz val="10"/>
        <rFont val="Arial"/>
        <family val="0"/>
        <charset val="1"/>
      </rPr>
      <t xml:space="preserve">SHIPPED </t>
    </r>
    <r>
      <rPr>
        <sz val="10"/>
        <rFont val="WenQuanYi Zen Hei"/>
        <family val="2"/>
      </rPr>
      <t xml:space="preserve">のみ有効。</t>
    </r>
    <r>
      <rPr>
        <sz val="10"/>
        <rFont val="Arial"/>
        <family val="0"/>
        <charset val="1"/>
      </rPr>
      <t xml:space="preserve">RP-02</t>
    </r>
  </si>
  <si>
    <t xml:space="preserve">出荷取消ボタン</t>
  </si>
  <si>
    <r>
      <rPr>
        <sz val="10"/>
        <rFont val="Arial"/>
        <family val="0"/>
        <charset val="1"/>
      </rPr>
      <t xml:space="preserve">ADMIN</t>
    </r>
    <r>
      <rPr>
        <sz val="10"/>
        <rFont val="WenQuanYi Zen Hei"/>
        <family val="2"/>
      </rPr>
      <t xml:space="preserve">のみ。処理詳細 </t>
    </r>
    <r>
      <rPr>
        <sz val="10"/>
        <rFont val="Arial"/>
        <family val="0"/>
        <charset val="1"/>
      </rPr>
      <t xml:space="preserve">P-06</t>
    </r>
  </si>
  <si>
    <t xml:space="preserve">ロット番号</t>
  </si>
  <si>
    <t xml:space="preserve">30</t>
  </si>
  <si>
    <t xml:space="preserve">t_lot.lot_no / supplier_lot_no</t>
  </si>
  <si>
    <t xml:space="preserve">社内・仕入先どちらの番号でも検索可（部分一致）</t>
  </si>
  <si>
    <t xml:space="preserve">ロット基本情報</t>
  </si>
  <si>
    <t xml:space="preserve">表示</t>
  </si>
  <si>
    <t xml:space="preserve">t_lot, m_product, m_supplier</t>
  </si>
  <si>
    <t xml:space="preserve">商品・仕入先・使用期限・ステータス・入荷日</t>
  </si>
  <si>
    <t xml:space="preserve">在庫状況</t>
  </si>
  <si>
    <t xml:space="preserve">t_inventory</t>
  </si>
  <si>
    <r>
      <rPr>
        <sz val="10"/>
        <rFont val="WenQuanYi Zen Hei"/>
        <family val="2"/>
      </rPr>
      <t xml:space="preserve">保管場所別 現在庫</t>
    </r>
    <r>
      <rPr>
        <sz val="10"/>
        <rFont val="Arial"/>
        <family val="0"/>
        <charset val="1"/>
      </rPr>
      <t xml:space="preserve">/</t>
    </r>
    <r>
      <rPr>
        <sz val="10"/>
        <rFont val="WenQuanYi Zen Hei"/>
        <family val="2"/>
      </rPr>
      <t xml:space="preserve">引当済</t>
    </r>
  </si>
  <si>
    <t xml:space="preserve">出荷先一覧</t>
  </si>
  <si>
    <t xml:space="preserve">t_shipment_line, t_shipment, m_customer, m_ship_to</t>
  </si>
  <si>
    <r>
      <rPr>
        <sz val="10"/>
        <rFont val="WenQuanYi Zen Hei"/>
        <family val="2"/>
      </rPr>
      <t xml:space="preserve">顧客・納品先・出荷日・出荷番号・出荷数量・返品数量・正味数量（</t>
    </r>
    <r>
      <rPr>
        <sz val="10"/>
        <rFont val="Arial"/>
        <family val="0"/>
        <charset val="1"/>
      </rPr>
      <t xml:space="preserve">SQL-01</t>
    </r>
    <r>
      <rPr>
        <sz val="10"/>
        <rFont val="WenQuanYi Zen Hei"/>
        <family val="2"/>
      </rPr>
      <t xml:space="preserve">）</t>
    </r>
  </si>
  <si>
    <t xml:space="preserve">集計</t>
  </si>
  <si>
    <t xml:space="preserve">入荷数量＝出荷正味＋現在庫＋廃棄・調整 の整合表示</t>
  </si>
  <si>
    <r>
      <rPr>
        <sz val="10"/>
        <rFont val="Arial"/>
        <family val="0"/>
        <charset val="1"/>
      </rPr>
      <t xml:space="preserve">CSV/PDF</t>
    </r>
    <r>
      <rPr>
        <sz val="10"/>
        <rFont val="WenQuanYi Zen Hei"/>
        <family val="2"/>
      </rPr>
      <t xml:space="preserve">出力ボタン</t>
    </r>
  </si>
  <si>
    <r>
      <rPr>
        <sz val="10"/>
        <rFont val="WenQuanYi Zen Hei"/>
        <family val="2"/>
      </rPr>
      <t xml:space="preserve">監査ログ </t>
    </r>
    <r>
      <rPr>
        <sz val="10"/>
        <rFont val="Arial"/>
        <family val="0"/>
        <charset val="1"/>
      </rPr>
      <t xml:space="preserve">EXPORT </t>
    </r>
    <r>
      <rPr>
        <sz val="10"/>
        <rFont val="WenQuanYi Zen Hei"/>
        <family val="2"/>
      </rPr>
      <t xml:space="preserve">記録</t>
    </r>
  </si>
  <si>
    <t xml:space="preserve">回収案件作成ボタン</t>
  </si>
  <si>
    <r>
      <rPr>
        <sz val="10"/>
        <rFont val="Arial"/>
        <family val="0"/>
        <charset val="1"/>
      </rPr>
      <t xml:space="preserve">QA</t>
    </r>
    <r>
      <rPr>
        <sz val="10"/>
        <rFont val="WenQuanYi Zen Hei"/>
        <family val="2"/>
      </rPr>
      <t xml:space="preserve">のみ。</t>
    </r>
    <r>
      <rPr>
        <sz val="10"/>
        <rFont val="Arial"/>
        <family val="0"/>
        <charset val="1"/>
      </rPr>
      <t xml:space="preserve">SCR-53</t>
    </r>
    <r>
      <rPr>
        <sz val="10"/>
        <rFont val="WenQuanYi Zen Hei"/>
        <family val="2"/>
      </rPr>
      <t xml:space="preserve">へロット引継ぎ</t>
    </r>
  </si>
  <si>
    <t xml:space="preserve">m_customer.id</t>
  </si>
  <si>
    <t xml:space="preserve">期間</t>
  </si>
  <si>
    <t xml:space="preserve">日付範囲</t>
  </si>
  <si>
    <r>
      <rPr>
        <sz val="10"/>
        <rFont val="WenQuanYi Zen Hei"/>
        <family val="2"/>
      </rPr>
      <t xml:space="preserve">直近</t>
    </r>
    <r>
      <rPr>
        <sz val="10"/>
        <rFont val="Arial"/>
        <family val="0"/>
        <charset val="1"/>
      </rPr>
      <t xml:space="preserve">1</t>
    </r>
    <r>
      <rPr>
        <sz val="10"/>
        <rFont val="WenQuanYi Zen Hei"/>
        <family val="2"/>
      </rPr>
      <t xml:space="preserve">年</t>
    </r>
  </si>
  <si>
    <t xml:space="preserve">購入ロット一覧</t>
  </si>
  <si>
    <t xml:space="preserve">t_shipment_line, t_lot, m_product</t>
  </si>
  <si>
    <r>
      <rPr>
        <sz val="10"/>
        <rFont val="WenQuanYi Zen Hei"/>
        <family val="2"/>
      </rPr>
      <t xml:space="preserve">出荷日・商品・ロット・使用期限・数量・ロットステータス（</t>
    </r>
    <r>
      <rPr>
        <sz val="10"/>
        <rFont val="Arial"/>
        <family val="0"/>
        <charset val="1"/>
      </rPr>
      <t xml:space="preserve">SQL-02</t>
    </r>
    <r>
      <rPr>
        <sz val="10"/>
        <rFont val="WenQuanYi Zen Hei"/>
        <family val="2"/>
      </rPr>
      <t xml:space="preserve">）。</t>
    </r>
    <r>
      <rPr>
        <sz val="10"/>
        <rFont val="Arial"/>
        <family val="0"/>
        <charset val="1"/>
      </rPr>
      <t xml:space="preserve">RECALLED</t>
    </r>
    <r>
      <rPr>
        <sz val="10"/>
        <rFont val="WenQuanYi Zen Hei"/>
        <family val="2"/>
      </rPr>
      <t xml:space="preserve">は赤表示</t>
    </r>
  </si>
  <si>
    <t xml:space="preserve">回収番号</t>
  </si>
  <si>
    <t xml:space="preserve">t_recall.recall_no</t>
  </si>
  <si>
    <t xml:space="preserve">件名</t>
  </si>
  <si>
    <t xml:space="preserve">100</t>
  </si>
  <si>
    <t xml:space="preserve">t_recall.title</t>
  </si>
  <si>
    <t xml:space="preserve">回収理由</t>
  </si>
  <si>
    <t xml:space="preserve">2000</t>
  </si>
  <si>
    <t xml:space="preserve">t_recall.reason</t>
  </si>
  <si>
    <t xml:space="preserve">重大度</t>
  </si>
  <si>
    <r>
      <rPr>
        <sz val="10"/>
        <rFont val="WenQuanYi Zen Hei"/>
        <family val="2"/>
      </rPr>
      <t xml:space="preserve">クラス</t>
    </r>
    <r>
      <rPr>
        <sz val="10"/>
        <rFont val="Arial"/>
        <family val="0"/>
        <charset val="1"/>
      </rPr>
      <t xml:space="preserve">I/II/III</t>
    </r>
  </si>
  <si>
    <t xml:space="preserve">t_recall.severity</t>
  </si>
  <si>
    <t xml:space="preserve">対象ロット</t>
  </si>
  <si>
    <t xml:space="preserve">複数選択</t>
  </si>
  <si>
    <t xml:space="preserve">t_recall_lot.lot_id</t>
  </si>
  <si>
    <r>
      <rPr>
        <sz val="10"/>
        <rFont val="Arial"/>
        <family val="0"/>
        <charset val="1"/>
      </rPr>
      <t xml:space="preserve">1</t>
    </r>
    <r>
      <rPr>
        <sz val="10"/>
        <rFont val="WenQuanYi Zen Hei"/>
        <family val="2"/>
      </rPr>
      <t xml:space="preserve">件以上</t>
    </r>
  </si>
  <si>
    <t xml:space="preserve">対象顧客抽出ボタン</t>
  </si>
  <si>
    <r>
      <rPr>
        <sz val="10"/>
        <rFont val="WenQuanYi Zen Hei"/>
        <family val="2"/>
      </rPr>
      <t xml:space="preserve">処理詳細 </t>
    </r>
    <r>
      <rPr>
        <sz val="10"/>
        <rFont val="Arial"/>
        <family val="0"/>
        <charset val="1"/>
      </rPr>
      <t xml:space="preserve">P-08</t>
    </r>
  </si>
  <si>
    <t xml:space="preserve">対象顧客一覧</t>
  </si>
  <si>
    <t xml:space="preserve">一覧（編集可）</t>
  </si>
  <si>
    <t xml:space="preserve">t_recall_target</t>
  </si>
  <si>
    <t xml:space="preserve">連絡日・連絡方法・回収数量・ステータスを行内編集</t>
  </si>
  <si>
    <t xml:space="preserve">進捗</t>
  </si>
  <si>
    <r>
      <rPr>
        <sz val="10"/>
        <rFont val="WenQuanYi Zen Hei"/>
        <family val="2"/>
      </rPr>
      <t xml:space="preserve">連絡済率・回収率（回収数量</t>
    </r>
    <r>
      <rPr>
        <sz val="10"/>
        <rFont val="Arial"/>
        <family val="0"/>
        <charset val="1"/>
      </rPr>
      <t xml:space="preserve">/</t>
    </r>
    <r>
      <rPr>
        <sz val="10"/>
        <rFont val="WenQuanYi Zen Hei"/>
        <family val="2"/>
      </rPr>
      <t xml:space="preserve">出荷数量）</t>
    </r>
  </si>
  <si>
    <t xml:space="preserve">完了ボタン</t>
  </si>
  <si>
    <r>
      <rPr>
        <sz val="10"/>
        <rFont val="WenQuanYi Zen Hei"/>
        <family val="2"/>
      </rPr>
      <t xml:space="preserve">全対象が</t>
    </r>
    <r>
      <rPr>
        <sz val="10"/>
        <rFont val="Arial"/>
        <family val="0"/>
        <charset val="1"/>
      </rPr>
      <t xml:space="preserve">RECOVERED/CLOSED</t>
    </r>
    <r>
      <rPr>
        <sz val="10"/>
        <rFont val="WenQuanYi Zen Hei"/>
        <family val="2"/>
      </rPr>
      <t xml:space="preserve">で有効</t>
    </r>
  </si>
  <si>
    <r>
      <rPr>
        <b val="true"/>
        <sz val="11"/>
        <color rgb="FF1F4E5F"/>
        <rFont val="Arial"/>
        <family val="0"/>
        <charset val="1"/>
      </rPr>
      <t xml:space="preserve">API</t>
    </r>
    <r>
      <rPr>
        <b val="true"/>
        <sz val="11"/>
        <color rgb="FF1F4E5F"/>
        <rFont val="WenQuanYi Zen Hei"/>
        <family val="2"/>
      </rPr>
      <t xml:space="preserve">一覧</t>
    </r>
  </si>
  <si>
    <r>
      <rPr>
        <i val="true"/>
        <sz val="9"/>
        <color rgb="FF595959"/>
        <rFont val="WenQuanYi Zen Hei"/>
        <family val="2"/>
      </rPr>
      <t xml:space="preserve">全</t>
    </r>
    <r>
      <rPr>
        <i val="true"/>
        <sz val="9"/>
        <color rgb="FF595959"/>
        <rFont val="Arial"/>
        <family val="0"/>
        <charset val="1"/>
      </rPr>
      <t xml:space="preserve">API</t>
    </r>
    <r>
      <rPr>
        <i val="true"/>
        <sz val="9"/>
        <color rgb="FF595959"/>
        <rFont val="WenQuanYi Zen Hei"/>
        <family val="2"/>
      </rPr>
      <t xml:space="preserve">はサーバー側で認証・権限（権限マトリクス）を検証する。更新系は楽観ロック（</t>
    </r>
    <r>
      <rPr>
        <i val="true"/>
        <sz val="9"/>
        <color rgb="FF595959"/>
        <rFont val="Arial"/>
        <family val="0"/>
        <charset val="1"/>
      </rPr>
      <t xml:space="preserve">version</t>
    </r>
    <r>
      <rPr>
        <i val="true"/>
        <sz val="9"/>
        <color rgb="FF595959"/>
        <rFont val="WenQuanYi Zen Hei"/>
        <family val="2"/>
      </rPr>
      <t xml:space="preserve">）必須。エラーは </t>
    </r>
    <r>
      <rPr>
        <i val="true"/>
        <sz val="9"/>
        <color rgb="FF595959"/>
        <rFont val="Arial"/>
        <family val="0"/>
        <charset val="1"/>
      </rPr>
      <t xml:space="preserve">{code, message_id, message} </t>
    </r>
    <r>
      <rPr>
        <i val="true"/>
        <sz val="9"/>
        <color rgb="FF595959"/>
        <rFont val="WenQuanYi Zen Hei"/>
        <family val="2"/>
      </rPr>
      <t xml:space="preserve">を返す</t>
    </r>
  </si>
  <si>
    <t xml:space="preserve">API ID</t>
  </si>
  <si>
    <t xml:space="preserve">メソッド</t>
  </si>
  <si>
    <t xml:space="preserve">パス</t>
  </si>
  <si>
    <t xml:space="preserve">許可ロール</t>
  </si>
  <si>
    <t xml:space="preserve">API-001</t>
  </si>
  <si>
    <t xml:space="preserve">POST</t>
  </si>
  <si>
    <t xml:space="preserve">/api/auth/login</t>
  </si>
  <si>
    <r>
      <rPr>
        <sz val="10"/>
        <rFont val="WenQuanYi Zen Hei"/>
        <family val="2"/>
      </rPr>
      <t xml:space="preserve">ログイン（</t>
    </r>
    <r>
      <rPr>
        <sz val="10"/>
        <rFont val="Arial"/>
        <family val="0"/>
        <charset val="1"/>
      </rPr>
      <t xml:space="preserve">2</t>
    </r>
    <r>
      <rPr>
        <sz val="10"/>
        <rFont val="WenQuanYi Zen Hei"/>
        <family val="2"/>
      </rPr>
      <t xml:space="preserve">要素認証は </t>
    </r>
    <r>
      <rPr>
        <sz val="10"/>
        <rFont val="Arial"/>
        <family val="0"/>
        <charset val="1"/>
      </rPr>
      <t xml:space="preserve">/api/auth/mfa</t>
    </r>
    <r>
      <rPr>
        <sz val="10"/>
        <rFont val="WenQuanYi Zen Hei"/>
        <family val="2"/>
      </rPr>
      <t xml:space="preserve">）</t>
    </r>
  </si>
  <si>
    <t xml:space="preserve">全員</t>
  </si>
  <si>
    <t xml:space="preserve">API-010</t>
  </si>
  <si>
    <t xml:space="preserve">GET</t>
  </si>
  <si>
    <t xml:space="preserve">/api/suppliers</t>
  </si>
  <si>
    <t xml:space="preserve">仕入先検索</t>
  </si>
  <si>
    <t xml:space="preserve">全ロール</t>
  </si>
  <si>
    <t xml:space="preserve">API-011</t>
  </si>
  <si>
    <t xml:space="preserve">POST/PUT</t>
  </si>
  <si>
    <t xml:space="preserve">/api/suppliers[/{id}]</t>
  </si>
  <si>
    <t xml:space="preserve">仕入先登録・更新</t>
  </si>
  <si>
    <t xml:space="preserve">ADMIN</t>
  </si>
  <si>
    <t xml:space="preserve">API-012</t>
  </si>
  <si>
    <t xml:space="preserve">/api/products</t>
  </si>
  <si>
    <t xml:space="preserve">商品検索</t>
  </si>
  <si>
    <t xml:space="preserve">API-013</t>
  </si>
  <si>
    <t xml:space="preserve">/api/products[/{id}]</t>
  </si>
  <si>
    <t xml:space="preserve">商品登録・更新</t>
  </si>
  <si>
    <t xml:space="preserve">ADMIN,PURCHASE</t>
  </si>
  <si>
    <t xml:space="preserve">API-014</t>
  </si>
  <si>
    <t xml:space="preserve">/api/customers</t>
  </si>
  <si>
    <t xml:space="preserve">顧客検索</t>
  </si>
  <si>
    <t xml:space="preserve">API-015</t>
  </si>
  <si>
    <t xml:space="preserve">/api/customers[/{id}]</t>
  </si>
  <si>
    <t xml:space="preserve">顧客・納品先登録・更新</t>
  </si>
  <si>
    <t xml:space="preserve">ADMIN,SALES</t>
  </si>
  <si>
    <t xml:space="preserve">API-016</t>
  </si>
  <si>
    <t xml:space="preserve">GET/POST/PUT</t>
  </si>
  <si>
    <t xml:space="preserve">/api/locations[/{id}]</t>
  </si>
  <si>
    <t xml:space="preserve">保管場所</t>
  </si>
  <si>
    <r>
      <rPr>
        <sz val="10"/>
        <rFont val="WenQuanYi Zen Hei"/>
        <family val="2"/>
      </rPr>
      <t xml:space="preserve">参照</t>
    </r>
    <r>
      <rPr>
        <sz val="10"/>
        <rFont val="Arial"/>
        <family val="0"/>
        <charset val="1"/>
      </rPr>
      <t xml:space="preserve">:</t>
    </r>
    <r>
      <rPr>
        <sz val="10"/>
        <rFont val="WenQuanYi Zen Hei"/>
        <family val="2"/>
      </rPr>
      <t xml:space="preserve">全ロール／更新</t>
    </r>
    <r>
      <rPr>
        <sz val="10"/>
        <rFont val="Arial"/>
        <family val="0"/>
        <charset val="1"/>
      </rPr>
      <t xml:space="preserve">:ADMIN,WAREHOUSE</t>
    </r>
  </si>
  <si>
    <t xml:space="preserve">API-017</t>
  </si>
  <si>
    <t xml:space="preserve">/api/users[/{id}]</t>
  </si>
  <si>
    <t xml:space="preserve">API-018</t>
  </si>
  <si>
    <t xml:space="preserve">GET/PUT</t>
  </si>
  <si>
    <t xml:space="preserve">/api/sales-rules</t>
  </si>
  <si>
    <r>
      <rPr>
        <sz val="10"/>
        <rFont val="WenQuanYi Zen Hei"/>
        <family val="2"/>
      </rPr>
      <t xml:space="preserve">販売可否ルール（更新は</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承認の</t>
    </r>
    <r>
      <rPr>
        <sz val="10"/>
        <rFont val="Arial"/>
        <family val="0"/>
        <charset val="1"/>
      </rPr>
      <t xml:space="preserve">2</t>
    </r>
    <r>
      <rPr>
        <sz val="10"/>
        <rFont val="WenQuanYi Zen Hei"/>
        <family val="2"/>
      </rPr>
      <t xml:space="preserve">段階）</t>
    </r>
  </si>
  <si>
    <t xml:space="preserve">ADMIN,QA</t>
  </si>
  <si>
    <t xml:space="preserve">API-020</t>
  </si>
  <si>
    <t xml:space="preserve">/api/purchase-orders[/{id}]</t>
  </si>
  <si>
    <t xml:space="preserve">発注検索・登録・更新</t>
  </si>
  <si>
    <t xml:space="preserve">API-021</t>
  </si>
  <si>
    <t xml:space="preserve">/api/purchase-orders/{id}/approve</t>
  </si>
  <si>
    <t xml:space="preserve">発注承認</t>
  </si>
  <si>
    <t xml:space="preserve">API-022</t>
  </si>
  <si>
    <t xml:space="preserve">/api/purchase-orders/{id}/cancel</t>
  </si>
  <si>
    <t xml:space="preserve">発注取消</t>
  </si>
  <si>
    <t xml:space="preserve">API-023</t>
  </si>
  <si>
    <t xml:space="preserve">/api/purchase-orders/{id}/pdf</t>
  </si>
  <si>
    <r>
      <rPr>
        <sz val="10"/>
        <rFont val="WenQuanYi Zen Hei"/>
        <family val="2"/>
      </rPr>
      <t xml:space="preserve">発注書</t>
    </r>
    <r>
      <rPr>
        <sz val="10"/>
        <rFont val="Arial"/>
        <family val="0"/>
        <charset val="1"/>
      </rPr>
      <t xml:space="preserve">PDF</t>
    </r>
  </si>
  <si>
    <t xml:space="preserve">API-030</t>
  </si>
  <si>
    <t xml:space="preserve">/api/receipts</t>
  </si>
  <si>
    <t xml:space="preserve">入荷登録（下書き）</t>
  </si>
  <si>
    <t xml:space="preserve">ADMIN,WAREHOUSE</t>
  </si>
  <si>
    <t xml:space="preserve">API-031</t>
  </si>
  <si>
    <t xml:space="preserve">/api/receipts/{id}/confirm</t>
  </si>
  <si>
    <t xml:space="preserve">入荷確定（ロット生成・在庫加算）</t>
  </si>
  <si>
    <t xml:space="preserve">P-01</t>
  </si>
  <si>
    <t xml:space="preserve">API-032</t>
  </si>
  <si>
    <t xml:space="preserve">/api/lots/{id}/inspection</t>
  </si>
  <si>
    <t xml:space="preserve">受入検品判定</t>
  </si>
  <si>
    <t xml:space="preserve">QA</t>
  </si>
  <si>
    <t xml:space="preserve">P-02</t>
  </si>
  <si>
    <t xml:space="preserve">API-033</t>
  </si>
  <si>
    <t xml:space="preserve">/api/attachments</t>
  </si>
  <si>
    <r>
      <rPr>
        <sz val="10"/>
        <rFont val="WenQuanYi Zen Hei"/>
        <family val="2"/>
      </rPr>
      <t xml:space="preserve">添付アップロード（</t>
    </r>
    <r>
      <rPr>
        <sz val="10"/>
        <rFont val="Arial"/>
        <family val="0"/>
        <charset val="1"/>
      </rPr>
      <t xml:space="preserve">COA</t>
    </r>
    <r>
      <rPr>
        <sz val="10"/>
        <rFont val="WenQuanYi Zen Hei"/>
        <family val="2"/>
      </rPr>
      <t xml:space="preserve">等）</t>
    </r>
  </si>
  <si>
    <t xml:space="preserve">API-040</t>
  </si>
  <si>
    <t xml:space="preserve">/api/lots</t>
  </si>
  <si>
    <t xml:space="preserve">ロット検索</t>
  </si>
  <si>
    <t xml:space="preserve">API-041</t>
  </si>
  <si>
    <t xml:space="preserve">/api/lots/{id}</t>
  </si>
  <si>
    <t xml:space="preserve">ロット詳細（在庫・履歴・添付）</t>
  </si>
  <si>
    <t xml:space="preserve">API-042</t>
  </si>
  <si>
    <t xml:space="preserve">/api/lots/{id}/status</t>
  </si>
  <si>
    <t xml:space="preserve">API-050</t>
  </si>
  <si>
    <t xml:space="preserve">/api/inventory</t>
  </si>
  <si>
    <t xml:space="preserve">API-051</t>
  </si>
  <si>
    <t xml:space="preserve">/api/stock/transfers</t>
  </si>
  <si>
    <t xml:space="preserve">保管場所間移動</t>
  </si>
  <si>
    <t xml:space="preserve">P-10</t>
  </si>
  <si>
    <t xml:space="preserve">API-052</t>
  </si>
  <si>
    <t xml:space="preserve">/api/stock/adjustments</t>
  </si>
  <si>
    <t xml:space="preserve">棚卸調整・廃棄</t>
  </si>
  <si>
    <t xml:space="preserve">API-053</t>
  </si>
  <si>
    <t xml:space="preserve">/api/temperature-logs[/import]</t>
  </si>
  <si>
    <r>
      <rPr>
        <sz val="10"/>
        <rFont val="WenQuanYi Zen Hei"/>
        <family val="2"/>
      </rPr>
      <t xml:space="preserve">温度記録登録・</t>
    </r>
    <r>
      <rPr>
        <sz val="10"/>
        <rFont val="Arial"/>
        <family val="0"/>
        <charset val="1"/>
      </rPr>
      <t xml:space="preserve">CSV</t>
    </r>
    <r>
      <rPr>
        <sz val="10"/>
        <rFont val="WenQuanYi Zen Hei"/>
        <family val="2"/>
      </rPr>
      <t xml:space="preserve">取込</t>
    </r>
  </si>
  <si>
    <t xml:space="preserve">ADMIN,WAREHOUSE,QA</t>
  </si>
  <si>
    <t xml:space="preserve">P-09</t>
  </si>
  <si>
    <t xml:space="preserve">API-054</t>
  </si>
  <si>
    <t xml:space="preserve">/api/alerts</t>
  </si>
  <si>
    <t xml:space="preserve">アラート一覧</t>
  </si>
  <si>
    <t xml:space="preserve">API-060</t>
  </si>
  <si>
    <t xml:space="preserve">/api/sales-orders[/{id}]</t>
  </si>
  <si>
    <t xml:space="preserve">受注検索・登録・更新</t>
  </si>
  <si>
    <t xml:space="preserve">P-03</t>
  </si>
  <si>
    <t xml:space="preserve">API-061</t>
  </si>
  <si>
    <t xml:space="preserve">/api/sales-orders/{id}/cancel</t>
  </si>
  <si>
    <t xml:space="preserve">受注取消</t>
  </si>
  <si>
    <t xml:space="preserve">API-070</t>
  </si>
  <si>
    <t xml:space="preserve">/api/shipments/allocate</t>
  </si>
  <si>
    <r>
      <rPr>
        <sz val="10"/>
        <rFont val="WenQuanYi Zen Hei"/>
        <family val="2"/>
      </rPr>
      <t xml:space="preserve">自動引当（</t>
    </r>
    <r>
      <rPr>
        <sz val="10"/>
        <rFont val="Arial"/>
        <family val="0"/>
        <charset val="1"/>
      </rPr>
      <t xml:space="preserve">FEFO</t>
    </r>
    <r>
      <rPr>
        <sz val="10"/>
        <rFont val="WenQuanYi Zen Hei"/>
        <family val="2"/>
      </rPr>
      <t xml:space="preserve">）</t>
    </r>
  </si>
  <si>
    <t xml:space="preserve">P-04</t>
  </si>
  <si>
    <t xml:space="preserve">API-071</t>
  </si>
  <si>
    <t xml:space="preserve">/api/shipments/{id}/confirm</t>
  </si>
  <si>
    <t xml:space="preserve">出荷確定</t>
  </si>
  <si>
    <t xml:space="preserve">P-05</t>
  </si>
  <si>
    <t xml:space="preserve">API-072</t>
  </si>
  <si>
    <t xml:space="preserve">/api/shipments/{id}/cancel</t>
  </si>
  <si>
    <t xml:space="preserve">引当解除・出荷取消</t>
  </si>
  <si>
    <r>
      <rPr>
        <sz val="10"/>
        <rFont val="Arial"/>
        <family val="0"/>
        <charset val="1"/>
      </rPr>
      <t xml:space="preserve">ADMIN,WAREHOUSE</t>
    </r>
    <r>
      <rPr>
        <sz val="10"/>
        <rFont val="WenQuanYi Zen Hei"/>
        <family val="2"/>
      </rPr>
      <t xml:space="preserve">（確定後は</t>
    </r>
    <r>
      <rPr>
        <sz val="10"/>
        <rFont val="Arial"/>
        <family val="0"/>
        <charset val="1"/>
      </rPr>
      <t xml:space="preserve">ADMIN</t>
    </r>
    <r>
      <rPr>
        <sz val="10"/>
        <rFont val="WenQuanYi Zen Hei"/>
        <family val="2"/>
      </rPr>
      <t xml:space="preserve">のみ）</t>
    </r>
  </si>
  <si>
    <t xml:space="preserve">P-06</t>
  </si>
  <si>
    <t xml:space="preserve">API-073</t>
  </si>
  <si>
    <t xml:space="preserve">/api/shipments/{id}/delivery-note</t>
  </si>
  <si>
    <r>
      <rPr>
        <sz val="10"/>
        <rFont val="WenQuanYi Zen Hei"/>
        <family val="2"/>
      </rPr>
      <t xml:space="preserve">納品書</t>
    </r>
    <r>
      <rPr>
        <sz val="10"/>
        <rFont val="Arial"/>
        <family val="0"/>
        <charset val="1"/>
      </rPr>
      <t xml:space="preserve">PDF</t>
    </r>
  </si>
  <si>
    <t xml:space="preserve">ADMIN,WAREHOUSE,SALES</t>
  </si>
  <si>
    <t xml:space="preserve">API-080</t>
  </si>
  <si>
    <t xml:space="preserve">/api/returns</t>
  </si>
  <si>
    <t xml:space="preserve">P-07</t>
  </si>
  <si>
    <t xml:space="preserve">API-081</t>
  </si>
  <si>
    <t xml:space="preserve">/api/returns/{id}/disposition</t>
  </si>
  <si>
    <r>
      <rPr>
        <sz val="10"/>
        <rFont val="WenQuanYi Zen Hei"/>
        <family val="2"/>
      </rPr>
      <t xml:space="preserve">返品</t>
    </r>
    <r>
      <rPr>
        <sz val="10"/>
        <rFont val="Arial"/>
        <family val="0"/>
        <charset val="1"/>
      </rPr>
      <t xml:space="preserve">QA</t>
    </r>
    <r>
      <rPr>
        <sz val="10"/>
        <rFont val="WenQuanYi Zen Hei"/>
        <family val="2"/>
      </rPr>
      <t xml:space="preserve">判定（戻し</t>
    </r>
    <r>
      <rPr>
        <sz val="10"/>
        <rFont val="Arial"/>
        <family val="0"/>
        <charset val="1"/>
      </rPr>
      <t xml:space="preserve">/</t>
    </r>
    <r>
      <rPr>
        <sz val="10"/>
        <rFont val="WenQuanYi Zen Hei"/>
        <family val="2"/>
      </rPr>
      <t xml:space="preserve">廃棄）</t>
    </r>
  </si>
  <si>
    <t xml:space="preserve">API-090</t>
  </si>
  <si>
    <t xml:space="preserve">/api/trace/lots/{lotId}</t>
  </si>
  <si>
    <t xml:space="preserve">API-091</t>
  </si>
  <si>
    <t xml:space="preserve">/api/trace/customers/{customerId}</t>
  </si>
  <si>
    <t xml:space="preserve">API-100</t>
  </si>
  <si>
    <t xml:space="preserve">/api/recalls</t>
  </si>
  <si>
    <t xml:space="preserve">回収案件登録（ロット指定・出荷停止）</t>
  </si>
  <si>
    <t xml:space="preserve">P-08</t>
  </si>
  <si>
    <t xml:space="preserve">API-101</t>
  </si>
  <si>
    <t xml:space="preserve">/api/recalls/{id}/extract-targets</t>
  </si>
  <si>
    <t xml:space="preserve">回収対象顧客抽出</t>
  </si>
  <si>
    <t xml:space="preserve">API-102</t>
  </si>
  <si>
    <t xml:space="preserve">PUT</t>
  </si>
  <si>
    <t xml:space="preserve">/api/recalls/{id}/targets/{targetId}</t>
  </si>
  <si>
    <t xml:space="preserve">回収進捗更新</t>
  </si>
  <si>
    <t xml:space="preserve">QA,SALES</t>
  </si>
  <si>
    <t xml:space="preserve">API-103</t>
  </si>
  <si>
    <t xml:space="preserve">/api/recalls/{id}/close</t>
  </si>
  <si>
    <t xml:space="preserve">回収完了</t>
  </si>
  <si>
    <t xml:space="preserve">API-110</t>
  </si>
  <si>
    <t xml:space="preserve">/api/reports/{reportId}</t>
  </si>
  <si>
    <t xml:space="preserve">RPT-01,RPT-02,RPT-03,RPT-04,RPT-05</t>
  </si>
  <si>
    <t xml:space="preserve">帳票ごとに権限マトリクスに従う</t>
  </si>
  <si>
    <t xml:space="preserve">API-120</t>
  </si>
  <si>
    <t xml:space="preserve">/api/audit-logs</t>
  </si>
  <si>
    <t xml:space="preserve">API-130</t>
  </si>
  <si>
    <t xml:space="preserve">/api/dashboard</t>
  </si>
  <si>
    <r>
      <rPr>
        <i val="true"/>
        <sz val="9"/>
        <color rgb="FF595959"/>
        <rFont val="WenQuanYi Zen Hei"/>
        <family val="2"/>
      </rPr>
      <t xml:space="preserve">特記なき限り各処理は</t>
    </r>
    <r>
      <rPr>
        <i val="true"/>
        <sz val="9"/>
        <color rgb="FF595959"/>
        <rFont val="Arial"/>
        <family val="0"/>
        <charset val="1"/>
      </rPr>
      <t xml:space="preserve">1</t>
    </r>
    <r>
      <rPr>
        <i val="true"/>
        <sz val="9"/>
        <color rgb="FF595959"/>
        <rFont val="WenQuanYi Zen Hei"/>
        <family val="2"/>
      </rPr>
      <t xml:space="preserve">トランザクション。在庫・ロットの更新は </t>
    </r>
    <r>
      <rPr>
        <i val="true"/>
        <sz val="9"/>
        <color rgb="FF595959"/>
        <rFont val="Arial"/>
        <family val="0"/>
        <charset val="1"/>
      </rPr>
      <t xml:space="preserve">SELECT ... FOR UPDATE </t>
    </r>
    <r>
      <rPr>
        <i val="true"/>
        <sz val="9"/>
        <color rgb="FF595959"/>
        <rFont val="WenQuanYi Zen Hei"/>
        <family val="2"/>
      </rPr>
      <t xml:space="preserve">で行ロックし、エラー時は全体ロールバック</t>
    </r>
  </si>
  <si>
    <r>
      <rPr>
        <b val="true"/>
        <sz val="10"/>
        <color rgb="FFFFFFFF"/>
        <rFont val="WenQuanYi Zen Hei"/>
        <family val="2"/>
      </rPr>
      <t xml:space="preserve">処理</t>
    </r>
    <r>
      <rPr>
        <b val="true"/>
        <sz val="10"/>
        <color rgb="FFFFFFFF"/>
        <rFont val="Arial"/>
        <family val="0"/>
        <charset val="1"/>
      </rPr>
      <t xml:space="preserve">ID</t>
    </r>
  </si>
  <si>
    <t xml:space="preserve">処理名</t>
  </si>
  <si>
    <t xml:space="preserve">エラー時メッセージ</t>
  </si>
  <si>
    <t xml:space="preserve">入荷確定</t>
  </si>
  <si>
    <r>
      <rPr>
        <sz val="10"/>
        <rFont val="WenQuanYi Zen Hei"/>
        <family val="2"/>
      </rPr>
      <t xml:space="preserve">トランザクション開始。</t>
    </r>
    <r>
      <rPr>
        <sz val="10"/>
        <rFont val="Arial"/>
        <family val="0"/>
        <charset val="1"/>
      </rPr>
      <t xml:space="preserve">t_receipt </t>
    </r>
    <r>
      <rPr>
        <sz val="10"/>
        <rFont val="WenQuanYi Zen Hei"/>
        <family val="2"/>
      </rPr>
      <t xml:space="preserve">を </t>
    </r>
    <r>
      <rPr>
        <sz val="10"/>
        <rFont val="Arial"/>
        <family val="0"/>
        <charset val="1"/>
      </rPr>
      <t xml:space="preserve">SELECT ... FOR UPDATE</t>
    </r>
    <r>
      <rPr>
        <sz val="10"/>
        <rFont val="WenQuanYi Zen Hei"/>
        <family val="2"/>
      </rPr>
      <t xml:space="preserve">、</t>
    </r>
    <r>
      <rPr>
        <sz val="10"/>
        <rFont val="Arial"/>
        <family val="0"/>
        <charset val="1"/>
      </rPr>
      <t xml:space="preserve">status=DRAFT </t>
    </r>
    <r>
      <rPr>
        <sz val="10"/>
        <rFont val="WenQuanYi Zen Hei"/>
        <family val="2"/>
      </rPr>
      <t xml:space="preserve">を確認</t>
    </r>
  </si>
  <si>
    <t xml:space="preserve">MSG-E01</t>
  </si>
  <si>
    <r>
      <rPr>
        <sz val="10"/>
        <rFont val="WenQuanYi Zen Hei"/>
        <family val="2"/>
      </rPr>
      <t xml:space="preserve">各明細について、保管場所の保管温度区分＝商品の保管温度区分を検証（</t>
    </r>
    <r>
      <rPr>
        <sz val="10"/>
        <rFont val="Arial"/>
        <family val="0"/>
        <charset val="1"/>
      </rPr>
      <t xml:space="preserve">BR-06</t>
    </r>
    <r>
      <rPr>
        <sz val="10"/>
        <rFont val="WenQuanYi Zen Hei"/>
        <family val="2"/>
      </rPr>
      <t xml:space="preserve">）</t>
    </r>
  </si>
  <si>
    <t xml:space="preserve">MSG-E07</t>
  </si>
  <si>
    <r>
      <rPr>
        <sz val="10"/>
        <rFont val="Arial"/>
        <family val="0"/>
        <charset val="1"/>
      </rPr>
      <t xml:space="preserve">(</t>
    </r>
    <r>
      <rPr>
        <sz val="10"/>
        <rFont val="WenQuanYi Zen Hei"/>
        <family val="2"/>
      </rPr>
      <t xml:space="preserve">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t>
    </r>
    <r>
      <rPr>
        <sz val="10"/>
        <rFont val="Arial"/>
        <family val="0"/>
        <charset val="1"/>
      </rPr>
      <t xml:space="preserve">) </t>
    </r>
    <r>
      <rPr>
        <sz val="10"/>
        <rFont val="WenQuanYi Zen Hei"/>
        <family val="2"/>
      </rPr>
      <t xml:space="preserve">の重複を検証（</t>
    </r>
    <r>
      <rPr>
        <sz val="10"/>
        <rFont val="Arial"/>
        <family val="0"/>
        <charset val="1"/>
      </rPr>
      <t xml:space="preserve">BR-15</t>
    </r>
    <r>
      <rPr>
        <sz val="10"/>
        <rFont val="WenQuanYi Zen Hei"/>
        <family val="2"/>
      </rPr>
      <t xml:space="preserve">）</t>
    </r>
  </si>
  <si>
    <t xml:space="preserve">MSG-E05</t>
  </si>
  <si>
    <r>
      <rPr>
        <sz val="10"/>
        <rFont val="WenQuanYi Zen Hei"/>
        <family val="2"/>
      </rPr>
      <t xml:space="preserve">社内ロット番号を採番し </t>
    </r>
    <r>
      <rPr>
        <sz val="10"/>
        <rFont val="Arial"/>
        <family val="0"/>
        <charset val="1"/>
      </rPr>
      <t xml:space="preserve">t_lot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status=QUARANTINE</t>
    </r>
    <r>
      <rPr>
        <sz val="10"/>
        <rFont val="WenQuanYi Zen Hei"/>
        <family val="2"/>
      </rPr>
      <t xml:space="preserve">、使用期限未入力なら入荷日＋有効期間）</t>
    </r>
  </si>
  <si>
    <r>
      <rPr>
        <sz val="10"/>
        <rFont val="Arial"/>
        <family val="0"/>
        <charset val="1"/>
      </rPr>
      <t xml:space="preserve">t_stock_movement </t>
    </r>
    <r>
      <rPr>
        <sz val="10"/>
        <rFont val="WenQuanYi Zen Hei"/>
        <family val="2"/>
      </rPr>
      <t xml:space="preserve">に </t>
    </r>
    <r>
      <rPr>
        <sz val="10"/>
        <rFont val="Arial"/>
        <family val="0"/>
        <charset val="1"/>
      </rPr>
      <t xml:space="preserve">RECEIPT(+</t>
    </r>
    <r>
      <rPr>
        <sz val="10"/>
        <rFont val="WenQuanYi Zen Hei"/>
        <family val="2"/>
      </rPr>
      <t xml:space="preserve">数量</t>
    </r>
    <r>
      <rPr>
        <sz val="10"/>
        <rFont val="Arial"/>
        <family val="0"/>
        <charset val="1"/>
      </rPr>
      <t xml:space="preserv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t_inventory </t>
    </r>
    <r>
      <rPr>
        <sz val="10"/>
        <rFont val="WenQuanYi Zen Hei"/>
        <family val="2"/>
      </rPr>
      <t xml:space="preserve">を </t>
    </r>
    <r>
      <rPr>
        <sz val="10"/>
        <rFont val="Arial"/>
        <family val="0"/>
        <charset val="1"/>
      </rPr>
      <t xml:space="preserve">UPSERT</t>
    </r>
    <r>
      <rPr>
        <sz val="10"/>
        <rFont val="WenQuanYi Zen Hei"/>
        <family val="2"/>
      </rPr>
      <t xml:space="preserve">（</t>
    </r>
    <r>
      <rPr>
        <sz val="10"/>
        <rFont val="Arial"/>
        <family val="0"/>
        <charset val="1"/>
      </rPr>
      <t xml:space="preserve">on_hand_qty </t>
    </r>
    <r>
      <rPr>
        <sz val="10"/>
        <rFont val="WenQuanYi Zen Hei"/>
        <family val="2"/>
      </rPr>
      <t xml:space="preserve">加算）</t>
    </r>
  </si>
  <si>
    <r>
      <rPr>
        <sz val="10"/>
        <rFont val="WenQuanYi Zen Hei"/>
        <family val="2"/>
      </rPr>
      <t xml:space="preserve">発注引当時は </t>
    </r>
    <r>
      <rPr>
        <sz val="10"/>
        <rFont val="Arial"/>
        <family val="0"/>
        <charset val="1"/>
      </rPr>
      <t xml:space="preserve">t_purchase_order_line.received_qty </t>
    </r>
    <r>
      <rPr>
        <sz val="10"/>
        <rFont val="WenQuanYi Zen Hei"/>
        <family val="2"/>
      </rPr>
      <t xml:space="preserve">を加算し、発注ステータスを </t>
    </r>
    <r>
      <rPr>
        <sz val="10"/>
        <rFont val="Arial"/>
        <family val="0"/>
        <charset val="1"/>
      </rPr>
      <t xml:space="preserve">PARTIAL/RECEIVED </t>
    </r>
    <r>
      <rPr>
        <sz val="10"/>
        <rFont val="WenQuanYi Zen Hei"/>
        <family val="2"/>
      </rPr>
      <t xml:space="preserve">に更新</t>
    </r>
  </si>
  <si>
    <r>
      <rPr>
        <sz val="10"/>
        <rFont val="Arial"/>
        <family val="0"/>
        <charset val="1"/>
      </rPr>
      <t xml:space="preserve">t_receipt.status=CONFIRMED</t>
    </r>
    <r>
      <rPr>
        <sz val="10"/>
        <rFont val="WenQuanYi Zen Hei"/>
        <family val="2"/>
      </rPr>
      <t xml:space="preserve">、監査ログ記録、コミット。到着時温度が範囲外なら </t>
    </r>
    <r>
      <rPr>
        <sz val="10"/>
        <rFont val="Arial"/>
        <family val="0"/>
        <charset val="1"/>
      </rPr>
      <t xml:space="preserve">QA </t>
    </r>
    <r>
      <rPr>
        <sz val="10"/>
        <rFont val="WenQuanYi Zen Hei"/>
        <family val="2"/>
      </rPr>
      <t xml:space="preserve">へ通知</t>
    </r>
  </si>
  <si>
    <r>
      <rPr>
        <sz val="10"/>
        <rFont val="WenQuanYi Zen Hei"/>
        <family val="2"/>
      </rPr>
      <t xml:space="preserve">ロットを </t>
    </r>
    <r>
      <rPr>
        <sz val="10"/>
        <rFont val="Arial"/>
        <family val="0"/>
        <charset val="1"/>
      </rPr>
      <t xml:space="preserve">FOR UPDATE</t>
    </r>
    <r>
      <rPr>
        <sz val="10"/>
        <rFont val="WenQuanYi Zen Hei"/>
        <family val="2"/>
      </rPr>
      <t xml:space="preserve">、</t>
    </r>
    <r>
      <rPr>
        <sz val="10"/>
        <rFont val="Arial"/>
        <family val="0"/>
        <charset val="1"/>
      </rPr>
      <t xml:space="preserve">status=QUARANTINE </t>
    </r>
    <r>
      <rPr>
        <sz val="10"/>
        <rFont val="WenQuanYi Zen Hei"/>
        <family val="2"/>
      </rPr>
      <t xml:space="preserve">を確認</t>
    </r>
  </si>
  <si>
    <r>
      <rPr>
        <sz val="10"/>
        <rFont val="WenQuanYi Zen Hei"/>
        <family val="2"/>
      </rPr>
      <t xml:space="preserve">判定</t>
    </r>
    <r>
      <rPr>
        <sz val="10"/>
        <rFont val="Arial"/>
        <family val="0"/>
        <charset val="1"/>
      </rPr>
      <t xml:space="preserve">=</t>
    </r>
    <r>
      <rPr>
        <sz val="10"/>
        <rFont val="WenQuanYi Zen Hei"/>
        <family val="2"/>
      </rPr>
      <t xml:space="preserve">合格の場合、</t>
    </r>
    <r>
      <rPr>
        <sz val="10"/>
        <rFont val="Arial"/>
        <family val="0"/>
        <charset val="1"/>
      </rPr>
      <t xml:space="preserve">doc_type=COA </t>
    </r>
    <r>
      <rPr>
        <sz val="10"/>
        <rFont val="WenQuanYi Zen Hei"/>
        <family val="2"/>
      </rPr>
      <t xml:space="preserve">の添付が</t>
    </r>
    <r>
      <rPr>
        <sz val="10"/>
        <rFont val="Arial"/>
        <family val="0"/>
        <charset val="1"/>
      </rPr>
      <t xml:space="preserve">1</t>
    </r>
    <r>
      <rPr>
        <sz val="10"/>
        <rFont val="WenQuanYi Zen Hei"/>
        <family val="2"/>
      </rPr>
      <t xml:space="preserve">件以上あることを検証（</t>
    </r>
    <r>
      <rPr>
        <sz val="10"/>
        <rFont val="Arial"/>
        <family val="0"/>
        <charset val="1"/>
      </rPr>
      <t xml:space="preserve">BR-08</t>
    </r>
    <r>
      <rPr>
        <sz val="10"/>
        <rFont val="WenQuanYi Zen Hei"/>
        <family val="2"/>
      </rPr>
      <t xml:space="preserve">）</t>
    </r>
  </si>
  <si>
    <t xml:space="preserve">MSG-E08</t>
  </si>
  <si>
    <r>
      <rPr>
        <sz val="10"/>
        <rFont val="WenQuanYi Zen Hei"/>
        <family val="2"/>
      </rPr>
      <t xml:space="preserve">判定</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保留の場合、理由必須</t>
    </r>
  </si>
  <si>
    <t xml:space="preserve">MSG-E09</t>
  </si>
  <si>
    <r>
      <rPr>
        <sz val="10"/>
        <rFont val="Arial"/>
        <family val="0"/>
        <charset val="1"/>
      </rPr>
      <t xml:space="preserve">status</t>
    </r>
    <r>
      <rPr>
        <sz val="10"/>
        <rFont val="WenQuanYi Zen Hei"/>
        <family val="2"/>
      </rPr>
      <t xml:space="preserve">・</t>
    </r>
    <r>
      <rPr>
        <sz val="10"/>
        <rFont val="Arial"/>
        <family val="0"/>
        <charset val="1"/>
      </rPr>
      <t xml:space="preserve">status_reason</t>
    </r>
    <r>
      <rPr>
        <sz val="10"/>
        <rFont val="WenQuanYi Zen Hei"/>
        <family val="2"/>
      </rPr>
      <t xml:space="preserve">・</t>
    </r>
    <r>
      <rPr>
        <sz val="10"/>
        <rFont val="Arial"/>
        <family val="0"/>
        <charset val="1"/>
      </rPr>
      <t xml:space="preserve">inspected_by/at </t>
    </r>
    <r>
      <rPr>
        <sz val="10"/>
        <rFont val="WenQuanYi Zen Hei"/>
        <family val="2"/>
      </rPr>
      <t xml:space="preserve">を更新、監査ログ（</t>
    </r>
    <r>
      <rPr>
        <sz val="10"/>
        <rFont val="Arial"/>
        <family val="0"/>
        <charset val="1"/>
      </rPr>
      <t xml:space="preserve">action=STATUS</t>
    </r>
    <r>
      <rPr>
        <sz val="10"/>
        <rFont val="WenQuanYi Zen Hei"/>
        <family val="2"/>
      </rPr>
      <t xml:space="preserve">）記録</t>
    </r>
  </si>
  <si>
    <r>
      <rPr>
        <sz val="10"/>
        <rFont val="WenQuanYi Zen Hei"/>
        <family val="2"/>
      </rPr>
      <t xml:space="preserve">顧客・納品先の整合（納品先</t>
    </r>
    <r>
      <rPr>
        <sz val="10"/>
        <rFont val="Arial"/>
        <family val="0"/>
        <charset val="1"/>
      </rPr>
      <t xml:space="preserve">.</t>
    </r>
    <r>
      <rPr>
        <sz val="10"/>
        <rFont val="WenQuanYi Zen Hei"/>
        <family val="2"/>
      </rPr>
      <t xml:space="preserve">顧客</t>
    </r>
    <r>
      <rPr>
        <sz val="10"/>
        <rFont val="Arial"/>
        <family val="0"/>
        <charset val="1"/>
      </rPr>
      <t xml:space="preserve">ID</t>
    </r>
    <r>
      <rPr>
        <sz val="10"/>
        <rFont val="WenQuanYi Zen Hei"/>
        <family val="2"/>
      </rPr>
      <t xml:space="preserve">＝顧客</t>
    </r>
    <r>
      <rPr>
        <sz val="10"/>
        <rFont val="Arial"/>
        <family val="0"/>
        <charset val="1"/>
      </rPr>
      <t xml:space="preserve">ID</t>
    </r>
    <r>
      <rPr>
        <sz val="10"/>
        <rFont val="WenQuanYi Zen Hei"/>
        <family val="2"/>
      </rPr>
      <t xml:space="preserve">）を検証</t>
    </r>
  </si>
  <si>
    <t xml:space="preserve">MSG-E11</t>
  </si>
  <si>
    <r>
      <rPr>
        <sz val="10"/>
        <rFont val="WenQuanYi Zen Hei"/>
        <family val="2"/>
      </rPr>
      <t xml:space="preserve">各明細について </t>
    </r>
    <r>
      <rPr>
        <sz val="10"/>
        <rFont val="Arial"/>
        <family val="0"/>
        <charset val="1"/>
      </rPr>
      <t xml:space="preserve">m_sales_rule(</t>
    </r>
    <r>
      <rPr>
        <sz val="10"/>
        <rFont val="WenQuanYi Zen Hei"/>
        <family val="2"/>
      </rPr>
      <t xml:space="preserve">商品</t>
    </r>
    <r>
      <rPr>
        <sz val="10"/>
        <rFont val="Arial"/>
        <family val="0"/>
        <charset val="1"/>
      </rPr>
      <t xml:space="preserve">.</t>
    </r>
    <r>
      <rPr>
        <sz val="10"/>
        <rFont val="WenQuanYi Zen Hei"/>
        <family val="2"/>
      </rPr>
      <t xml:space="preserve">規制区分</t>
    </r>
    <r>
      <rPr>
        <sz val="10"/>
        <rFont val="Arial"/>
        <family val="0"/>
        <charset val="1"/>
      </rPr>
      <t xml:space="preserve">, </t>
    </r>
    <r>
      <rPr>
        <sz val="10"/>
        <rFont val="WenQuanYi Zen Hei"/>
        <family val="2"/>
      </rPr>
      <t xml:space="preserve">顧客</t>
    </r>
    <r>
      <rPr>
        <sz val="10"/>
        <rFont val="Arial"/>
        <family val="0"/>
        <charset val="1"/>
      </rPr>
      <t xml:space="preserve">.</t>
    </r>
    <r>
      <rPr>
        <sz val="10"/>
        <rFont val="WenQuanYi Zen Hei"/>
        <family val="2"/>
      </rPr>
      <t xml:space="preserve">顧客区分</t>
    </r>
    <r>
      <rPr>
        <sz val="10"/>
        <rFont val="Arial"/>
        <family val="0"/>
        <charset val="1"/>
      </rPr>
      <t xml:space="preserve">).allowed=true </t>
    </r>
    <r>
      <rPr>
        <sz val="10"/>
        <rFont val="WenQuanYi Zen Hei"/>
        <family val="2"/>
      </rPr>
      <t xml:space="preserve">を検証（</t>
    </r>
    <r>
      <rPr>
        <sz val="10"/>
        <rFont val="Arial"/>
        <family val="0"/>
        <charset val="1"/>
      </rPr>
      <t xml:space="preserve">BR-09</t>
    </r>
    <r>
      <rPr>
        <sz val="10"/>
        <rFont val="WenQuanYi Zen Hei"/>
        <family val="2"/>
      </rPr>
      <t xml:space="preserve">）</t>
    </r>
  </si>
  <si>
    <t xml:space="preserve">MSG-E10</t>
  </si>
  <si>
    <r>
      <rPr>
        <sz val="10"/>
        <rFont val="WenQuanYi Zen Hei"/>
        <family val="2"/>
      </rPr>
      <t xml:space="preserve">与信限度額チェック（</t>
    </r>
    <r>
      <rPr>
        <sz val="10"/>
        <rFont val="Arial"/>
        <family val="0"/>
        <charset val="1"/>
      </rPr>
      <t xml:space="preserve">BR-11</t>
    </r>
    <r>
      <rPr>
        <sz val="10"/>
        <rFont val="WenQuanYi Zen Hei"/>
        <family val="2"/>
      </rPr>
      <t xml:space="preserve">）。超過時は警告を返し、</t>
    </r>
    <r>
      <rPr>
        <sz val="10"/>
        <rFont val="Arial"/>
        <family val="0"/>
        <charset val="1"/>
      </rPr>
      <t xml:space="preserve">ADMIN</t>
    </r>
    <r>
      <rPr>
        <sz val="10"/>
        <rFont val="WenQuanYi Zen Hei"/>
        <family val="2"/>
      </rPr>
      <t xml:space="preserve">承認フラグ付き再送信で登録</t>
    </r>
  </si>
  <si>
    <t xml:space="preserve">MSG-W03</t>
  </si>
  <si>
    <r>
      <rPr>
        <sz val="10"/>
        <rFont val="WenQuanYi Zen Hei"/>
        <family val="2"/>
      </rPr>
      <t xml:space="preserve">受注番号を採番し </t>
    </r>
    <r>
      <rPr>
        <sz val="10"/>
        <rFont val="Arial"/>
        <family val="0"/>
        <charset val="1"/>
      </rPr>
      <t xml:space="preserve">INSERT</t>
    </r>
    <r>
      <rPr>
        <sz val="10"/>
        <rFont val="WenQuanYi Zen Hei"/>
        <family val="2"/>
      </rPr>
      <t xml:space="preserve">（</t>
    </r>
    <r>
      <rPr>
        <sz val="10"/>
        <rFont val="Arial"/>
        <family val="0"/>
        <charset val="1"/>
      </rPr>
      <t xml:space="preserve">status=OPEN</t>
    </r>
    <r>
      <rPr>
        <sz val="10"/>
        <rFont val="WenQuanYi Zen Hei"/>
        <family val="2"/>
      </rPr>
      <t xml:space="preserve">）。在庫の引当はこの時点では行わない</t>
    </r>
  </si>
  <si>
    <t xml:space="preserve">受注明細ごとに残数量＝受注数量−出荷済数量−引当中数量を算出</t>
  </si>
  <si>
    <r>
      <rPr>
        <sz val="10"/>
        <rFont val="WenQuanYi Zen Hei"/>
        <family val="2"/>
      </rPr>
      <t xml:space="preserve">候補在庫を抽出：</t>
    </r>
    <r>
      <rPr>
        <sz val="10"/>
        <rFont val="Arial"/>
        <family val="0"/>
        <charset val="1"/>
      </rPr>
      <t xml:space="preserve">lot.status=RELEASED AND lot.product_id=</t>
    </r>
    <r>
      <rPr>
        <sz val="10"/>
        <rFont val="WenQuanYi Zen Hei"/>
        <family val="2"/>
      </rPr>
      <t xml:space="preserve">明細</t>
    </r>
    <r>
      <rPr>
        <sz val="10"/>
        <rFont val="Arial"/>
        <family val="0"/>
        <charset val="1"/>
      </rPr>
      <t xml:space="preserve">.</t>
    </r>
    <r>
      <rPr>
        <sz val="10"/>
        <rFont val="WenQuanYi Zen Hei"/>
        <family val="2"/>
      </rPr>
      <t xml:space="preserve">商品 </t>
    </r>
    <r>
      <rPr>
        <sz val="10"/>
        <rFont val="Arial"/>
        <family val="0"/>
        <charset val="1"/>
      </rPr>
      <t xml:space="preserve">AND lot.expires_on − </t>
    </r>
    <r>
      <rPr>
        <sz val="10"/>
        <rFont val="WenQuanYi Zen Hei"/>
        <family val="2"/>
      </rPr>
      <t xml:space="preserve">出荷日 </t>
    </r>
    <r>
      <rPr>
        <sz val="10"/>
        <rFont val="Arial"/>
        <family val="0"/>
        <charset val="1"/>
      </rPr>
      <t xml:space="preserve">&gt;= </t>
    </r>
    <r>
      <rPr>
        <sz val="10"/>
        <rFont val="WenQuanYi Zen Hei"/>
        <family val="2"/>
      </rPr>
      <t xml:space="preserve">商品</t>
    </r>
    <r>
      <rPr>
        <sz val="10"/>
        <rFont val="Arial"/>
        <family val="0"/>
        <charset val="1"/>
      </rPr>
      <t xml:space="preserve">.min_remaining_days AND (on_hand_qty − allocated_qty) &gt; 0</t>
    </r>
  </si>
  <si>
    <r>
      <rPr>
        <sz val="10"/>
        <rFont val="WenQuanYi Zen Hei"/>
        <family val="2"/>
      </rPr>
      <t xml:space="preserve">候補を </t>
    </r>
    <r>
      <rPr>
        <sz val="10"/>
        <rFont val="Arial"/>
        <family val="0"/>
        <charset val="1"/>
      </rPr>
      <t xml:space="preserve">expires_on ASC, </t>
    </r>
    <r>
      <rPr>
        <sz val="10"/>
        <rFont val="WenQuanYi Zen Hei"/>
        <family val="2"/>
      </rPr>
      <t xml:space="preserve">入荷日 </t>
    </r>
    <r>
      <rPr>
        <sz val="10"/>
        <rFont val="Arial"/>
        <family val="0"/>
        <charset val="1"/>
      </rPr>
      <t xml:space="preserve">ASC, location_id ASC </t>
    </r>
    <r>
      <rPr>
        <sz val="10"/>
        <rFont val="WenQuanYi Zen Hei"/>
        <family val="2"/>
      </rPr>
      <t xml:space="preserve">で並べ（</t>
    </r>
    <r>
      <rPr>
        <sz val="10"/>
        <rFont val="Arial"/>
        <family val="0"/>
        <charset val="1"/>
      </rPr>
      <t xml:space="preserve">BR-05</t>
    </r>
    <r>
      <rPr>
        <sz val="10"/>
        <rFont val="WenQuanYi Zen Hei"/>
        <family val="2"/>
      </rPr>
      <t xml:space="preserve">）、残数量を満たすまで順に割当（複数ロット分割可）</t>
    </r>
  </si>
  <si>
    <r>
      <rPr>
        <sz val="10"/>
        <rFont val="Arial"/>
        <family val="0"/>
        <charset val="1"/>
      </rPr>
      <t xml:space="preserve">t_inventory </t>
    </r>
    <r>
      <rPr>
        <sz val="10"/>
        <rFont val="WenQuanYi Zen Hei"/>
        <family val="2"/>
      </rPr>
      <t xml:space="preserve">を </t>
    </r>
    <r>
      <rPr>
        <sz val="10"/>
        <rFont val="Arial"/>
        <family val="0"/>
        <charset val="1"/>
      </rPr>
      <t xml:space="preserve">FOR UPDATE </t>
    </r>
    <r>
      <rPr>
        <sz val="10"/>
        <rFont val="WenQuanYi Zen Hei"/>
        <family val="2"/>
      </rPr>
      <t xml:space="preserve">で再読込し </t>
    </r>
    <r>
      <rPr>
        <sz val="10"/>
        <rFont val="Arial"/>
        <family val="0"/>
        <charset val="1"/>
      </rPr>
      <t xml:space="preserve">allocated_qty </t>
    </r>
    <r>
      <rPr>
        <sz val="10"/>
        <rFont val="WenQuanYi Zen Hei"/>
        <family val="2"/>
      </rPr>
      <t xml:space="preserve">を加算、</t>
    </r>
    <r>
      <rPr>
        <sz val="10"/>
        <rFont val="Arial"/>
        <family val="0"/>
        <charset val="1"/>
      </rPr>
      <t xml:space="preserve">t_shipment(ALLOCATED)/t_shipment_line </t>
    </r>
    <r>
      <rPr>
        <sz val="10"/>
        <rFont val="WenQuanYi Zen Hei"/>
        <family val="2"/>
      </rPr>
      <t xml:space="preserve">を </t>
    </r>
    <r>
      <rPr>
        <sz val="10"/>
        <rFont val="Arial"/>
        <family val="0"/>
        <charset val="1"/>
      </rPr>
      <t xml:space="preserve">INSERT</t>
    </r>
  </si>
  <si>
    <t xml:space="preserve">MSG-E12</t>
  </si>
  <si>
    <t xml:space="preserve">残数量を満たせない場合は引当できた分のみ作成し、不足数量を画面に表示</t>
  </si>
  <si>
    <t xml:space="preserve">MSG-W04</t>
  </si>
  <si>
    <r>
      <rPr>
        <sz val="10"/>
        <rFont val="Arial"/>
        <family val="0"/>
        <charset val="1"/>
      </rPr>
      <t xml:space="preserve">t_shipment </t>
    </r>
    <r>
      <rPr>
        <sz val="10"/>
        <rFont val="WenQuanYi Zen Hei"/>
        <family val="2"/>
      </rPr>
      <t xml:space="preserve">を </t>
    </r>
    <r>
      <rPr>
        <sz val="10"/>
        <rFont val="Arial"/>
        <family val="0"/>
        <charset val="1"/>
      </rPr>
      <t xml:space="preserve">FOR UPDATE</t>
    </r>
    <r>
      <rPr>
        <sz val="10"/>
        <rFont val="WenQuanYi Zen Hei"/>
        <family val="2"/>
      </rPr>
      <t xml:space="preserve">、</t>
    </r>
    <r>
      <rPr>
        <sz val="10"/>
        <rFont val="Arial"/>
        <family val="0"/>
        <charset val="1"/>
      </rPr>
      <t xml:space="preserve">status=ALLOCATED </t>
    </r>
    <r>
      <rPr>
        <sz val="10"/>
        <rFont val="WenQuanYi Zen Hei"/>
        <family val="2"/>
      </rPr>
      <t xml:space="preserve">を確認</t>
    </r>
  </si>
  <si>
    <r>
      <rPr>
        <sz val="10"/>
        <rFont val="WenQuanYi Zen Hei"/>
        <family val="2"/>
      </rPr>
      <t xml:space="preserve">各明細のロットを再検証：ロット</t>
    </r>
    <r>
      <rPr>
        <sz val="10"/>
        <rFont val="Arial"/>
        <family val="0"/>
        <charset val="1"/>
      </rPr>
      <t xml:space="preserve">ID</t>
    </r>
    <r>
      <rPr>
        <sz val="10"/>
        <rFont val="WenQuanYi Zen Hei"/>
        <family val="2"/>
      </rPr>
      <t xml:space="preserve">必須・商品一致（</t>
    </r>
    <r>
      <rPr>
        <sz val="10"/>
        <rFont val="Arial"/>
        <family val="0"/>
        <charset val="1"/>
      </rPr>
      <t xml:space="preserve">BR-01</t>
    </r>
    <r>
      <rPr>
        <sz val="10"/>
        <rFont val="WenQuanYi Zen Hei"/>
        <family val="2"/>
      </rPr>
      <t xml:space="preserve">）、</t>
    </r>
    <r>
      <rPr>
        <sz val="10"/>
        <rFont val="Arial"/>
        <family val="0"/>
        <charset val="1"/>
      </rPr>
      <t xml:space="preserve">status=RELEASED</t>
    </r>
    <r>
      <rPr>
        <sz val="10"/>
        <rFont val="WenQuanYi Zen Hei"/>
        <family val="2"/>
      </rPr>
      <t xml:space="preserve">（引当後の</t>
    </r>
    <r>
      <rPr>
        <sz val="10"/>
        <rFont val="Arial"/>
        <family val="0"/>
        <charset val="1"/>
      </rPr>
      <t xml:space="preserve">HOLD/RECALLED/EXPIRED</t>
    </r>
    <r>
      <rPr>
        <sz val="10"/>
        <rFont val="WenQuanYi Zen Hei"/>
        <family val="2"/>
      </rPr>
      <t xml:space="preserve">を検出）、残期間条件（</t>
    </r>
    <r>
      <rPr>
        <sz val="10"/>
        <rFont val="Arial"/>
        <family val="0"/>
        <charset val="1"/>
      </rPr>
      <t xml:space="preserve">BR-04</t>
    </r>
    <r>
      <rPr>
        <sz val="10"/>
        <rFont val="WenQuanYi Zen Hei"/>
        <family val="2"/>
      </rPr>
      <t xml:space="preserve">）</t>
    </r>
  </si>
  <si>
    <t xml:space="preserve">MSG-E13</t>
  </si>
  <si>
    <r>
      <rPr>
        <sz val="10"/>
        <rFont val="Arial"/>
        <family val="0"/>
        <charset val="1"/>
      </rPr>
      <t xml:space="preserve">t_inventory </t>
    </r>
    <r>
      <rPr>
        <sz val="10"/>
        <rFont val="WenQuanYi Zen Hei"/>
        <family val="2"/>
      </rPr>
      <t xml:space="preserve">を </t>
    </r>
    <r>
      <rPr>
        <sz val="10"/>
        <rFont val="Arial"/>
        <family val="0"/>
        <charset val="1"/>
      </rPr>
      <t xml:space="preserve">FOR UPDATE</t>
    </r>
    <r>
      <rPr>
        <sz val="10"/>
        <rFont val="WenQuanYi Zen Hei"/>
        <family val="2"/>
      </rPr>
      <t xml:space="preserve">：</t>
    </r>
    <r>
      <rPr>
        <sz val="10"/>
        <rFont val="Arial"/>
        <family val="0"/>
        <charset val="1"/>
      </rPr>
      <t xml:space="preserve">on_hand_qty −= </t>
    </r>
    <r>
      <rPr>
        <sz val="10"/>
        <rFont val="WenQuanYi Zen Hei"/>
        <family val="2"/>
      </rPr>
      <t xml:space="preserve">数量、</t>
    </r>
    <r>
      <rPr>
        <sz val="10"/>
        <rFont val="Arial"/>
        <family val="0"/>
        <charset val="1"/>
      </rPr>
      <t xml:space="preserve">allocated_qty −= </t>
    </r>
    <r>
      <rPr>
        <sz val="10"/>
        <rFont val="WenQuanYi Zen Hei"/>
        <family val="2"/>
      </rPr>
      <t xml:space="preserve">数量（負数になる場合はエラー）</t>
    </r>
  </si>
  <si>
    <r>
      <rPr>
        <sz val="10"/>
        <rFont val="Arial"/>
        <family val="0"/>
        <charset val="1"/>
      </rPr>
      <t xml:space="preserve">t_stock_movement </t>
    </r>
    <r>
      <rPr>
        <sz val="10"/>
        <rFont val="WenQuanYi Zen Hei"/>
        <family val="2"/>
      </rPr>
      <t xml:space="preserve">に </t>
    </r>
    <r>
      <rPr>
        <sz val="10"/>
        <rFont val="Arial"/>
        <family val="0"/>
        <charset val="1"/>
      </rPr>
      <t xml:space="preserve">SHIPMENT(−</t>
    </r>
    <r>
      <rPr>
        <sz val="10"/>
        <rFont val="WenQuanYi Zen Hei"/>
        <family val="2"/>
      </rPr>
      <t xml:space="preserve">数量</t>
    </r>
    <r>
      <rPr>
        <sz val="10"/>
        <rFont val="Arial"/>
        <family val="0"/>
        <charset val="1"/>
      </rPr>
      <t xml:space="preserve">, ref=shipment_line)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BR-02</t>
    </r>
    <r>
      <rPr>
        <sz val="10"/>
        <rFont val="WenQuanYi Zen Hei"/>
        <family val="2"/>
      </rPr>
      <t xml:space="preserve">：在庫更新は必ず移動履歴と同一トランザクション）</t>
    </r>
  </si>
  <si>
    <r>
      <rPr>
        <sz val="10"/>
        <rFont val="Arial"/>
        <family val="0"/>
        <charset val="1"/>
      </rPr>
      <t xml:space="preserve">unit_cost </t>
    </r>
    <r>
      <rPr>
        <sz val="10"/>
        <rFont val="WenQuanYi Zen Hei"/>
        <family val="2"/>
      </rPr>
      <t xml:space="preserve">にロットの仕入単価（</t>
    </r>
    <r>
      <rPr>
        <sz val="10"/>
        <rFont val="Arial"/>
        <family val="0"/>
        <charset val="1"/>
      </rPr>
      <t xml:space="preserve">t_receipt_line.unit_price</t>
    </r>
    <r>
      <rPr>
        <sz val="10"/>
        <rFont val="WenQuanYi Zen Hei"/>
        <family val="2"/>
      </rPr>
      <t xml:space="preserve">）を設定</t>
    </r>
  </si>
  <si>
    <r>
      <rPr>
        <sz val="10"/>
        <rFont val="Arial"/>
        <family val="0"/>
        <charset val="1"/>
      </rPr>
      <t xml:space="preserve">t_sales_order_line.shipped_qty </t>
    </r>
    <r>
      <rPr>
        <sz val="10"/>
        <rFont val="WenQuanYi Zen Hei"/>
        <family val="2"/>
      </rPr>
      <t xml:space="preserve">を加算し受注ステータスを </t>
    </r>
    <r>
      <rPr>
        <sz val="10"/>
        <rFont val="Arial"/>
        <family val="0"/>
        <charset val="1"/>
      </rPr>
      <t xml:space="preserve">PARTIAL/SHIPPED </t>
    </r>
    <r>
      <rPr>
        <sz val="10"/>
        <rFont val="WenQuanYi Zen Hei"/>
        <family val="2"/>
      </rPr>
      <t xml:space="preserve">に更新</t>
    </r>
  </si>
  <si>
    <r>
      <rPr>
        <sz val="10"/>
        <rFont val="Arial"/>
        <family val="0"/>
        <charset val="1"/>
      </rPr>
      <t xml:space="preserve">t_shipment.status=SHIPPED</t>
    </r>
    <r>
      <rPr>
        <sz val="10"/>
        <rFont val="WenQuanYi Zen Hei"/>
        <family val="2"/>
      </rPr>
      <t xml:space="preserve">、監査ログ記録、コミット</t>
    </r>
  </si>
  <si>
    <t xml:space="preserve">出荷取消</t>
  </si>
  <si>
    <r>
      <rPr>
        <sz val="10"/>
        <rFont val="Arial"/>
        <family val="0"/>
        <charset val="1"/>
      </rPr>
      <t xml:space="preserve">status=ALLOCATED</t>
    </r>
    <r>
      <rPr>
        <sz val="10"/>
        <rFont val="WenQuanYi Zen Hei"/>
        <family val="2"/>
      </rPr>
      <t xml:space="preserve">：</t>
    </r>
    <r>
      <rPr>
        <sz val="10"/>
        <rFont val="Arial"/>
        <family val="0"/>
        <charset val="1"/>
      </rPr>
      <t xml:space="preserve">allocated_qty </t>
    </r>
    <r>
      <rPr>
        <sz val="10"/>
        <rFont val="WenQuanYi Zen Hei"/>
        <family val="2"/>
      </rPr>
      <t xml:space="preserve">を減算して </t>
    </r>
    <r>
      <rPr>
        <sz val="10"/>
        <rFont val="Arial"/>
        <family val="0"/>
        <charset val="1"/>
      </rPr>
      <t xml:space="preserve">CANCELLED</t>
    </r>
    <r>
      <rPr>
        <sz val="10"/>
        <rFont val="WenQuanYi Zen Hei"/>
        <family val="2"/>
      </rPr>
      <t xml:space="preserve">（在庫移動なし）</t>
    </r>
  </si>
  <si>
    <r>
      <rPr>
        <sz val="10"/>
        <rFont val="Arial"/>
        <family val="0"/>
        <charset val="1"/>
      </rPr>
      <t xml:space="preserve">status=SHIPPED</t>
    </r>
    <r>
      <rPr>
        <sz val="10"/>
        <rFont val="WenQuanYi Zen Hei"/>
        <family val="2"/>
      </rPr>
      <t xml:space="preserve">：</t>
    </r>
    <r>
      <rPr>
        <sz val="10"/>
        <rFont val="Arial"/>
        <family val="0"/>
        <charset val="1"/>
      </rPr>
      <t xml:space="preserve">ADMIN</t>
    </r>
    <r>
      <rPr>
        <sz val="10"/>
        <rFont val="WenQuanYi Zen Hei"/>
        <family val="2"/>
      </rPr>
      <t xml:space="preserve">のみ。該当出荷明細に返品がある場合はエラー</t>
    </r>
  </si>
  <si>
    <t xml:space="preserve">MSG-E14</t>
  </si>
  <si>
    <r>
      <rPr>
        <sz val="10"/>
        <rFont val="WenQuanYi Zen Hei"/>
        <family val="2"/>
      </rPr>
      <t xml:space="preserve">各明細について </t>
    </r>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の在庫移動を </t>
    </r>
    <r>
      <rPr>
        <sz val="10"/>
        <rFont val="Arial"/>
        <family val="0"/>
        <charset val="1"/>
      </rPr>
      <t xml:space="preserve">INSERT</t>
    </r>
    <r>
      <rPr>
        <sz val="10"/>
        <rFont val="WenQuanYi Zen Hei"/>
        <family val="2"/>
      </rPr>
      <t xml:space="preserve">、</t>
    </r>
    <r>
      <rPr>
        <sz val="10"/>
        <rFont val="Arial"/>
        <family val="0"/>
        <charset val="1"/>
      </rPr>
      <t xml:space="preserve">on_hand_qty </t>
    </r>
    <r>
      <rPr>
        <sz val="10"/>
        <rFont val="WenQuanYi Zen Hei"/>
        <family val="2"/>
      </rPr>
      <t xml:space="preserve">加算、受注の出荷済数量を減算</t>
    </r>
  </si>
  <si>
    <r>
      <rPr>
        <sz val="10"/>
        <rFont val="WenQuanYi Zen Hei"/>
        <family val="2"/>
      </rPr>
      <t xml:space="preserve">出荷明細は削除しない（</t>
    </r>
    <r>
      <rPr>
        <sz val="10"/>
        <rFont val="Arial"/>
        <family val="0"/>
        <charset val="1"/>
      </rPr>
      <t xml:space="preserve">BR-03</t>
    </r>
    <r>
      <rPr>
        <sz val="10"/>
        <rFont val="WenQuanYi Zen Hei"/>
        <family val="2"/>
      </rPr>
      <t xml:space="preserve">）。ヘッダ </t>
    </r>
    <r>
      <rPr>
        <sz val="10"/>
        <rFont val="Arial"/>
        <family val="0"/>
        <charset val="1"/>
      </rPr>
      <t xml:space="preserve">status=CANCELLED </t>
    </r>
    <r>
      <rPr>
        <sz val="10"/>
        <rFont val="WenQuanYi Zen Hei"/>
        <family val="2"/>
      </rPr>
      <t xml:space="preserve">とし、トレース画面では取消済として区別表示</t>
    </r>
  </si>
  <si>
    <t xml:space="preserve">返品登録・判定</t>
  </si>
  <si>
    <r>
      <rPr>
        <sz val="10"/>
        <rFont val="WenQuanYi Zen Hei"/>
        <family val="2"/>
      </rPr>
      <t xml:space="preserve">返品数量 </t>
    </r>
    <r>
      <rPr>
        <sz val="10"/>
        <rFont val="Arial"/>
        <family val="0"/>
        <charset val="1"/>
      </rPr>
      <t xml:space="preserve">&lt;= </t>
    </r>
    <r>
      <rPr>
        <sz val="10"/>
        <rFont val="WenQuanYi Zen Hei"/>
        <family val="2"/>
      </rPr>
      <t xml:space="preserve">元出荷数量 − 既返品数量 を検証（</t>
    </r>
    <r>
      <rPr>
        <sz val="10"/>
        <rFont val="Arial"/>
        <family val="0"/>
        <charset val="1"/>
      </rPr>
      <t xml:space="preserve">BR-12</t>
    </r>
    <r>
      <rPr>
        <sz val="10"/>
        <rFont val="WenQuanYi Zen Hei"/>
        <family val="2"/>
      </rPr>
      <t xml:space="preserve">）</t>
    </r>
  </si>
  <si>
    <t xml:space="preserve">MSG-E15</t>
  </si>
  <si>
    <r>
      <rPr>
        <sz val="10"/>
        <rFont val="WenQuanYi Zen Hei"/>
        <family val="2"/>
      </rPr>
      <t xml:space="preserve">登録時：</t>
    </r>
    <r>
      <rPr>
        <sz val="10"/>
        <rFont val="Arial"/>
        <family val="0"/>
        <charset val="1"/>
      </rPr>
      <t xml:space="preserve">status=RECEIVED</t>
    </r>
    <r>
      <rPr>
        <sz val="10"/>
        <rFont val="WenQuanYi Zen Hei"/>
        <family val="2"/>
      </rPr>
      <t xml:space="preserve">（在庫は未計上、</t>
    </r>
    <r>
      <rPr>
        <sz val="10"/>
        <rFont val="Arial"/>
        <family val="0"/>
        <charset val="1"/>
      </rPr>
      <t xml:space="preserve">QA</t>
    </r>
    <r>
      <rPr>
        <sz val="10"/>
        <rFont val="WenQuanYi Zen Hei"/>
        <family val="2"/>
      </rPr>
      <t xml:space="preserve">判定待ち）</t>
    </r>
  </si>
  <si>
    <r>
      <rPr>
        <sz val="10"/>
        <rFont val="WenQuanYi Zen Hei"/>
        <family val="2"/>
      </rPr>
      <t xml:space="preserve">判定</t>
    </r>
    <r>
      <rPr>
        <sz val="10"/>
        <rFont val="Arial"/>
        <family val="0"/>
        <charset val="1"/>
      </rPr>
      <t xml:space="preserve">=RESTOCK</t>
    </r>
    <r>
      <rPr>
        <sz val="10"/>
        <rFont val="WenQuanYi Zen Hei"/>
        <family val="2"/>
      </rPr>
      <t xml:space="preserve">：ロットが </t>
    </r>
    <r>
      <rPr>
        <sz val="10"/>
        <rFont val="Arial"/>
        <family val="0"/>
        <charset val="1"/>
      </rPr>
      <t xml:space="preserve">RELEASED </t>
    </r>
    <r>
      <rPr>
        <sz val="10"/>
        <rFont val="WenQuanYi Zen Hei"/>
        <family val="2"/>
      </rPr>
      <t xml:space="preserve">かつ戻し保管場所の温度区分一致を検証し、</t>
    </r>
    <r>
      <rPr>
        <sz val="10"/>
        <rFont val="Arial"/>
        <family val="0"/>
        <charset val="1"/>
      </rPr>
      <t xml:space="preserve">RETURN(+</t>
    </r>
    <r>
      <rPr>
        <sz val="10"/>
        <rFont val="WenQuanYi Zen Hei"/>
        <family val="2"/>
      </rPr>
      <t xml:space="preserve">数量</t>
    </r>
    <r>
      <rPr>
        <sz val="10"/>
        <rFont val="Arial"/>
        <family val="0"/>
        <charset val="1"/>
      </rPr>
      <t xml:space="preserve">) </t>
    </r>
    <r>
      <rPr>
        <sz val="10"/>
        <rFont val="WenQuanYi Zen Hei"/>
        <family val="2"/>
      </rPr>
      <t xml:space="preserve">移動・在庫加算</t>
    </r>
  </si>
  <si>
    <t xml:space="preserve">MSG-E16</t>
  </si>
  <si>
    <r>
      <rPr>
        <sz val="10"/>
        <rFont val="WenQuanYi Zen Hei"/>
        <family val="2"/>
      </rPr>
      <t xml:space="preserve">判定</t>
    </r>
    <r>
      <rPr>
        <sz val="10"/>
        <rFont val="Arial"/>
        <family val="0"/>
        <charset val="1"/>
      </rPr>
      <t xml:space="preserve">=DISPOSE</t>
    </r>
    <r>
      <rPr>
        <sz val="10"/>
        <rFont val="WenQuanYi Zen Hei"/>
        <family val="2"/>
      </rPr>
      <t xml:space="preserve">：在庫計上せず処置のみ記録（廃棄記録として </t>
    </r>
    <r>
      <rPr>
        <sz val="10"/>
        <rFont val="Arial"/>
        <family val="0"/>
        <charset val="1"/>
      </rPr>
      <t xml:space="preserve">RP-06 </t>
    </r>
    <r>
      <rPr>
        <sz val="10"/>
        <rFont val="WenQuanYi Zen Hei"/>
        <family val="2"/>
      </rPr>
      <t xml:space="preserve">に表示）</t>
    </r>
  </si>
  <si>
    <t xml:space="preserve">回収登録・対象抽出</t>
  </si>
  <si>
    <r>
      <rPr>
        <sz val="10"/>
        <rFont val="WenQuanYi Zen Hei"/>
        <family val="2"/>
      </rPr>
      <t xml:space="preserve">回収案件と対象ロットを </t>
    </r>
    <r>
      <rPr>
        <sz val="10"/>
        <rFont val="Arial"/>
        <family val="0"/>
        <charset val="1"/>
      </rPr>
      <t xml:space="preserve">INSERT</t>
    </r>
    <r>
      <rPr>
        <sz val="10"/>
        <rFont val="WenQuanYi Zen Hei"/>
        <family val="2"/>
      </rPr>
      <t xml:space="preserve">（</t>
    </r>
    <r>
      <rPr>
        <sz val="10"/>
        <rFont val="Arial"/>
        <family val="0"/>
        <charset val="1"/>
      </rPr>
      <t xml:space="preserve">BR-13</t>
    </r>
    <r>
      <rPr>
        <sz val="10"/>
        <rFont val="WenQuanYi Zen Hei"/>
        <family val="2"/>
      </rPr>
      <t xml:space="preserve">）。対象ロットを </t>
    </r>
    <r>
      <rPr>
        <sz val="10"/>
        <rFont val="Arial"/>
        <family val="0"/>
        <charset val="1"/>
      </rPr>
      <t xml:space="preserve">RECALLED </t>
    </r>
    <r>
      <rPr>
        <sz val="10"/>
        <rFont val="WenQuanYi Zen Hei"/>
        <family val="2"/>
      </rPr>
      <t xml:space="preserve">に更新</t>
    </r>
  </si>
  <si>
    <r>
      <rPr>
        <sz val="10"/>
        <rFont val="WenQuanYi Zen Hei"/>
        <family val="2"/>
      </rPr>
      <t xml:space="preserve">対象ロットを含む </t>
    </r>
    <r>
      <rPr>
        <sz val="10"/>
        <rFont val="Arial"/>
        <family val="0"/>
        <charset val="1"/>
      </rPr>
      <t xml:space="preserve">ALLOCATED </t>
    </r>
    <r>
      <rPr>
        <sz val="10"/>
        <rFont val="WenQuanYi Zen Hei"/>
        <family val="2"/>
      </rPr>
      <t xml:space="preserve">の出荷明細の引当を解除（</t>
    </r>
    <r>
      <rPr>
        <sz val="10"/>
        <rFont val="Arial"/>
        <family val="0"/>
        <charset val="1"/>
      </rPr>
      <t xml:space="preserve">P-06 </t>
    </r>
    <r>
      <rPr>
        <sz val="10"/>
        <rFont val="WenQuanYi Zen Hei"/>
        <family val="2"/>
      </rPr>
      <t xml:space="preserve">ステップ</t>
    </r>
    <r>
      <rPr>
        <sz val="10"/>
        <rFont val="Arial"/>
        <family val="0"/>
        <charset val="1"/>
      </rPr>
      <t xml:space="preserve">1</t>
    </r>
    <r>
      <rPr>
        <sz val="10"/>
        <rFont val="WenQuanYi Zen Hei"/>
        <family val="2"/>
      </rPr>
      <t xml:space="preserve">）し、営業担当へ通知</t>
    </r>
  </si>
  <si>
    <r>
      <rPr>
        <sz val="10"/>
        <rFont val="Arial"/>
        <family val="0"/>
        <charset val="1"/>
      </rPr>
      <t xml:space="preserve">SQL-03 </t>
    </r>
    <r>
      <rPr>
        <sz val="10"/>
        <rFont val="WenQuanYi Zen Hei"/>
        <family val="2"/>
      </rPr>
      <t xml:space="preserve">で </t>
    </r>
    <r>
      <rPr>
        <sz val="10"/>
        <rFont val="Arial"/>
        <family val="0"/>
        <charset val="1"/>
      </rPr>
      <t xml:space="preserve">(</t>
    </r>
    <r>
      <rPr>
        <sz val="10"/>
        <rFont val="WenQuanYi Zen Hei"/>
        <family val="2"/>
      </rPr>
      <t xml:space="preserve">顧客</t>
    </r>
    <r>
      <rPr>
        <sz val="10"/>
        <rFont val="Arial"/>
        <family val="0"/>
        <charset val="1"/>
      </rPr>
      <t xml:space="preserve">, </t>
    </r>
    <r>
      <rPr>
        <sz val="10"/>
        <rFont val="WenQuanYi Zen Hei"/>
        <family val="2"/>
      </rPr>
      <t xml:space="preserve">ロット</t>
    </r>
    <r>
      <rPr>
        <sz val="10"/>
        <rFont val="Arial"/>
        <family val="0"/>
        <charset val="1"/>
      </rPr>
      <t xml:space="preserve">) </t>
    </r>
    <r>
      <rPr>
        <sz val="10"/>
        <rFont val="WenQuanYi Zen Hei"/>
        <family val="2"/>
      </rPr>
      <t xml:space="preserve">ごとに 出荷数量−返品数量 </t>
    </r>
    <r>
      <rPr>
        <sz val="10"/>
        <rFont val="Arial"/>
        <family val="0"/>
        <charset val="1"/>
      </rPr>
      <t xml:space="preserve">&gt; 0 </t>
    </r>
    <r>
      <rPr>
        <sz val="10"/>
        <rFont val="WenQuanYi Zen Hei"/>
        <family val="2"/>
      </rPr>
      <t xml:space="preserve">を抽出し </t>
    </r>
    <r>
      <rPr>
        <sz val="10"/>
        <rFont val="Arial"/>
        <family val="0"/>
        <charset val="1"/>
      </rPr>
      <t xml:space="preserve">t_recall_target </t>
    </r>
    <r>
      <rPr>
        <sz val="10"/>
        <rFont val="WenQuanYi Zen Hei"/>
        <family val="2"/>
      </rPr>
      <t xml:space="preserve">に </t>
    </r>
    <r>
      <rPr>
        <sz val="10"/>
        <rFont val="Arial"/>
        <family val="0"/>
        <charset val="1"/>
      </rPr>
      <t xml:space="preserve">INSERT</t>
    </r>
    <r>
      <rPr>
        <sz val="10"/>
        <rFont val="WenQuanYi Zen Hei"/>
        <family val="2"/>
      </rPr>
      <t xml:space="preserve">（</t>
    </r>
    <r>
      <rPr>
        <sz val="10"/>
        <rFont val="Arial"/>
        <family val="0"/>
        <charset val="1"/>
      </rPr>
      <t xml:space="preserve">BR-14</t>
    </r>
    <r>
      <rPr>
        <sz val="10"/>
        <rFont val="WenQuanYi Zen Hei"/>
        <family val="2"/>
      </rPr>
      <t xml:space="preserve">、既存はスキップ）</t>
    </r>
  </si>
  <si>
    <r>
      <rPr>
        <sz val="10"/>
        <rFont val="WenQuanYi Zen Hei"/>
        <family val="2"/>
      </rPr>
      <t xml:space="preserve">回収案件 </t>
    </r>
    <r>
      <rPr>
        <sz val="10"/>
        <rFont val="Arial"/>
        <family val="0"/>
        <charset val="1"/>
      </rPr>
      <t xml:space="preserve">status=IN_PROGRESS</t>
    </r>
    <r>
      <rPr>
        <sz val="10"/>
        <rFont val="WenQuanYi Zen Hei"/>
        <family val="2"/>
      </rPr>
      <t xml:space="preserve">、</t>
    </r>
    <r>
      <rPr>
        <sz val="10"/>
        <rFont val="Arial"/>
        <family val="0"/>
        <charset val="1"/>
      </rPr>
      <t xml:space="preserve">QA</t>
    </r>
    <r>
      <rPr>
        <sz val="10"/>
        <rFont val="WenQuanYi Zen Hei"/>
        <family val="2"/>
      </rPr>
      <t xml:space="preserve">・管理者へメール通知</t>
    </r>
  </si>
  <si>
    <t xml:space="preserve">温度記録・逸脱検知</t>
  </si>
  <si>
    <r>
      <rPr>
        <sz val="10"/>
        <rFont val="WenQuanYi Zen Hei"/>
        <family val="2"/>
      </rPr>
      <t xml:space="preserve">記録を </t>
    </r>
    <r>
      <rPr>
        <sz val="10"/>
        <rFont val="Arial"/>
        <family val="0"/>
        <charset val="1"/>
      </rPr>
      <t xml:space="preserve">INSERT</t>
    </r>
    <r>
      <rPr>
        <sz val="10"/>
        <rFont val="WenQuanYi Zen Hei"/>
        <family val="2"/>
      </rPr>
      <t xml:space="preserve">。</t>
    </r>
    <r>
      <rPr>
        <sz val="10"/>
        <rFont val="Arial"/>
        <family val="0"/>
        <charset val="1"/>
      </rPr>
      <t xml:space="preserve">temperature </t>
    </r>
    <r>
      <rPr>
        <sz val="10"/>
        <rFont val="WenQuanYi Zen Hei"/>
        <family val="2"/>
      </rPr>
      <t xml:space="preserve">が保管場所の </t>
    </r>
    <r>
      <rPr>
        <sz val="10"/>
        <rFont val="Arial"/>
        <family val="0"/>
        <charset val="1"/>
      </rPr>
      <t xml:space="preserve">temp_min</t>
    </r>
    <r>
      <rPr>
        <sz val="10"/>
        <rFont val="WenQuanYi Zen Hei"/>
        <family val="2"/>
      </rPr>
      <t xml:space="preserve">〜</t>
    </r>
    <r>
      <rPr>
        <sz val="10"/>
        <rFont val="Arial"/>
        <family val="0"/>
        <charset val="1"/>
      </rPr>
      <t xml:space="preserve">temp_max </t>
    </r>
    <r>
      <rPr>
        <sz val="10"/>
        <rFont val="WenQuanYi Zen Hei"/>
        <family val="2"/>
      </rPr>
      <t xml:space="preserve">外なら </t>
    </r>
    <r>
      <rPr>
        <sz val="10"/>
        <rFont val="Arial"/>
        <family val="0"/>
        <charset val="1"/>
      </rPr>
      <t xml:space="preserve">is_excursion=true</t>
    </r>
  </si>
  <si>
    <t xml:space="preserve">MSG-W05</t>
  </si>
  <si>
    <r>
      <rPr>
        <sz val="10"/>
        <rFont val="WenQuanYi Zen Hei"/>
        <family val="2"/>
      </rPr>
      <t xml:space="preserve">逸脱時：当該保管場所に在庫（</t>
    </r>
    <r>
      <rPr>
        <sz val="10"/>
        <rFont val="Arial"/>
        <family val="0"/>
        <charset val="1"/>
      </rPr>
      <t xml:space="preserve">on_hand_qty&gt;0</t>
    </r>
    <r>
      <rPr>
        <sz val="10"/>
        <rFont val="WenQuanYi Zen Hei"/>
        <family val="2"/>
      </rPr>
      <t xml:space="preserve">）を持つ </t>
    </r>
    <r>
      <rPr>
        <sz val="10"/>
        <rFont val="Arial"/>
        <family val="0"/>
        <charset val="1"/>
      </rPr>
      <t xml:space="preserve">RELEASED </t>
    </r>
    <r>
      <rPr>
        <sz val="10"/>
        <rFont val="WenQuanYi Zen Hei"/>
        <family val="2"/>
      </rPr>
      <t xml:space="preserve">ロットを </t>
    </r>
    <r>
      <rPr>
        <sz val="10"/>
        <rFont val="Arial"/>
        <family val="0"/>
        <charset val="1"/>
      </rPr>
      <t xml:space="preserve">HOLD</t>
    </r>
    <r>
      <rPr>
        <sz val="10"/>
        <rFont val="WenQuanYi Zen Hei"/>
        <family val="2"/>
      </rPr>
      <t xml:space="preserve">（理由</t>
    </r>
    <r>
      <rPr>
        <sz val="10"/>
        <rFont val="Arial"/>
        <family val="0"/>
        <charset val="1"/>
      </rPr>
      <t xml:space="preserve">=</t>
    </r>
    <r>
      <rPr>
        <sz val="10"/>
        <rFont val="WenQuanYi Zen Hei"/>
        <family val="2"/>
      </rPr>
      <t xml:space="preserve">温度逸脱 記録</t>
    </r>
    <r>
      <rPr>
        <sz val="10"/>
        <rFont val="Arial"/>
        <family val="0"/>
        <charset val="1"/>
      </rPr>
      <t xml:space="preserve">ID</t>
    </r>
    <r>
      <rPr>
        <sz val="10"/>
        <rFont val="WenQuanYi Zen Hei"/>
        <family val="2"/>
      </rPr>
      <t xml:space="preserve">）に更新（</t>
    </r>
    <r>
      <rPr>
        <sz val="10"/>
        <rFont val="Arial"/>
        <family val="0"/>
        <charset val="1"/>
      </rPr>
      <t xml:space="preserve">BR-07</t>
    </r>
    <r>
      <rPr>
        <sz val="10"/>
        <rFont val="WenQuanYi Zen Hei"/>
        <family val="2"/>
      </rPr>
      <t xml:space="preserve">）</t>
    </r>
  </si>
  <si>
    <r>
      <rPr>
        <sz val="10"/>
        <rFont val="Arial"/>
        <family val="0"/>
        <charset val="1"/>
      </rPr>
      <t xml:space="preserve">QA</t>
    </r>
    <r>
      <rPr>
        <sz val="10"/>
        <rFont val="WenQuanYi Zen Hei"/>
        <family val="2"/>
      </rPr>
      <t xml:space="preserve">へメール通知。ロット単位で</t>
    </r>
    <r>
      <rPr>
        <sz val="10"/>
        <rFont val="Arial"/>
        <family val="0"/>
        <charset val="1"/>
      </rPr>
      <t xml:space="preserve">QA</t>
    </r>
    <r>
      <rPr>
        <sz val="10"/>
        <rFont val="WenQuanYi Zen Hei"/>
        <family val="2"/>
      </rPr>
      <t xml:space="preserve">が評価し保留解除 </t>
    </r>
    <r>
      <rPr>
        <sz val="10"/>
        <rFont val="Arial"/>
        <family val="0"/>
        <charset val="1"/>
      </rPr>
      <t xml:space="preserve">or </t>
    </r>
    <r>
      <rPr>
        <sz val="10"/>
        <rFont val="WenQuanYi Zen Hei"/>
        <family val="2"/>
      </rPr>
      <t xml:space="preserve">不合格判定</t>
    </r>
  </si>
  <si>
    <t xml:space="preserve">在庫移動・調整</t>
  </si>
  <si>
    <r>
      <rPr>
        <sz val="10"/>
        <rFont val="WenQuanYi Zen Hei"/>
        <family val="2"/>
      </rPr>
      <t xml:space="preserve">移動：</t>
    </r>
    <r>
      <rPr>
        <sz val="10"/>
        <rFont val="Arial"/>
        <family val="0"/>
        <charset val="1"/>
      </rPr>
      <t xml:space="preserve">TRANSFER_OUT(−)/TRANSFER_IN(+) </t>
    </r>
    <r>
      <rPr>
        <sz val="10"/>
        <rFont val="WenQuanYi Zen Hei"/>
        <family val="2"/>
      </rPr>
      <t xml:space="preserve">を同一トランザクションで </t>
    </r>
    <r>
      <rPr>
        <sz val="10"/>
        <rFont val="Arial"/>
        <family val="0"/>
        <charset val="1"/>
      </rPr>
      <t xml:space="preserve">INSERT</t>
    </r>
    <r>
      <rPr>
        <sz val="10"/>
        <rFont val="WenQuanYi Zen Hei"/>
        <family val="2"/>
      </rPr>
      <t xml:space="preserve">。移動先温度区分を検証（</t>
    </r>
    <r>
      <rPr>
        <sz val="10"/>
        <rFont val="Arial"/>
        <family val="0"/>
        <charset val="1"/>
      </rPr>
      <t xml:space="preserve">BR-06</t>
    </r>
    <r>
      <rPr>
        <sz val="10"/>
        <rFont val="WenQuanYi Zen Hei"/>
        <family val="2"/>
      </rPr>
      <t xml:space="preserve">）</t>
    </r>
  </si>
  <si>
    <r>
      <rPr>
        <sz val="10"/>
        <rFont val="WenQuanYi Zen Hei"/>
        <family val="2"/>
      </rPr>
      <t xml:space="preserve">調整・廃棄：理由必須。調整後の </t>
    </r>
    <r>
      <rPr>
        <sz val="10"/>
        <rFont val="Arial"/>
        <family val="0"/>
        <charset val="1"/>
      </rPr>
      <t xml:space="preserve">on_hand_qty </t>
    </r>
    <r>
      <rPr>
        <sz val="10"/>
        <rFont val="WenQuanYi Zen Hei"/>
        <family val="2"/>
      </rPr>
      <t xml:space="preserve">が </t>
    </r>
    <r>
      <rPr>
        <sz val="10"/>
        <rFont val="Arial"/>
        <family val="0"/>
        <charset val="1"/>
      </rPr>
      <t xml:space="preserve">allocated_qty </t>
    </r>
    <r>
      <rPr>
        <sz val="10"/>
        <rFont val="WenQuanYi Zen Hei"/>
        <family val="2"/>
      </rPr>
      <t xml:space="preserve">未満になる場合はエラー</t>
    </r>
  </si>
  <si>
    <t xml:space="preserve">MSG-E18</t>
  </si>
  <si>
    <r>
      <rPr>
        <b val="true"/>
        <sz val="10"/>
        <color rgb="FFFFFFFF"/>
        <rFont val="WenQuanYi Zen Hei"/>
        <family val="2"/>
      </rPr>
      <t xml:space="preserve">ルール</t>
    </r>
    <r>
      <rPr>
        <b val="true"/>
        <sz val="10"/>
        <color rgb="FFFFFFFF"/>
        <rFont val="Arial"/>
        <family val="0"/>
        <charset val="1"/>
      </rPr>
      <t xml:space="preserve">ID</t>
    </r>
  </si>
  <si>
    <t xml:space="preserve">ルール</t>
  </si>
  <si>
    <t xml:space="preserve">BR-01</t>
  </si>
  <si>
    <t xml:space="preserve">トレーサビリティ</t>
  </si>
  <si>
    <r>
      <rPr>
        <sz val="10"/>
        <rFont val="WenQuanYi Zen Hei"/>
        <family val="2"/>
      </rPr>
      <t xml:space="preserve">出荷明細はロット</t>
    </r>
    <r>
      <rPr>
        <sz val="10"/>
        <rFont val="Arial"/>
        <family val="0"/>
        <charset val="1"/>
      </rPr>
      <t xml:space="preserve">ID</t>
    </r>
    <r>
      <rPr>
        <sz val="10"/>
        <rFont val="WenQuanYi Zen Hei"/>
        <family val="2"/>
      </rPr>
      <t xml:space="preserve">を必須とし、ロットの商品と受注明細の商品が一致すること。</t>
    </r>
  </si>
  <si>
    <t xml:space="preserve">BR-02</t>
  </si>
  <si>
    <t xml:space="preserve">在庫数量の増減は必ず在庫移動履歴を伴うトランザクションで行う（在庫テーブルの直接更新禁止）。</t>
  </si>
  <si>
    <t xml:space="preserve">SHP-02,INV-03</t>
  </si>
  <si>
    <t xml:space="preserve">BR-03</t>
  </si>
  <si>
    <t xml:space="preserve">確定済の入荷・出荷・返品は物理削除不可。取消は取消区分の移動履歴（赤伝）で行う。</t>
  </si>
  <si>
    <t xml:space="preserve">SHP-02,RCV-01</t>
  </si>
  <si>
    <t xml:space="preserve">BR-04</t>
  </si>
  <si>
    <r>
      <rPr>
        <sz val="10"/>
        <rFont val="WenQuanYi Zen Hei"/>
        <family val="2"/>
      </rPr>
      <t xml:space="preserve">引当可能なロットは、ステータス</t>
    </r>
    <r>
      <rPr>
        <sz val="10"/>
        <rFont val="Arial"/>
        <family val="0"/>
        <charset val="1"/>
      </rPr>
      <t xml:space="preserve">=RELEASED </t>
    </r>
    <r>
      <rPr>
        <sz val="10"/>
        <rFont val="WenQuanYi Zen Hei"/>
        <family val="2"/>
      </rPr>
      <t xml:space="preserve">かつ 使用期限−出荷日 </t>
    </r>
    <r>
      <rPr>
        <sz val="10"/>
        <rFont val="Arial"/>
        <family val="0"/>
        <charset val="1"/>
      </rPr>
      <t xml:space="preserve">&gt;= </t>
    </r>
    <r>
      <rPr>
        <sz val="10"/>
        <rFont val="WenQuanYi Zen Hei"/>
        <family val="2"/>
      </rPr>
      <t xml:space="preserve">商品</t>
    </r>
    <r>
      <rPr>
        <sz val="10"/>
        <rFont val="Arial"/>
        <family val="0"/>
        <charset val="1"/>
      </rPr>
      <t xml:space="preserve">.</t>
    </r>
    <r>
      <rPr>
        <sz val="10"/>
        <rFont val="WenQuanYi Zen Hei"/>
        <family val="2"/>
      </rPr>
      <t xml:space="preserve">最低出荷残期間 のものに限る。</t>
    </r>
  </si>
  <si>
    <t xml:space="preserve">BR-05</t>
  </si>
  <si>
    <r>
      <rPr>
        <sz val="10"/>
        <rFont val="WenQuanYi Zen Hei"/>
        <family val="2"/>
      </rPr>
      <t xml:space="preserve">自動引当は使用期限の早い順（</t>
    </r>
    <r>
      <rPr>
        <sz val="10"/>
        <rFont val="Arial"/>
        <family val="0"/>
        <charset val="1"/>
      </rPr>
      <t xml:space="preserve">FEFO</t>
    </r>
    <r>
      <rPr>
        <sz val="10"/>
        <rFont val="WenQuanYi Zen Hei"/>
        <family val="2"/>
      </rPr>
      <t xml:space="preserve">）、同一期限は入荷日の早い順とする。</t>
    </r>
  </si>
  <si>
    <t xml:space="preserve">BR-06</t>
  </si>
  <si>
    <t xml:space="preserve">入庫・移動先の保管場所の保管温度区分は、商品の保管温度区分と一致すること。</t>
  </si>
  <si>
    <t xml:space="preserve">RCV-01,INV-02</t>
  </si>
  <si>
    <t xml:space="preserve">BR-07</t>
  </si>
  <si>
    <r>
      <rPr>
        <sz val="10"/>
        <rFont val="WenQuanYi Zen Hei"/>
        <family val="2"/>
      </rPr>
      <t xml:space="preserve">温度記録が保管場所の許容範囲外の場合、逸脱フラグを立て、当該保管場所の在庫を持つ</t>
    </r>
    <r>
      <rPr>
        <sz val="10"/>
        <rFont val="Arial"/>
        <family val="0"/>
        <charset val="1"/>
      </rPr>
      <t xml:space="preserve">RELEASED</t>
    </r>
    <r>
      <rPr>
        <sz val="10"/>
        <rFont val="WenQuanYi Zen Hei"/>
        <family val="2"/>
      </rPr>
      <t xml:space="preserve">ロットを</t>
    </r>
    <r>
      <rPr>
        <sz val="10"/>
        <rFont val="Arial"/>
        <family val="0"/>
        <charset val="1"/>
      </rPr>
      <t xml:space="preserve">HOLD</t>
    </r>
    <r>
      <rPr>
        <sz val="10"/>
        <rFont val="WenQuanYi Zen Hei"/>
        <family val="2"/>
      </rPr>
      <t xml:space="preserve">にし</t>
    </r>
    <r>
      <rPr>
        <sz val="10"/>
        <rFont val="Arial"/>
        <family val="0"/>
        <charset val="1"/>
      </rPr>
      <t xml:space="preserve">QA</t>
    </r>
    <r>
      <rPr>
        <sz val="10"/>
        <rFont val="WenQuanYi Zen Hei"/>
        <family val="2"/>
      </rPr>
      <t xml:space="preserve">へ通知する。</t>
    </r>
  </si>
  <si>
    <r>
      <rPr>
        <sz val="10"/>
        <rFont val="WenQuanYi Zen Hei"/>
        <family val="2"/>
      </rPr>
      <t xml:space="preserve">受入検品の合格判定には</t>
    </r>
    <r>
      <rPr>
        <sz val="10"/>
        <rFont val="Arial"/>
        <family val="0"/>
        <charset val="1"/>
      </rPr>
      <t xml:space="preserve">COA</t>
    </r>
    <r>
      <rPr>
        <sz val="10"/>
        <rFont val="WenQuanYi Zen Hei"/>
        <family val="2"/>
      </rPr>
      <t xml:space="preserve">（試験成績書）の添付を必須とする。</t>
    </r>
  </si>
  <si>
    <t xml:space="preserve">BR-09</t>
  </si>
  <si>
    <r>
      <rPr>
        <sz val="10"/>
        <rFont val="WenQuanYi Zen Hei"/>
        <family val="2"/>
      </rPr>
      <t xml:space="preserve">受注登録時、商品の規制区分</t>
    </r>
    <r>
      <rPr>
        <sz val="10"/>
        <rFont val="Arial"/>
        <family val="0"/>
        <charset val="1"/>
      </rPr>
      <t xml:space="preserve">×</t>
    </r>
    <r>
      <rPr>
        <sz val="10"/>
        <rFont val="WenQuanYi Zen Hei"/>
        <family val="2"/>
      </rPr>
      <t xml:space="preserve">顧客区分が販売可否ルールで「可」でなければ登録不可。</t>
    </r>
  </si>
  <si>
    <t xml:space="preserve">SAL-01,MST-06</t>
  </si>
  <si>
    <t xml:space="preserve">BR-10</t>
  </si>
  <si>
    <r>
      <rPr>
        <sz val="10"/>
        <rFont val="WenQuanYi Zen Hei"/>
        <family val="2"/>
      </rPr>
      <t xml:space="preserve">顧客区分</t>
    </r>
    <r>
      <rPr>
        <sz val="10"/>
        <rFont val="Arial"/>
        <family val="0"/>
        <charset val="1"/>
      </rPr>
      <t xml:space="preserve">=</t>
    </r>
    <r>
      <rPr>
        <sz val="10"/>
        <rFont val="WenQuanYi Zen Hei"/>
        <family val="2"/>
      </rPr>
      <t xml:space="preserve">医療機関の場合、医療機関コードを必須とする。</t>
    </r>
  </si>
  <si>
    <t xml:space="preserve">BR-11</t>
  </si>
  <si>
    <t xml:space="preserve">与信限度額が設定された顧客は、未請求残高＋今回受注額が限度額を超える場合に警告し、管理者承認で登録可。</t>
  </si>
  <si>
    <t xml:space="preserve">BR-12</t>
  </si>
  <si>
    <t xml:space="preserve">返品数量は、元出荷明細の出荷数量−既返品数量を超えてはならない。</t>
  </si>
  <si>
    <t xml:space="preserve">BR-13</t>
  </si>
  <si>
    <t xml:space="preserve">回収</t>
  </si>
  <si>
    <r>
      <rPr>
        <sz val="10"/>
        <rFont val="WenQuanYi Zen Hei"/>
        <family val="2"/>
      </rPr>
      <t xml:space="preserve">回収案件に指定されたロットは即時</t>
    </r>
    <r>
      <rPr>
        <sz val="10"/>
        <rFont val="Arial"/>
        <family val="0"/>
        <charset val="1"/>
      </rPr>
      <t xml:space="preserve">RECALLED</t>
    </r>
    <r>
      <rPr>
        <sz val="10"/>
        <rFont val="WenQuanYi Zen Hei"/>
        <family val="2"/>
      </rPr>
      <t xml:space="preserve">とし、未出荷の引当を解除する。</t>
    </r>
  </si>
  <si>
    <t xml:space="preserve">BR-14</t>
  </si>
  <si>
    <r>
      <rPr>
        <sz val="10"/>
        <rFont val="WenQuanYi Zen Hei"/>
        <family val="2"/>
      </rPr>
      <t xml:space="preserve">回収対象顧客は、対象ロットの出荷済明細から（出荷数量−返品数量）</t>
    </r>
    <r>
      <rPr>
        <sz val="10"/>
        <rFont val="Arial"/>
        <family val="0"/>
        <charset val="1"/>
      </rPr>
      <t xml:space="preserve">&gt; 0 </t>
    </r>
    <r>
      <rPr>
        <sz val="10"/>
        <rFont val="WenQuanYi Zen Hei"/>
        <family val="2"/>
      </rPr>
      <t xml:space="preserve">の顧客を自動抽出する。</t>
    </r>
  </si>
  <si>
    <t xml:space="preserve">RCL-01,TRC-01</t>
  </si>
  <si>
    <t xml:space="preserve">BR-15</t>
  </si>
  <si>
    <t xml:space="preserve">採番</t>
  </si>
  <si>
    <r>
      <rPr>
        <sz val="10"/>
        <rFont val="WenQuanYi Zen Hei"/>
        <family val="2"/>
      </rPr>
      <t xml:space="preserve">社内ロット番号＝商品コード</t>
    </r>
    <r>
      <rPr>
        <sz val="10"/>
        <rFont val="Arial"/>
        <family val="0"/>
        <charset val="1"/>
      </rPr>
      <t xml:space="preserve">-</t>
    </r>
    <r>
      <rPr>
        <sz val="10"/>
        <rFont val="WenQuanYi Zen Hei"/>
        <family val="2"/>
      </rPr>
      <t xml:space="preserve">入荷日</t>
    </r>
    <r>
      <rPr>
        <sz val="10"/>
        <rFont val="Arial"/>
        <family val="0"/>
        <charset val="1"/>
      </rPr>
      <t xml:space="preserve">(YYMMDD)-2</t>
    </r>
    <r>
      <rPr>
        <sz val="10"/>
        <rFont val="WenQuanYi Zen Hei"/>
        <family val="2"/>
      </rPr>
      <t xml:space="preserve">桁連番。仕入先・商品・仕入先ロット番号の組合せで重複登録不可。</t>
    </r>
  </si>
  <si>
    <t xml:space="preserve">BR-16</t>
  </si>
  <si>
    <t xml:space="preserve">アラート</t>
  </si>
  <si>
    <r>
      <rPr>
        <sz val="10"/>
        <rFont val="WenQuanYi Zen Hei"/>
        <family val="2"/>
      </rPr>
      <t xml:space="preserve">使用期限まで</t>
    </r>
    <r>
      <rPr>
        <sz val="10"/>
        <rFont val="Arial"/>
        <family val="0"/>
        <charset val="1"/>
      </rPr>
      <t xml:space="preserve">90</t>
    </r>
    <r>
      <rPr>
        <sz val="10"/>
        <rFont val="WenQuanYi Zen Hei"/>
        <family val="2"/>
      </rPr>
      <t xml:space="preserve">日</t>
    </r>
    <r>
      <rPr>
        <sz val="10"/>
        <rFont val="Arial"/>
        <family val="0"/>
        <charset val="1"/>
      </rPr>
      <t xml:space="preserve">/30</t>
    </r>
    <r>
      <rPr>
        <sz val="10"/>
        <rFont val="WenQuanYi Zen Hei"/>
        <family val="2"/>
      </rPr>
      <t xml:space="preserve">日、在庫が発注点以下、温度逸脱、回収未対応</t>
    </r>
    <r>
      <rPr>
        <sz val="10"/>
        <rFont val="Arial"/>
        <family val="0"/>
        <charset val="1"/>
      </rPr>
      <t xml:space="preserve">7</t>
    </r>
    <r>
      <rPr>
        <sz val="10"/>
        <rFont val="WenQuanYi Zen Hei"/>
        <family val="2"/>
      </rPr>
      <t xml:space="preserve">日超でダッシュボード表示＋メール通知。</t>
    </r>
  </si>
  <si>
    <t xml:space="preserve">対象</t>
  </si>
  <si>
    <t xml:space="preserve">現状態</t>
  </si>
  <si>
    <t xml:space="preserve">イベント</t>
  </si>
  <si>
    <t xml:space="preserve">次状態</t>
  </si>
  <si>
    <t xml:space="preserve">条件・処理</t>
  </si>
  <si>
    <t xml:space="preserve">実行ロール</t>
  </si>
  <si>
    <t xml:space="preserve">（なし）</t>
  </si>
  <si>
    <r>
      <rPr>
        <sz val="10"/>
        <rFont val="Arial"/>
        <family val="0"/>
        <charset val="1"/>
      </rPr>
      <t xml:space="preserve">QUARANTINE</t>
    </r>
    <r>
      <rPr>
        <sz val="10"/>
        <rFont val="WenQuanYi Zen Hei"/>
        <family val="2"/>
      </rPr>
      <t xml:space="preserve">（検品待ち）</t>
    </r>
  </si>
  <si>
    <t xml:space="preserve">ロット生成・在庫加算。引当不可</t>
  </si>
  <si>
    <t xml:space="preserve">WAREHOUSE</t>
  </si>
  <si>
    <t xml:space="preserve">検品合格</t>
  </si>
  <si>
    <r>
      <rPr>
        <sz val="10"/>
        <rFont val="Arial"/>
        <family val="0"/>
        <charset val="1"/>
      </rPr>
      <t xml:space="preserve">RELEASED</t>
    </r>
    <r>
      <rPr>
        <sz val="10"/>
        <rFont val="WenQuanYi Zen Hei"/>
        <family val="2"/>
      </rPr>
      <t xml:space="preserve">（合格）</t>
    </r>
  </si>
  <si>
    <r>
      <rPr>
        <sz val="10"/>
        <rFont val="Arial"/>
        <family val="0"/>
        <charset val="1"/>
      </rPr>
      <t xml:space="preserve">COA</t>
    </r>
    <r>
      <rPr>
        <sz val="10"/>
        <rFont val="WenQuanYi Zen Hei"/>
        <family val="2"/>
      </rPr>
      <t xml:space="preserve">添付必須</t>
    </r>
  </si>
  <si>
    <t xml:space="preserve">検品不合格</t>
  </si>
  <si>
    <r>
      <rPr>
        <sz val="10"/>
        <rFont val="Arial"/>
        <family val="0"/>
        <charset val="1"/>
      </rPr>
      <t xml:space="preserve">REJECTED</t>
    </r>
    <r>
      <rPr>
        <sz val="10"/>
        <rFont val="WenQuanYi Zen Hei"/>
        <family val="2"/>
      </rPr>
      <t xml:space="preserve">（不合格）</t>
    </r>
  </si>
  <si>
    <r>
      <rPr>
        <sz val="10"/>
        <rFont val="WenQuanYi Zen Hei"/>
        <family val="2"/>
      </rPr>
      <t xml:space="preserve">理由必須。返品 </t>
    </r>
    <r>
      <rPr>
        <sz val="10"/>
        <rFont val="Arial"/>
        <family val="0"/>
        <charset val="1"/>
      </rPr>
      <t xml:space="preserve">or </t>
    </r>
    <r>
      <rPr>
        <sz val="10"/>
        <rFont val="WenQuanYi Zen Hei"/>
        <family val="2"/>
      </rPr>
      <t xml:space="preserve">廃棄</t>
    </r>
  </si>
  <si>
    <t xml:space="preserve">保留</t>
  </si>
  <si>
    <r>
      <rPr>
        <sz val="10"/>
        <rFont val="Arial"/>
        <family val="0"/>
        <charset val="1"/>
      </rPr>
      <t xml:space="preserve">HOLD</t>
    </r>
    <r>
      <rPr>
        <sz val="10"/>
        <rFont val="WenQuanYi Zen Hei"/>
        <family val="2"/>
      </rPr>
      <t xml:space="preserve">（保留）</t>
    </r>
  </si>
  <si>
    <t xml:space="preserve">温度逸脱時は自動。理由必須。引当解除</t>
  </si>
  <si>
    <t xml:space="preserve">保留解除</t>
  </si>
  <si>
    <t xml:space="preserve">理由必須</t>
  </si>
  <si>
    <t xml:space="preserve">不合格判定</t>
  </si>
  <si>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</si>
  <si>
    <t xml:space="preserve">回収開始</t>
  </si>
  <si>
    <r>
      <rPr>
        <sz val="10"/>
        <rFont val="Arial"/>
        <family val="0"/>
        <charset val="1"/>
      </rPr>
      <t xml:space="preserve">RECALLED</t>
    </r>
    <r>
      <rPr>
        <sz val="10"/>
        <rFont val="WenQuanYi Zen Hei"/>
        <family val="2"/>
      </rPr>
      <t xml:space="preserve">（回収）</t>
    </r>
  </si>
  <si>
    <t xml:space="preserve">回収案件登録時に自動。引当解除・出荷停止</t>
  </si>
  <si>
    <t xml:space="preserve">期限到来</t>
  </si>
  <si>
    <r>
      <rPr>
        <sz val="10"/>
        <rFont val="Arial"/>
        <family val="0"/>
        <charset val="1"/>
      </rPr>
      <t xml:space="preserve">EXPIRED</t>
    </r>
    <r>
      <rPr>
        <sz val="10"/>
        <rFont val="WenQuanYi Zen Hei"/>
        <family val="2"/>
      </rPr>
      <t xml:space="preserve">（期限切れ）</t>
    </r>
  </si>
  <si>
    <t xml:space="preserve">日次バッチで自動。引当不可</t>
  </si>
  <si>
    <t xml:space="preserve">システム</t>
  </si>
  <si>
    <r>
      <rPr>
        <sz val="10"/>
        <rFont val="Arial"/>
        <family val="0"/>
        <charset val="1"/>
      </rPr>
      <t xml:space="preserve">DRAFT</t>
    </r>
    <r>
      <rPr>
        <sz val="10"/>
        <rFont val="WenQuanYi Zen Hei"/>
        <family val="2"/>
      </rPr>
      <t xml:space="preserve">（作成中）</t>
    </r>
  </si>
  <si>
    <t xml:space="preserve">承認</t>
  </si>
  <si>
    <r>
      <rPr>
        <sz val="10"/>
        <rFont val="Arial"/>
        <family val="0"/>
        <charset val="1"/>
      </rPr>
      <t xml:space="preserve">APPROVED</t>
    </r>
    <r>
      <rPr>
        <sz val="10"/>
        <rFont val="WenQuanYi Zen Hei"/>
        <family val="2"/>
      </rPr>
      <t xml:space="preserve">（承認済）</t>
    </r>
  </si>
  <si>
    <t xml:space="preserve">一部入荷</t>
  </si>
  <si>
    <r>
      <rPr>
        <sz val="10"/>
        <rFont val="Arial"/>
        <family val="0"/>
        <charset val="1"/>
      </rPr>
      <t xml:space="preserve">PARTIAL</t>
    </r>
    <r>
      <rPr>
        <sz val="10"/>
        <rFont val="WenQuanYi Zen Hei"/>
        <family val="2"/>
      </rPr>
      <t xml:space="preserve">（一部入荷）</t>
    </r>
  </si>
  <si>
    <r>
      <rPr>
        <sz val="10"/>
        <rFont val="WenQuanYi Zen Hei"/>
        <family val="2"/>
      </rPr>
      <t xml:space="preserve">入荷済数量 </t>
    </r>
    <r>
      <rPr>
        <sz val="10"/>
        <rFont val="Arial"/>
        <family val="0"/>
        <charset val="1"/>
      </rPr>
      <t xml:space="preserve">&lt; </t>
    </r>
    <r>
      <rPr>
        <sz val="10"/>
        <rFont val="WenQuanYi Zen Hei"/>
        <family val="2"/>
      </rPr>
      <t xml:space="preserve">発注数量</t>
    </r>
  </si>
  <si>
    <r>
      <rPr>
        <sz val="10"/>
        <rFont val="Arial"/>
        <family val="0"/>
        <charset val="1"/>
      </rPr>
      <t xml:space="preserve">APPROVED</t>
    </r>
    <r>
      <rPr>
        <sz val="10"/>
        <rFont val="WenQuanYi Zen Hei"/>
        <family val="2"/>
      </rPr>
      <t xml:space="preserve">（承認済）</t>
    </r>
    <r>
      <rPr>
        <sz val="10"/>
        <rFont val="Arial"/>
        <family val="0"/>
        <charset val="1"/>
      </rPr>
      <t xml:space="preserve">/PARTIAL</t>
    </r>
    <r>
      <rPr>
        <sz val="10"/>
        <rFont val="WenQuanYi Zen Hei"/>
        <family val="2"/>
      </rPr>
      <t xml:space="preserve">（一部入荷）</t>
    </r>
  </si>
  <si>
    <t xml:space="preserve">全量入荷</t>
  </si>
  <si>
    <r>
      <rPr>
        <sz val="10"/>
        <rFont val="Arial"/>
        <family val="0"/>
        <charset val="1"/>
      </rPr>
      <t xml:space="preserve">RECEIVED</t>
    </r>
    <r>
      <rPr>
        <sz val="10"/>
        <rFont val="WenQuanYi Zen Hei"/>
        <family val="2"/>
      </rPr>
      <t xml:space="preserve">（入荷完了）</t>
    </r>
  </si>
  <si>
    <r>
      <rPr>
        <sz val="10"/>
        <rFont val="WenQuanYi Zen Hei"/>
        <family val="2"/>
      </rPr>
      <t xml:space="preserve">全明細で入荷済数量 </t>
    </r>
    <r>
      <rPr>
        <sz val="10"/>
        <rFont val="Arial"/>
        <family val="0"/>
        <charset val="1"/>
      </rPr>
      <t xml:space="preserve">&gt;= </t>
    </r>
    <r>
      <rPr>
        <sz val="10"/>
        <rFont val="WenQuanYi Zen Hei"/>
        <family val="2"/>
      </rPr>
      <t xml:space="preserve">発注数量</t>
    </r>
  </si>
  <si>
    <r>
      <rPr>
        <sz val="10"/>
        <rFont val="Arial"/>
        <family val="0"/>
        <charset val="1"/>
      </rPr>
      <t xml:space="preserve">DRAFT</t>
    </r>
    <r>
      <rPr>
        <sz val="10"/>
        <rFont val="WenQuanYi Zen Hei"/>
        <family val="2"/>
      </rPr>
      <t xml:space="preserve">（作成中）</t>
    </r>
    <r>
      <rPr>
        <sz val="10"/>
        <rFont val="Arial"/>
        <family val="0"/>
        <charset val="1"/>
      </rPr>
      <t xml:space="preserve">/APPROVED</t>
    </r>
    <r>
      <rPr>
        <sz val="10"/>
        <rFont val="WenQuanYi Zen Hei"/>
        <family val="2"/>
      </rPr>
      <t xml:space="preserve">（承認済）</t>
    </r>
  </si>
  <si>
    <t xml:space="preserve">取消</t>
  </si>
  <si>
    <r>
      <rPr>
        <sz val="10"/>
        <rFont val="Arial"/>
        <family val="0"/>
        <charset val="1"/>
      </rPr>
      <t xml:space="preserve">CANCELLED</t>
    </r>
    <r>
      <rPr>
        <sz val="10"/>
        <rFont val="WenQuanYi Zen Hei"/>
        <family val="2"/>
      </rPr>
      <t xml:space="preserve">（取消）</t>
    </r>
  </si>
  <si>
    <t xml:space="preserve">入荷実績がない場合のみ</t>
  </si>
  <si>
    <t xml:space="preserve">PURCHASE</t>
  </si>
  <si>
    <r>
      <rPr>
        <sz val="10"/>
        <rFont val="Arial"/>
        <family val="0"/>
        <charset val="1"/>
      </rPr>
      <t xml:space="preserve">OPEN</t>
    </r>
    <r>
      <rPr>
        <sz val="10"/>
        <rFont val="WenQuanYi Zen Hei"/>
        <family val="2"/>
      </rPr>
      <t xml:space="preserve">（受付）</t>
    </r>
  </si>
  <si>
    <t xml:space="preserve">一部出荷</t>
  </si>
  <si>
    <r>
      <rPr>
        <sz val="10"/>
        <rFont val="Arial"/>
        <family val="0"/>
        <charset val="1"/>
      </rPr>
      <t xml:space="preserve">PARTIAL</t>
    </r>
    <r>
      <rPr>
        <sz val="10"/>
        <rFont val="WenQuanYi Zen Hei"/>
        <family val="2"/>
      </rPr>
      <t xml:space="preserve">（一部出荷）</t>
    </r>
  </si>
  <si>
    <r>
      <rPr>
        <sz val="10"/>
        <rFont val="Arial"/>
        <family val="0"/>
        <charset val="1"/>
      </rPr>
      <t xml:space="preserve">OPEN</t>
    </r>
    <r>
      <rPr>
        <sz val="10"/>
        <rFont val="WenQuanYi Zen Hei"/>
        <family val="2"/>
      </rPr>
      <t xml:space="preserve">（受付）</t>
    </r>
    <r>
      <rPr>
        <sz val="10"/>
        <rFont val="Arial"/>
        <family val="0"/>
        <charset val="1"/>
      </rPr>
      <t xml:space="preserve">/PARTIAL</t>
    </r>
    <r>
      <rPr>
        <sz val="10"/>
        <rFont val="WenQuanYi Zen Hei"/>
        <family val="2"/>
      </rPr>
      <t xml:space="preserve">（一部出荷）</t>
    </r>
  </si>
  <si>
    <t xml:space="preserve">全量出荷</t>
  </si>
  <si>
    <r>
      <rPr>
        <sz val="10"/>
        <rFont val="Arial"/>
        <family val="0"/>
        <charset val="1"/>
      </rPr>
      <t xml:space="preserve">SHIPPED</t>
    </r>
    <r>
      <rPr>
        <sz val="10"/>
        <rFont val="WenQuanYi Zen Hei"/>
        <family val="2"/>
      </rPr>
      <t xml:space="preserve">（出荷完了）</t>
    </r>
  </si>
  <si>
    <t xml:space="preserve">出荷実績がない場合のみ</t>
  </si>
  <si>
    <t xml:space="preserve">SALES</t>
  </si>
  <si>
    <t xml:space="preserve">出荷</t>
  </si>
  <si>
    <r>
      <rPr>
        <sz val="10"/>
        <rFont val="Arial"/>
        <family val="0"/>
        <charset val="1"/>
      </rPr>
      <t xml:space="preserve">ALLOCATED</t>
    </r>
    <r>
      <rPr>
        <sz val="10"/>
        <rFont val="WenQuanYi Zen Hei"/>
        <family val="2"/>
      </rPr>
      <t xml:space="preserve">（引当済）</t>
    </r>
  </si>
  <si>
    <r>
      <rPr>
        <sz val="10"/>
        <rFont val="Arial"/>
        <family val="0"/>
        <charset val="1"/>
      </rPr>
      <t xml:space="preserve">SHIPPED</t>
    </r>
    <r>
      <rPr>
        <sz val="10"/>
        <rFont val="WenQuanYi Zen Hei"/>
        <family val="2"/>
      </rPr>
      <t xml:space="preserve">（出荷済）</t>
    </r>
  </si>
  <si>
    <t xml:space="preserve">在庫減算・移動履歴記録・ロット紐付け確定</t>
  </si>
  <si>
    <t xml:space="preserve">引当解除</t>
  </si>
  <si>
    <t xml:space="preserve">引当数を戻す</t>
  </si>
  <si>
    <r>
      <rPr>
        <sz val="10"/>
        <rFont val="WenQuanYi Zen Hei"/>
        <family val="2"/>
      </rPr>
      <t xml:space="preserve">赤伝（</t>
    </r>
    <r>
      <rPr>
        <sz val="10"/>
        <rFont val="Arial"/>
        <family val="0"/>
        <charset val="1"/>
      </rPr>
      <t xml:space="preserve">CANCEL</t>
    </r>
    <r>
      <rPr>
        <sz val="10"/>
        <rFont val="WenQuanYi Zen Hei"/>
        <family val="2"/>
      </rPr>
      <t xml:space="preserve">移動）で在庫戻し。返品がある場合は不可</t>
    </r>
  </si>
  <si>
    <t xml:space="preserve">回収案件</t>
  </si>
  <si>
    <r>
      <rPr>
        <sz val="10"/>
        <rFont val="Arial"/>
        <family val="0"/>
        <charset val="1"/>
      </rPr>
      <t xml:space="preserve">OPEN</t>
    </r>
    <r>
      <rPr>
        <sz val="10"/>
        <rFont val="WenQuanYi Zen Hei"/>
        <family val="2"/>
      </rPr>
      <t xml:space="preserve">（登録）</t>
    </r>
  </si>
  <si>
    <t xml:space="preserve">対象顧客抽出・連絡開始</t>
  </si>
  <si>
    <r>
      <rPr>
        <sz val="10"/>
        <rFont val="Arial"/>
        <family val="0"/>
        <charset val="1"/>
      </rPr>
      <t xml:space="preserve">IN_PROGRESS</t>
    </r>
    <r>
      <rPr>
        <sz val="10"/>
        <rFont val="WenQuanYi Zen Hei"/>
        <family val="2"/>
      </rPr>
      <t xml:space="preserve">（対応中）</t>
    </r>
  </si>
  <si>
    <t xml:space="preserve">完了</t>
  </si>
  <si>
    <r>
      <rPr>
        <sz val="10"/>
        <rFont val="Arial"/>
        <family val="0"/>
        <charset val="1"/>
      </rPr>
      <t xml:space="preserve">CLOSED</t>
    </r>
    <r>
      <rPr>
        <sz val="10"/>
        <rFont val="WenQuanYi Zen Hei"/>
        <family val="2"/>
      </rPr>
      <t xml:space="preserve">（完了）</t>
    </r>
  </si>
  <si>
    <r>
      <rPr>
        <sz val="10"/>
        <rFont val="WenQuanYi Zen Hei"/>
        <family val="2"/>
      </rPr>
      <t xml:space="preserve">全対象顧客が</t>
    </r>
    <r>
      <rPr>
        <sz val="10"/>
        <rFont val="Arial"/>
        <family val="0"/>
        <charset val="1"/>
      </rPr>
      <t xml:space="preserve">RECOVERED/CLOSED</t>
    </r>
  </si>
  <si>
    <r>
      <rPr>
        <i val="true"/>
        <sz val="9"/>
        <color rgb="FF595959"/>
        <rFont val="WenQuanYi Zen Hei"/>
        <family val="2"/>
      </rPr>
      <t xml:space="preserve">カラム数は項目定義シートから </t>
    </r>
    <r>
      <rPr>
        <i val="true"/>
        <sz val="9"/>
        <color rgb="FF595959"/>
        <rFont val="Arial"/>
        <family val="0"/>
        <charset val="1"/>
      </rPr>
      <t xml:space="preserve">COUNTIF </t>
    </r>
    <r>
      <rPr>
        <i val="true"/>
        <sz val="9"/>
        <color rgb="FF595959"/>
        <rFont val="WenQuanYi Zen Hei"/>
        <family val="2"/>
      </rPr>
      <t xml:space="preserve">で自動集計（グループ見出し行を除く）</t>
    </r>
  </si>
  <si>
    <t xml:space="preserve">物理名</t>
  </si>
  <si>
    <t xml:space="preserve">論理名</t>
  </si>
  <si>
    <t xml:space="preserve">カラム数</t>
  </si>
  <si>
    <r>
      <rPr>
        <b val="true"/>
        <sz val="10"/>
        <color rgb="FFFFFFFF"/>
        <rFont val="WenQuanYi Zen Hei"/>
        <family val="2"/>
      </rPr>
      <t xml:space="preserve">主な参照先（</t>
    </r>
    <r>
      <rPr>
        <b val="true"/>
        <sz val="10"/>
        <color rgb="FFFFFFFF"/>
        <rFont val="Arial"/>
        <family val="0"/>
        <charset val="1"/>
      </rPr>
      <t xml:space="preserve">FK</t>
    </r>
    <r>
      <rPr>
        <b val="true"/>
        <sz val="10"/>
        <color rgb="FFFFFFFF"/>
        <rFont val="WenQuanYi Zen Hei"/>
        <family val="2"/>
      </rPr>
      <t xml:space="preserve">）</t>
    </r>
  </si>
  <si>
    <t xml:space="preserve">m_supplier</t>
  </si>
  <si>
    <t xml:space="preserve">仕入先（製造元・輸入元）</t>
  </si>
  <si>
    <t xml:space="preserve">m_product</t>
  </si>
  <si>
    <t xml:space="preserve">エクソソーム製品・原料</t>
  </si>
  <si>
    <t xml:space="preserve">m_customer</t>
  </si>
  <si>
    <t xml:space="preserve">販売先（請求先）</t>
  </si>
  <si>
    <t xml:space="preserve">m_ship_to</t>
  </si>
  <si>
    <t xml:space="preserve">顧客ごとの納品先</t>
  </si>
  <si>
    <t xml:space="preserve">m_location</t>
  </si>
  <si>
    <t xml:space="preserve">倉庫・冷凍庫・冷蔵庫等</t>
  </si>
  <si>
    <t xml:space="preserve">m_sales_rule</t>
  </si>
  <si>
    <r>
      <rPr>
        <sz val="10"/>
        <rFont val="WenQuanYi Zen Hei"/>
        <family val="2"/>
      </rPr>
      <t xml:space="preserve">規制区分</t>
    </r>
    <r>
      <rPr>
        <sz val="10"/>
        <rFont val="Arial"/>
        <family val="0"/>
        <charset val="1"/>
      </rPr>
      <t xml:space="preserve">×</t>
    </r>
    <r>
      <rPr>
        <sz val="10"/>
        <rFont val="WenQuanYi Zen Hei"/>
        <family val="2"/>
      </rPr>
      <t xml:space="preserve">顧客区分の販売可否</t>
    </r>
  </si>
  <si>
    <t xml:space="preserve">m_user</t>
  </si>
  <si>
    <t xml:space="preserve">ユーザー</t>
  </si>
  <si>
    <t xml:space="preserve">システム利用者</t>
  </si>
  <si>
    <t xml:space="preserve">t_purchase_order</t>
  </si>
  <si>
    <t xml:space="preserve">トランザクション</t>
  </si>
  <si>
    <t xml:space="preserve">発注ヘッダ</t>
  </si>
  <si>
    <t xml:space="preserve">m_supplier, m_user</t>
  </si>
  <si>
    <t xml:space="preserve">t_purchase_order_line</t>
  </si>
  <si>
    <t xml:space="preserve">m_product, t_purchase_order</t>
  </si>
  <si>
    <t xml:space="preserve">t_receipt</t>
  </si>
  <si>
    <t xml:space="preserve">入荷</t>
  </si>
  <si>
    <t xml:space="preserve">入荷ヘッダ</t>
  </si>
  <si>
    <t xml:space="preserve">m_supplier, t_purchase_order</t>
  </si>
  <si>
    <t xml:space="preserve">t_receipt_line</t>
  </si>
  <si>
    <t xml:space="preserve">入荷明細</t>
  </si>
  <si>
    <r>
      <rPr>
        <sz val="10"/>
        <rFont val="WenQuanYi Zen Hei"/>
        <family val="2"/>
      </rPr>
      <t xml:space="preserve">入荷明細（</t>
    </r>
    <r>
      <rPr>
        <sz val="10"/>
        <rFont val="Arial"/>
        <family val="0"/>
        <charset val="1"/>
      </rPr>
      <t xml:space="preserve">1</t>
    </r>
    <r>
      <rPr>
        <sz val="10"/>
        <rFont val="WenQuanYi Zen Hei"/>
        <family val="2"/>
      </rPr>
      <t xml:space="preserve">明細＝</t>
    </r>
    <r>
      <rPr>
        <sz val="10"/>
        <rFont val="Arial"/>
        <family val="0"/>
        <charset val="1"/>
      </rPr>
      <t xml:space="preserve">1</t>
    </r>
    <r>
      <rPr>
        <sz val="10"/>
        <rFont val="WenQuanYi Zen Hei"/>
        <family val="2"/>
      </rPr>
      <t xml:space="preserve">ロット）</t>
    </r>
  </si>
  <si>
    <t xml:space="preserve">m_location, m_product, t_lot, t_purchase_order_line, t_receipt</t>
  </si>
  <si>
    <t xml:space="preserve">t_lot</t>
  </si>
  <si>
    <t xml:space="preserve">ロット（トレーサビリティの中核）</t>
  </si>
  <si>
    <t xml:space="preserve">m_product, m_supplier, m_user</t>
  </si>
  <si>
    <r>
      <rPr>
        <sz val="10"/>
        <rFont val="WenQuanYi Zen Hei"/>
        <family val="2"/>
      </rPr>
      <t xml:space="preserve">ロット</t>
    </r>
    <r>
      <rPr>
        <sz val="10"/>
        <rFont val="Arial"/>
        <family val="0"/>
        <charset val="1"/>
      </rPr>
      <t xml:space="preserve">×</t>
    </r>
    <r>
      <rPr>
        <sz val="10"/>
        <rFont val="WenQuanYi Zen Hei"/>
        <family val="2"/>
      </rPr>
      <t xml:space="preserve">保管場所の現在庫（移動履歴の集計結果）</t>
    </r>
  </si>
  <si>
    <t xml:space="preserve">m_location, t_lot</t>
  </si>
  <si>
    <t xml:space="preserve">t_stock_movement</t>
  </si>
  <si>
    <t xml:space="preserve">在庫移動履歴</t>
  </si>
  <si>
    <t xml:space="preserve">在庫の全増減の記録（追記のみ）</t>
  </si>
  <si>
    <t xml:space="preserve">t_sales_order</t>
  </si>
  <si>
    <t xml:space="preserve">受注ヘッダ</t>
  </si>
  <si>
    <t xml:space="preserve">m_customer, m_ship_to, m_user</t>
  </si>
  <si>
    <t xml:space="preserve">受注明細</t>
  </si>
  <si>
    <t xml:space="preserve">m_product, t_sales_order</t>
  </si>
  <si>
    <t xml:space="preserve">t_shipment</t>
  </si>
  <si>
    <t xml:space="preserve">出荷ヘッダ</t>
  </si>
  <si>
    <t xml:space="preserve">m_customer, m_ship_to, t_sales_order</t>
  </si>
  <si>
    <t xml:space="preserve">t_shipment_line</t>
  </si>
  <si>
    <t xml:space="preserve">出荷明細</t>
  </si>
  <si>
    <t xml:space="preserve">出荷明細（ロット紐付け必須）</t>
  </si>
  <si>
    <t xml:space="preserve">m_location, m_product, t_lot, t_sales_order_line, t_shipment</t>
  </si>
  <si>
    <t xml:space="preserve">t_return</t>
  </si>
  <si>
    <t xml:space="preserve">返品（元出荷明細に紐付け）</t>
  </si>
  <si>
    <t xml:space="preserve">m_location, t_shipment_line</t>
  </si>
  <si>
    <t xml:space="preserve">t_recall</t>
  </si>
  <si>
    <t xml:space="preserve">回収（リコール）案件</t>
  </si>
  <si>
    <t xml:space="preserve">t_recall_lot</t>
  </si>
  <si>
    <t xml:space="preserve">回収対象ロット</t>
  </si>
  <si>
    <r>
      <rPr>
        <sz val="10"/>
        <rFont val="WenQuanYi Zen Hei"/>
        <family val="2"/>
      </rPr>
      <t xml:space="preserve">回収案件</t>
    </r>
    <r>
      <rPr>
        <sz val="10"/>
        <rFont val="Arial"/>
        <family val="0"/>
        <charset val="1"/>
      </rPr>
      <t xml:space="preserve">×</t>
    </r>
    <r>
      <rPr>
        <sz val="10"/>
        <rFont val="WenQuanYi Zen Hei"/>
        <family val="2"/>
      </rPr>
      <t xml:space="preserve">ロット</t>
    </r>
  </si>
  <si>
    <t xml:space="preserve">t_lot, t_recall</t>
  </si>
  <si>
    <t xml:space="preserve">回収対象顧客</t>
  </si>
  <si>
    <r>
      <rPr>
        <sz val="10"/>
        <rFont val="WenQuanYi Zen Hei"/>
        <family val="2"/>
      </rPr>
      <t xml:space="preserve">回収案件</t>
    </r>
    <r>
      <rPr>
        <sz val="10"/>
        <rFont val="Arial"/>
        <family val="0"/>
        <charset val="1"/>
      </rPr>
      <t xml:space="preserve">×</t>
    </r>
    <r>
      <rPr>
        <sz val="10"/>
        <rFont val="WenQuanYi Zen Hei"/>
        <family val="2"/>
      </rPr>
      <t xml:space="preserve">顧客の連絡・回収状況</t>
    </r>
  </si>
  <si>
    <t xml:space="preserve">m_customer, t_lot, t_recall</t>
  </si>
  <si>
    <t xml:space="preserve">t_temperature_log</t>
  </si>
  <si>
    <t xml:space="preserve">保管場所の温度記録</t>
  </si>
  <si>
    <t xml:space="preserve">添付ファイル</t>
  </si>
  <si>
    <r>
      <rPr>
        <sz val="10"/>
        <rFont val="Arial"/>
        <family val="0"/>
        <charset val="1"/>
      </rPr>
      <t xml:space="preserve">COA</t>
    </r>
    <r>
      <rPr>
        <sz val="10"/>
        <rFont val="WenQuanYi Zen Hei"/>
        <family val="2"/>
      </rPr>
      <t xml:space="preserve">・輸入書類等</t>
    </r>
  </si>
  <si>
    <t xml:space="preserve">t_audit_log</t>
  </si>
  <si>
    <t xml:space="preserve">ログ</t>
  </si>
  <si>
    <t xml:space="preserve">操作履歴（追記のみ）</t>
  </si>
  <si>
    <r>
      <rPr>
        <i val="true"/>
        <sz val="9"/>
        <color rgb="FF595959"/>
        <rFont val="WenQuanYi Zen Hei"/>
        <family val="2"/>
      </rPr>
      <t xml:space="preserve">各テーブル末尾に共通カラム（</t>
    </r>
    <r>
      <rPr>
        <i val="true"/>
        <sz val="9"/>
        <color rgb="FF595959"/>
        <rFont val="Arial"/>
        <family val="0"/>
        <charset val="1"/>
      </rPr>
      <t xml:space="preserve">created_at/by, updated_at/by, version</t>
    </r>
    <r>
      <rPr>
        <i val="true"/>
        <sz val="9"/>
        <color rgb="FF595959"/>
        <rFont val="WenQuanYi Zen Hei"/>
        <family val="2"/>
      </rPr>
      <t xml:space="preserve">）を付与。追記のみのテーブル（</t>
    </r>
    <r>
      <rPr>
        <i val="true"/>
        <sz val="9"/>
        <color rgb="FF595959"/>
        <rFont val="Arial"/>
        <family val="0"/>
        <charset val="1"/>
      </rPr>
      <t xml:space="preserve">t_audit_log, t_stock_movement, t_temperature_log</t>
    </r>
    <r>
      <rPr>
        <i val="true"/>
        <sz val="9"/>
        <color rgb="FF595959"/>
        <rFont val="WenQuanYi Zen Hei"/>
        <family val="2"/>
      </rPr>
      <t xml:space="preserve">）は </t>
    </r>
    <r>
      <rPr>
        <i val="true"/>
        <sz val="9"/>
        <color rgb="FF595959"/>
        <rFont val="Arial"/>
        <family val="0"/>
        <charset val="1"/>
      </rPr>
      <t xml:space="preserve">created_* </t>
    </r>
    <r>
      <rPr>
        <i val="true"/>
        <sz val="9"/>
        <color rgb="FF595959"/>
        <rFont val="WenQuanYi Zen Hei"/>
        <family val="2"/>
      </rPr>
      <t xml:space="preserve">のみ</t>
    </r>
  </si>
  <si>
    <t xml:space="preserve">テーブル</t>
  </si>
  <si>
    <t xml:space="preserve">型</t>
  </si>
  <si>
    <t xml:space="preserve">桁</t>
  </si>
  <si>
    <t xml:space="preserve">PK</t>
  </si>
  <si>
    <r>
      <rPr>
        <b val="true"/>
        <sz val="10"/>
        <color rgb="FFFFFFFF"/>
        <rFont val="Arial"/>
        <family val="0"/>
        <charset val="1"/>
      </rPr>
      <t xml:space="preserve">FK</t>
    </r>
    <r>
      <rPr>
        <b val="true"/>
        <sz val="10"/>
        <color rgb="FFFFFFFF"/>
        <rFont val="WenQuanYi Zen Hei"/>
        <family val="2"/>
      </rPr>
      <t xml:space="preserve">参照</t>
    </r>
  </si>
  <si>
    <t xml:space="preserve">NOT NULL</t>
  </si>
  <si>
    <t xml:space="preserve">備考</t>
  </si>
  <si>
    <t xml:space="preserve">【仕入先】仕入先（製造元・輸入元）</t>
  </si>
  <si>
    <t xml:space="preserve">id</t>
  </si>
  <si>
    <r>
      <rPr>
        <sz val="10"/>
        <rFont val="WenQuanYi Zen Hei"/>
        <family val="2"/>
      </rPr>
      <t xml:space="preserve">仕入先</t>
    </r>
    <r>
      <rPr>
        <sz val="10"/>
        <rFont val="Arial"/>
        <family val="0"/>
        <charset val="1"/>
      </rPr>
      <t xml:space="preserve">ID</t>
    </r>
  </si>
  <si>
    <t xml:space="preserve">BIGINT</t>
  </si>
  <si>
    <t xml:space="preserve">自動採番</t>
  </si>
  <si>
    <t xml:space="preserve">supplier_code</t>
  </si>
  <si>
    <t xml:space="preserve">仕入先コード</t>
  </si>
  <si>
    <t xml:space="preserve">VARCHAR</t>
  </si>
  <si>
    <t xml:space="preserve">20</t>
  </si>
  <si>
    <t xml:space="preserve">一意</t>
  </si>
  <si>
    <t xml:space="preserve">name</t>
  </si>
  <si>
    <t xml:space="preserve">仕入先名</t>
  </si>
  <si>
    <t xml:space="preserve">country</t>
  </si>
  <si>
    <t xml:space="preserve">国</t>
  </si>
  <si>
    <t xml:space="preserve">2</t>
  </si>
  <si>
    <t xml:space="preserve">JP</t>
  </si>
  <si>
    <t xml:space="preserve">ISO 3166-1</t>
  </si>
  <si>
    <t xml:space="preserve">address</t>
  </si>
  <si>
    <t xml:space="preserve">住所</t>
  </si>
  <si>
    <t xml:space="preserve">200</t>
  </si>
  <si>
    <t xml:space="preserve">contact_name</t>
  </si>
  <si>
    <t xml:space="preserve">担当者名</t>
  </si>
  <si>
    <t xml:space="preserve">phone</t>
  </si>
  <si>
    <t xml:space="preserve">電話番号</t>
  </si>
  <si>
    <t xml:space="preserve">email</t>
  </si>
  <si>
    <t xml:space="preserve">メール</t>
  </si>
  <si>
    <t xml:space="preserve">254</t>
  </si>
  <si>
    <t xml:space="preserve">payment_terms</t>
  </si>
  <si>
    <t xml:space="preserve">支払条件</t>
  </si>
  <si>
    <t xml:space="preserve">例：月末締め翌月末払い</t>
  </si>
  <si>
    <t xml:space="preserve">is_active</t>
  </si>
  <si>
    <t xml:space="preserve">有効フラグ</t>
  </si>
  <si>
    <t xml:space="preserve">BOOLEAN</t>
  </si>
  <si>
    <t xml:space="preserve">true</t>
  </si>
  <si>
    <t xml:space="preserve">created_at</t>
  </si>
  <si>
    <t xml:space="preserve">作成日時</t>
  </si>
  <si>
    <t xml:space="preserve">TIMESTAMP</t>
  </si>
  <si>
    <t xml:space="preserve">現在日時</t>
  </si>
  <si>
    <t xml:space="preserve">created_by</t>
  </si>
  <si>
    <t xml:space="preserve">作成者</t>
  </si>
  <si>
    <t xml:space="preserve">m_user.id</t>
  </si>
  <si>
    <t xml:space="preserve">updated_at</t>
  </si>
  <si>
    <t xml:space="preserve">更新日時</t>
  </si>
  <si>
    <t xml:space="preserve">updated_by</t>
  </si>
  <si>
    <t xml:space="preserve">更新者</t>
  </si>
  <si>
    <t xml:space="preserve">version</t>
  </si>
  <si>
    <t xml:space="preserve">INTEGER</t>
  </si>
  <si>
    <t xml:space="preserve">1</t>
  </si>
  <si>
    <t xml:space="preserve">楽観ロック用</t>
  </si>
  <si>
    <t xml:space="preserve">【商品】エクソソーム製品・原料</t>
  </si>
  <si>
    <r>
      <rPr>
        <sz val="10"/>
        <rFont val="WenQuanYi Zen Hei"/>
        <family val="2"/>
      </rPr>
      <t xml:space="preserve">商品</t>
    </r>
    <r>
      <rPr>
        <sz val="10"/>
        <rFont val="Arial"/>
        <family val="0"/>
        <charset val="1"/>
      </rPr>
      <t xml:space="preserve">ID</t>
    </r>
  </si>
  <si>
    <t xml:space="preserve">product_code</t>
  </si>
  <si>
    <t xml:space="preserve">商品コード</t>
  </si>
  <si>
    <t xml:space="preserve">商品名</t>
  </si>
  <si>
    <t xml:space="preserve">supplier_id</t>
  </si>
  <si>
    <r>
      <rPr>
        <sz val="10"/>
        <rFont val="WenQuanYi Zen Hei"/>
        <family val="2"/>
      </rPr>
      <t xml:space="preserve">主仕入先</t>
    </r>
    <r>
      <rPr>
        <sz val="10"/>
        <rFont val="Arial"/>
        <family val="0"/>
        <charset val="1"/>
      </rPr>
      <t xml:space="preserve">ID</t>
    </r>
  </si>
  <si>
    <t xml:space="preserve">m_supplier.id</t>
  </si>
  <si>
    <t xml:space="preserve">source_type</t>
  </si>
  <si>
    <t xml:space="preserve">由来</t>
  </si>
  <si>
    <r>
      <rPr>
        <sz val="10"/>
        <rFont val="WenQuanYi Zen Hei"/>
        <family val="2"/>
      </rPr>
      <t xml:space="preserve">コード値：</t>
    </r>
    <r>
      <rPr>
        <sz val="10"/>
        <rFont val="Arial"/>
        <family val="0"/>
        <charset val="1"/>
      </rPr>
      <t xml:space="preserve">ADIPOSE/UMBILICAL/DENTAL_PULP/BONE_MARROW/PLANT/OTHER</t>
    </r>
  </si>
  <si>
    <t xml:space="preserve">form</t>
  </si>
  <si>
    <t xml:space="preserve">形態</t>
  </si>
  <si>
    <r>
      <rPr>
        <sz val="10"/>
        <rFont val="WenQuanYi Zen Hei"/>
        <family val="2"/>
      </rPr>
      <t xml:space="preserve">コード値：</t>
    </r>
    <r>
      <rPr>
        <sz val="10"/>
        <rFont val="Arial"/>
        <family val="0"/>
        <charset val="1"/>
      </rPr>
      <t xml:space="preserve">FROZEN/LYOPHILIZED/LIQUID</t>
    </r>
  </si>
  <si>
    <t xml:space="preserve">particle_conc</t>
  </si>
  <si>
    <r>
      <rPr>
        <sz val="10"/>
        <rFont val="WenQuanYi Zen Hei"/>
        <family val="2"/>
      </rPr>
      <t xml:space="preserve">粒子濃度（個</t>
    </r>
    <r>
      <rPr>
        <sz val="10"/>
        <rFont val="Arial"/>
        <family val="0"/>
        <charset val="1"/>
      </rPr>
      <t xml:space="preserve">/mL</t>
    </r>
    <r>
      <rPr>
        <sz val="10"/>
        <rFont val="WenQuanYi Zen Hei"/>
        <family val="2"/>
      </rPr>
      <t xml:space="preserve">）</t>
    </r>
  </si>
  <si>
    <t xml:space="preserve">NUMERIC</t>
  </si>
  <si>
    <r>
      <rPr>
        <sz val="10"/>
        <rFont val="WenQuanYi Zen Hei"/>
        <family val="2"/>
      </rPr>
      <t xml:space="preserve">仕様値。ロット実測は</t>
    </r>
    <r>
      <rPr>
        <sz val="10"/>
        <rFont val="Arial"/>
        <family val="0"/>
        <charset val="1"/>
      </rPr>
      <t xml:space="preserve">t_lot</t>
    </r>
    <r>
      <rPr>
        <sz val="10"/>
        <rFont val="WenQuanYi Zen Hei"/>
        <family val="2"/>
      </rPr>
      <t xml:space="preserve">に保持</t>
    </r>
  </si>
  <si>
    <t xml:space="preserve">volume_ml</t>
  </si>
  <si>
    <r>
      <rPr>
        <sz val="10"/>
        <rFont val="WenQuanYi Zen Hei"/>
        <family val="2"/>
      </rPr>
      <t xml:space="preserve">内容量（</t>
    </r>
    <r>
      <rPr>
        <sz val="10"/>
        <rFont val="Arial"/>
        <family val="0"/>
        <charset val="1"/>
      </rPr>
      <t xml:space="preserve">mL</t>
    </r>
    <r>
      <rPr>
        <sz val="10"/>
        <rFont val="WenQuanYi Zen Hei"/>
        <family val="2"/>
      </rPr>
      <t xml:space="preserve">）</t>
    </r>
  </si>
  <si>
    <t xml:space="preserve">8,2</t>
  </si>
  <si>
    <t xml:space="preserve">unit</t>
  </si>
  <si>
    <t xml:space="preserve">販売単位</t>
  </si>
  <si>
    <t xml:space="preserve">10</t>
  </si>
  <si>
    <t xml:space="preserve">本</t>
  </si>
  <si>
    <r>
      <rPr>
        <sz val="10"/>
        <rFont val="WenQuanYi Zen Hei"/>
        <family val="2"/>
      </rPr>
      <t xml:space="preserve">本</t>
    </r>
    <r>
      <rPr>
        <sz val="10"/>
        <rFont val="Arial"/>
        <family val="0"/>
        <charset val="1"/>
      </rPr>
      <t xml:space="preserve">/</t>
    </r>
    <r>
      <rPr>
        <sz val="10"/>
        <rFont val="WenQuanYi Zen Hei"/>
        <family val="2"/>
      </rPr>
      <t xml:space="preserve">箱</t>
    </r>
    <r>
      <rPr>
        <sz val="10"/>
        <rFont val="Arial"/>
        <family val="0"/>
        <charset val="1"/>
      </rPr>
      <t xml:space="preserve">/vial </t>
    </r>
    <r>
      <rPr>
        <sz val="10"/>
        <rFont val="WenQuanYi Zen Hei"/>
        <family val="2"/>
      </rPr>
      <t xml:space="preserve">等</t>
    </r>
  </si>
  <si>
    <t xml:space="preserve">storage_class</t>
  </si>
  <si>
    <t xml:space="preserve">保管温度区分</t>
  </si>
  <si>
    <r>
      <rPr>
        <sz val="10"/>
        <rFont val="WenQuanYi Zen Hei"/>
        <family val="2"/>
      </rPr>
      <t xml:space="preserve">コード値：</t>
    </r>
    <r>
      <rPr>
        <sz val="10"/>
        <rFont val="Arial"/>
        <family val="0"/>
        <charset val="1"/>
      </rPr>
      <t xml:space="preserve">M80/M20/COLD/RT</t>
    </r>
  </si>
  <si>
    <t xml:space="preserve">shelf_life_days</t>
  </si>
  <si>
    <t xml:space="preserve">有効期間（日）</t>
  </si>
  <si>
    <t xml:space="preserve">使用期限未記載時の自動計算用</t>
  </si>
  <si>
    <t xml:space="preserve">min_remaining_days</t>
  </si>
  <si>
    <t xml:space="preserve">最低出荷残期間（日）</t>
  </si>
  <si>
    <t xml:space="preserve">90</t>
  </si>
  <si>
    <t xml:space="preserve">残存期間がこれ未満のロットは引当不可</t>
  </si>
  <si>
    <t xml:space="preserve">regulatory_class</t>
  </si>
  <si>
    <t xml:space="preserve">規制区分</t>
  </si>
  <si>
    <r>
      <rPr>
        <sz val="10"/>
        <rFont val="WenQuanYi Zen Hei"/>
        <family val="2"/>
      </rPr>
      <t xml:space="preserve">コード値：</t>
    </r>
    <r>
      <rPr>
        <sz val="10"/>
        <rFont val="Arial"/>
        <family val="0"/>
        <charset val="1"/>
      </rPr>
      <t xml:space="preserve">COSMETIC_RAW/RESEARCH_USE/MEDICAL_USE/OTHER</t>
    </r>
  </si>
  <si>
    <t xml:space="preserve">standard_cost</t>
  </si>
  <si>
    <t xml:space="preserve">標準原価（円）</t>
  </si>
  <si>
    <t xml:space="preserve">list_price</t>
  </si>
  <si>
    <t xml:space="preserve">標準売価（円）</t>
  </si>
  <si>
    <t xml:space="preserve">税抜</t>
  </si>
  <si>
    <t xml:space="preserve">reorder_point</t>
  </si>
  <si>
    <t xml:space="preserve">発注点</t>
  </si>
  <si>
    <t xml:space="preserve">0</t>
  </si>
  <si>
    <t xml:space="preserve">在庫下限アラート閾値</t>
  </si>
  <si>
    <t xml:space="preserve">【顧客】販売先（請求先）</t>
  </si>
  <si>
    <r>
      <rPr>
        <sz val="10"/>
        <rFont val="WenQuanYi Zen Hei"/>
        <family val="2"/>
      </rPr>
      <t xml:space="preserve">顧客</t>
    </r>
    <r>
      <rPr>
        <sz val="10"/>
        <rFont val="Arial"/>
        <family val="0"/>
        <charset val="1"/>
      </rPr>
      <t xml:space="preserve">ID</t>
    </r>
  </si>
  <si>
    <t xml:space="preserve">customer_code</t>
  </si>
  <si>
    <t xml:space="preserve">顧客コード</t>
  </si>
  <si>
    <t xml:space="preserve">顧客名</t>
  </si>
  <si>
    <t xml:space="preserve">customer_type</t>
  </si>
  <si>
    <t xml:space="preserve">顧客区分</t>
  </si>
  <si>
    <r>
      <rPr>
        <sz val="10"/>
        <rFont val="WenQuanYi Zen Hei"/>
        <family val="2"/>
      </rPr>
      <t xml:space="preserve">コード値：</t>
    </r>
    <r>
      <rPr>
        <sz val="10"/>
        <rFont val="Arial"/>
        <family val="0"/>
        <charset val="1"/>
      </rPr>
      <t xml:space="preserve">MEDICAL/SALON/DISTRIBUTOR/RESEARCH/OTHER</t>
    </r>
  </si>
  <si>
    <t xml:space="preserve">medical_inst_code</t>
  </si>
  <si>
    <t xml:space="preserve">医療機関コード</t>
  </si>
  <si>
    <r>
      <rPr>
        <sz val="10"/>
        <rFont val="WenQuanYi Zen Hei"/>
        <family val="2"/>
      </rPr>
      <t xml:space="preserve">顧客区分</t>
    </r>
    <r>
      <rPr>
        <sz val="10"/>
        <rFont val="Arial"/>
        <family val="0"/>
        <charset val="1"/>
      </rPr>
      <t xml:space="preserve">=</t>
    </r>
    <r>
      <rPr>
        <sz val="10"/>
        <rFont val="WenQuanYi Zen Hei"/>
        <family val="2"/>
      </rPr>
      <t xml:space="preserve">医療機関の場合必須</t>
    </r>
  </si>
  <si>
    <t xml:space="preserve">representative</t>
  </si>
  <si>
    <t xml:space="preserve">代表者名</t>
  </si>
  <si>
    <t xml:space="preserve">postal_code</t>
  </si>
  <si>
    <t xml:space="preserve">郵便番号</t>
  </si>
  <si>
    <t xml:space="preserve">8</t>
  </si>
  <si>
    <t xml:space="preserve">回収連絡に使用</t>
  </si>
  <si>
    <t xml:space="preserve">credit_limit</t>
  </si>
  <si>
    <t xml:space="preserve">与信限度額（円）</t>
  </si>
  <si>
    <t xml:space="preserve">12,0</t>
  </si>
  <si>
    <t xml:space="preserve">未設定は無制限</t>
  </si>
  <si>
    <t xml:space="preserve">【納品先】顧客ごとの納品先</t>
  </si>
  <si>
    <r>
      <rPr>
        <sz val="10"/>
        <rFont val="WenQuanYi Zen Hei"/>
        <family val="2"/>
      </rPr>
      <t xml:space="preserve">納品先</t>
    </r>
    <r>
      <rPr>
        <sz val="10"/>
        <rFont val="Arial"/>
        <family val="0"/>
        <charset val="1"/>
      </rPr>
      <t xml:space="preserve">ID</t>
    </r>
  </si>
  <si>
    <t xml:space="preserve">customer_id</t>
  </si>
  <si>
    <t xml:space="preserve">納品先名</t>
  </si>
  <si>
    <t xml:space="preserve">is_default</t>
  </si>
  <si>
    <t xml:space="preserve">既定フラグ</t>
  </si>
  <si>
    <t xml:space="preserve">false</t>
  </si>
  <si>
    <r>
      <rPr>
        <sz val="10"/>
        <rFont val="WenQuanYi Zen Hei"/>
        <family val="2"/>
      </rPr>
      <t xml:space="preserve">顧客ごとに</t>
    </r>
    <r>
      <rPr>
        <sz val="10"/>
        <rFont val="Arial"/>
        <family val="0"/>
        <charset val="1"/>
      </rPr>
      <t xml:space="preserve">1</t>
    </r>
    <r>
      <rPr>
        <sz val="10"/>
        <rFont val="WenQuanYi Zen Hei"/>
        <family val="2"/>
      </rPr>
      <t xml:space="preserve">件</t>
    </r>
  </si>
  <si>
    <t xml:space="preserve">【保管場所】倉庫・冷凍庫・冷蔵庫等</t>
  </si>
  <si>
    <r>
      <rPr>
        <sz val="10"/>
        <rFont val="WenQuanYi Zen Hei"/>
        <family val="2"/>
      </rPr>
      <t xml:space="preserve">保管場所</t>
    </r>
    <r>
      <rPr>
        <sz val="10"/>
        <rFont val="Arial"/>
        <family val="0"/>
        <charset val="1"/>
      </rPr>
      <t xml:space="preserve">ID</t>
    </r>
  </si>
  <si>
    <t xml:space="preserve">location_code</t>
  </si>
  <si>
    <t xml:space="preserve">保管場所コード</t>
  </si>
  <si>
    <t xml:space="preserve">保管場所名</t>
  </si>
  <si>
    <r>
      <rPr>
        <sz val="10"/>
        <rFont val="WenQuanYi Zen Hei"/>
        <family val="2"/>
      </rPr>
      <t xml:space="preserve">例：本社 </t>
    </r>
    <r>
      <rPr>
        <sz val="10"/>
        <rFont val="Arial"/>
        <family val="0"/>
        <charset val="1"/>
      </rPr>
      <t xml:space="preserve">-80℃</t>
    </r>
    <r>
      <rPr>
        <sz val="10"/>
        <rFont val="WenQuanYi Zen Hei"/>
        <family val="2"/>
      </rPr>
      <t xml:space="preserve">冷凍庫</t>
    </r>
    <r>
      <rPr>
        <sz val="10"/>
        <rFont val="Arial"/>
        <family val="0"/>
        <charset val="1"/>
      </rPr>
      <t xml:space="preserve">#1</t>
    </r>
  </si>
  <si>
    <t xml:space="preserve">商品の保管温度区分と一致する場所のみ入庫可</t>
  </si>
  <si>
    <t xml:space="preserve">temp_min</t>
  </si>
  <si>
    <t xml:space="preserve">許容温度下限（℃）</t>
  </si>
  <si>
    <t xml:space="preserve">temp_max</t>
  </si>
  <si>
    <t xml:space="preserve">許容温度上限（℃）</t>
  </si>
  <si>
    <r>
      <rPr>
        <b val="true"/>
        <sz val="10"/>
        <rFont val="WenQuanYi Zen Hei"/>
        <family val="2"/>
      </rPr>
      <t xml:space="preserve">【販売可否ルール】規制区分</t>
    </r>
    <r>
      <rPr>
        <b val="true"/>
        <sz val="10"/>
        <rFont val="Arial"/>
        <family val="0"/>
        <charset val="1"/>
      </rPr>
      <t xml:space="preserve">×</t>
    </r>
    <r>
      <rPr>
        <b val="true"/>
        <sz val="10"/>
        <rFont val="WenQuanYi Zen Hei"/>
        <family val="2"/>
      </rPr>
      <t xml:space="preserve">顧客区分の販売可否</t>
    </r>
  </si>
  <si>
    <r>
      <rPr>
        <sz val="10"/>
        <rFont val="WenQuanYi Zen Hei"/>
        <family val="2"/>
      </rPr>
      <t xml:space="preserve">ルール</t>
    </r>
    <r>
      <rPr>
        <sz val="10"/>
        <rFont val="Arial"/>
        <family val="0"/>
        <charset val="1"/>
      </rPr>
      <t xml:space="preserve">ID</t>
    </r>
  </si>
  <si>
    <r>
      <rPr>
        <sz val="10"/>
        <rFont val="Arial"/>
        <family val="0"/>
        <charset val="1"/>
      </rPr>
      <t xml:space="preserve">m_product.regulatory_class </t>
    </r>
    <r>
      <rPr>
        <sz val="10"/>
        <rFont val="WenQuanYi Zen Hei"/>
        <family val="2"/>
      </rPr>
      <t xml:space="preserve">と同じコード値</t>
    </r>
  </si>
  <si>
    <r>
      <rPr>
        <sz val="10"/>
        <rFont val="Arial"/>
        <family val="0"/>
        <charset val="1"/>
      </rPr>
      <t xml:space="preserve">m_customer.customer_type </t>
    </r>
    <r>
      <rPr>
        <sz val="10"/>
        <rFont val="WenQuanYi Zen Hei"/>
        <family val="2"/>
      </rPr>
      <t xml:space="preserve">と同じコード値</t>
    </r>
  </si>
  <si>
    <t xml:space="preserve">allowed</t>
  </si>
  <si>
    <t xml:space="preserve">販売可否</t>
  </si>
  <si>
    <r>
      <rPr>
        <sz val="10"/>
        <rFont val="Arial"/>
        <family val="0"/>
        <charset val="1"/>
      </rPr>
      <t xml:space="preserve">(</t>
    </r>
    <r>
      <rPr>
        <sz val="10"/>
        <rFont val="WenQuanYi Zen Hei"/>
        <family val="2"/>
      </rPr>
      <t xml:space="preserve">規制区分</t>
    </r>
    <r>
      <rPr>
        <sz val="10"/>
        <rFont val="Arial"/>
        <family val="0"/>
        <charset val="1"/>
      </rPr>
      <t xml:space="preserve">,</t>
    </r>
    <r>
      <rPr>
        <sz val="10"/>
        <rFont val="WenQuanYi Zen Hei"/>
        <family val="2"/>
      </rPr>
      <t xml:space="preserve">顧客区分</t>
    </r>
    <r>
      <rPr>
        <sz val="10"/>
        <rFont val="Arial"/>
        <family val="0"/>
        <charset val="1"/>
      </rPr>
      <t xml:space="preserve">)</t>
    </r>
    <r>
      <rPr>
        <sz val="10"/>
        <rFont val="WenQuanYi Zen Hei"/>
        <family val="2"/>
      </rPr>
      <t xml:space="preserve">で一意。未登録は販売不可</t>
    </r>
  </si>
  <si>
    <t xml:space="preserve">【ユーザー】システム利用者</t>
  </si>
  <si>
    <r>
      <rPr>
        <sz val="10"/>
        <rFont val="WenQuanYi Zen Hei"/>
        <family val="2"/>
      </rPr>
      <t xml:space="preserve">ユーザー</t>
    </r>
    <r>
      <rPr>
        <sz val="10"/>
        <rFont val="Arial"/>
        <family val="0"/>
        <charset val="1"/>
      </rPr>
      <t xml:space="preserve">ID</t>
    </r>
  </si>
  <si>
    <r>
      <rPr>
        <sz val="10"/>
        <rFont val="WenQuanYi Zen Hei"/>
        <family val="2"/>
      </rPr>
      <t xml:space="preserve">メール（ログイン</t>
    </r>
    <r>
      <rPr>
        <sz val="10"/>
        <rFont val="Arial"/>
        <family val="0"/>
        <charset val="1"/>
      </rPr>
      <t xml:space="preserve">ID</t>
    </r>
    <r>
      <rPr>
        <sz val="10"/>
        <rFont val="WenQuanYi Zen Hei"/>
        <family val="2"/>
      </rPr>
      <t xml:space="preserve">）</t>
    </r>
  </si>
  <si>
    <t xml:space="preserve">氏名</t>
  </si>
  <si>
    <t xml:space="preserve">role</t>
  </si>
  <si>
    <t xml:space="preserve">ロール</t>
  </si>
  <si>
    <r>
      <rPr>
        <sz val="10"/>
        <rFont val="WenQuanYi Zen Hei"/>
        <family val="2"/>
      </rPr>
      <t xml:space="preserve">コード値：</t>
    </r>
    <r>
      <rPr>
        <sz val="10"/>
        <rFont val="Arial"/>
        <family val="0"/>
        <charset val="1"/>
      </rPr>
      <t xml:space="preserve">ADMIN/PURCHASE/WAREHOUSE/SALES/QA/VIEWER</t>
    </r>
  </si>
  <si>
    <t xml:space="preserve">password_hash</t>
  </si>
  <si>
    <t xml:space="preserve">パスワードハッシュ</t>
  </si>
  <si>
    <t xml:space="preserve">255</t>
  </si>
  <si>
    <t xml:space="preserve">bcrypt/argon2</t>
  </si>
  <si>
    <t xml:space="preserve">mfa_secret</t>
  </si>
  <si>
    <r>
      <rPr>
        <sz val="10"/>
        <rFont val="Arial"/>
        <family val="0"/>
        <charset val="1"/>
      </rPr>
      <t xml:space="preserve">2</t>
    </r>
    <r>
      <rPr>
        <sz val="10"/>
        <rFont val="WenQuanYi Zen Hei"/>
        <family val="2"/>
      </rPr>
      <t xml:space="preserve">要素認証シークレット</t>
    </r>
  </si>
  <si>
    <t xml:space="preserve">暗号化して保存</t>
  </si>
  <si>
    <t xml:space="preserve">failed_login_count</t>
  </si>
  <si>
    <t xml:space="preserve">ログイン失敗回数</t>
  </si>
  <si>
    <r>
      <rPr>
        <sz val="10"/>
        <rFont val="Arial"/>
        <family val="0"/>
        <charset val="1"/>
      </rPr>
      <t xml:space="preserve">5</t>
    </r>
    <r>
      <rPr>
        <sz val="10"/>
        <rFont val="WenQuanYi Zen Hei"/>
        <family val="2"/>
      </rPr>
      <t xml:space="preserve">回でロック</t>
    </r>
  </si>
  <si>
    <t xml:space="preserve">【発注】発注ヘッダ</t>
  </si>
  <si>
    <r>
      <rPr>
        <sz val="10"/>
        <rFont val="WenQuanYi Zen Hei"/>
        <family val="2"/>
      </rPr>
      <t xml:space="preserve">発注</t>
    </r>
    <r>
      <rPr>
        <sz val="10"/>
        <rFont val="Arial"/>
        <family val="0"/>
        <charset val="1"/>
      </rPr>
      <t xml:space="preserve">ID</t>
    </r>
  </si>
  <si>
    <t xml:space="preserve">po_no</t>
  </si>
  <si>
    <r>
      <rPr>
        <sz val="10"/>
        <rFont val="Arial"/>
        <family val="0"/>
        <charset val="1"/>
      </rPr>
      <t xml:space="preserve">PO-YYYYMM-NNNN </t>
    </r>
    <r>
      <rPr>
        <sz val="10"/>
        <rFont val="WenQuanYi Zen Hei"/>
        <family val="2"/>
      </rPr>
      <t xml:space="preserve">一意</t>
    </r>
  </si>
  <si>
    <t xml:space="preserve">order_date</t>
  </si>
  <si>
    <t xml:space="preserve">発注日</t>
  </si>
  <si>
    <t xml:space="preserve">DATE</t>
  </si>
  <si>
    <t xml:space="preserve">expected_date</t>
  </si>
  <si>
    <t xml:space="preserve">入荷予定日</t>
  </si>
  <si>
    <t xml:space="preserve">status</t>
  </si>
  <si>
    <t xml:space="preserve">ステータス</t>
  </si>
  <si>
    <t xml:space="preserve">DRAFT</t>
  </si>
  <si>
    <t xml:space="preserve">状態遷移 参照</t>
  </si>
  <si>
    <t xml:space="preserve">approved_by</t>
  </si>
  <si>
    <t xml:space="preserve">承認者</t>
  </si>
  <si>
    <t xml:space="preserve">approved_at</t>
  </si>
  <si>
    <t xml:space="preserve">承認日時</t>
  </si>
  <si>
    <t xml:space="preserve">note</t>
  </si>
  <si>
    <t xml:space="preserve">TEXT</t>
  </si>
  <si>
    <t xml:space="preserve">【発注明細】発注明細</t>
  </si>
  <si>
    <r>
      <rPr>
        <sz val="10"/>
        <rFont val="WenQuanYi Zen Hei"/>
        <family val="2"/>
      </rPr>
      <t xml:space="preserve">発注明細</t>
    </r>
    <r>
      <rPr>
        <sz val="10"/>
        <rFont val="Arial"/>
        <family val="0"/>
        <charset val="1"/>
      </rPr>
      <t xml:space="preserve">ID</t>
    </r>
  </si>
  <si>
    <t xml:space="preserve">purchase_order_id</t>
  </si>
  <si>
    <t xml:space="preserve">t_purchase_order.id</t>
  </si>
  <si>
    <t xml:space="preserve">line_no</t>
  </si>
  <si>
    <t xml:space="preserve">行番号</t>
  </si>
  <si>
    <t xml:space="preserve">product_id</t>
  </si>
  <si>
    <t xml:space="preserve">m_product.id</t>
  </si>
  <si>
    <t xml:space="preserve">quantity</t>
  </si>
  <si>
    <t xml:space="preserve">発注数量</t>
  </si>
  <si>
    <t xml:space="preserve">&gt; 0</t>
  </si>
  <si>
    <t xml:space="preserve">unit_price</t>
  </si>
  <si>
    <t xml:space="preserve">received_qty</t>
  </si>
  <si>
    <t xml:space="preserve">入荷済数量</t>
  </si>
  <si>
    <t xml:space="preserve">入荷確定時に加算</t>
  </si>
  <si>
    <t xml:space="preserve">【入荷】入荷ヘッダ</t>
  </si>
  <si>
    <r>
      <rPr>
        <sz val="10"/>
        <rFont val="WenQuanYi Zen Hei"/>
        <family val="2"/>
      </rPr>
      <t xml:space="preserve">入荷</t>
    </r>
    <r>
      <rPr>
        <sz val="10"/>
        <rFont val="Arial"/>
        <family val="0"/>
        <charset val="1"/>
      </rPr>
      <t xml:space="preserve">ID</t>
    </r>
  </si>
  <si>
    <t xml:space="preserve">receipt_no</t>
  </si>
  <si>
    <t xml:space="preserve">入荷番号</t>
  </si>
  <si>
    <r>
      <rPr>
        <sz val="10"/>
        <rFont val="Arial"/>
        <family val="0"/>
        <charset val="1"/>
      </rPr>
      <t xml:space="preserve">RC-YYYYMM-NNNN </t>
    </r>
    <r>
      <rPr>
        <sz val="10"/>
        <rFont val="WenQuanYi Zen Hei"/>
        <family val="2"/>
      </rPr>
      <t xml:space="preserve">一意</t>
    </r>
  </si>
  <si>
    <r>
      <rPr>
        <sz val="10"/>
        <rFont val="WenQuanYi Zen Hei"/>
        <family val="2"/>
      </rPr>
      <t xml:space="preserve">発注なし入荷は</t>
    </r>
    <r>
      <rPr>
        <sz val="10"/>
        <rFont val="Arial"/>
        <family val="0"/>
        <charset val="1"/>
      </rPr>
      <t xml:space="preserve">NULL</t>
    </r>
  </si>
  <si>
    <t xml:space="preserve">receipt_date</t>
  </si>
  <si>
    <t xml:space="preserve">arrival_temp</t>
  </si>
  <si>
    <t xml:space="preserve">温度ロガー値</t>
  </si>
  <si>
    <t xml:space="preserve">DRAFT/CONFIRMED/CANCELLED</t>
  </si>
  <si>
    <r>
      <rPr>
        <b val="true"/>
        <sz val="10"/>
        <rFont val="WenQuanYi Zen Hei"/>
        <family val="2"/>
      </rPr>
      <t xml:space="preserve">【入荷明細】入荷明細（</t>
    </r>
    <r>
      <rPr>
        <b val="true"/>
        <sz val="10"/>
        <rFont val="Arial"/>
        <family val="0"/>
        <charset val="1"/>
      </rPr>
      <t xml:space="preserve">1</t>
    </r>
    <r>
      <rPr>
        <b val="true"/>
        <sz val="10"/>
        <rFont val="WenQuanYi Zen Hei"/>
        <family val="2"/>
      </rPr>
      <t xml:space="preserve">明細＝</t>
    </r>
    <r>
      <rPr>
        <b val="true"/>
        <sz val="10"/>
        <rFont val="Arial"/>
        <family val="0"/>
        <charset val="1"/>
      </rPr>
      <t xml:space="preserve">1</t>
    </r>
    <r>
      <rPr>
        <b val="true"/>
        <sz val="10"/>
        <rFont val="WenQuanYi Zen Hei"/>
        <family val="2"/>
      </rPr>
      <t xml:space="preserve">ロット）</t>
    </r>
  </si>
  <si>
    <r>
      <rPr>
        <sz val="10"/>
        <rFont val="WenQuanYi Zen Hei"/>
        <family val="2"/>
      </rPr>
      <t xml:space="preserve">入荷明細</t>
    </r>
    <r>
      <rPr>
        <sz val="10"/>
        <rFont val="Arial"/>
        <family val="0"/>
        <charset val="1"/>
      </rPr>
      <t xml:space="preserve">ID</t>
    </r>
  </si>
  <si>
    <t xml:space="preserve">receipt_id</t>
  </si>
  <si>
    <t xml:space="preserve">t_receipt.id</t>
  </si>
  <si>
    <t xml:space="preserve">purchase_order_line_id</t>
  </si>
  <si>
    <t xml:space="preserve">t_purchase_order_line.id</t>
  </si>
  <si>
    <t xml:space="preserve">lot_id</t>
  </si>
  <si>
    <r>
      <rPr>
        <sz val="10"/>
        <rFont val="WenQuanYi Zen Hei"/>
        <family val="2"/>
      </rPr>
      <t xml:space="preserve">ロット</t>
    </r>
    <r>
      <rPr>
        <sz val="10"/>
        <rFont val="Arial"/>
        <family val="0"/>
        <charset val="1"/>
      </rPr>
      <t xml:space="preserve">ID</t>
    </r>
  </si>
  <si>
    <t xml:space="preserve">t_lot.id</t>
  </si>
  <si>
    <t xml:space="preserve">入荷確定時に生成</t>
  </si>
  <si>
    <t xml:space="preserve">location_id</t>
  </si>
  <si>
    <r>
      <rPr>
        <sz val="10"/>
        <rFont val="WenQuanYi Zen Hei"/>
        <family val="2"/>
      </rPr>
      <t xml:space="preserve">入庫保管場所</t>
    </r>
    <r>
      <rPr>
        <sz val="10"/>
        <rFont val="Arial"/>
        <family val="0"/>
        <charset val="1"/>
      </rPr>
      <t xml:space="preserve">ID</t>
    </r>
  </si>
  <si>
    <t xml:space="preserve">m_location.id</t>
  </si>
  <si>
    <t xml:space="preserve">【ロット】ロット（トレーサビリティの中核）</t>
  </si>
  <si>
    <t xml:space="preserve">lot_no</t>
  </si>
  <si>
    <r>
      <rPr>
        <sz val="10"/>
        <rFont val="WenQuanYi Zen Hei"/>
        <family val="2"/>
      </rPr>
      <t xml:space="preserve">商品コード</t>
    </r>
    <r>
      <rPr>
        <sz val="10"/>
        <rFont val="Arial"/>
        <family val="0"/>
        <charset val="1"/>
      </rPr>
      <t xml:space="preserve">-YYMMDD-</t>
    </r>
    <r>
      <rPr>
        <sz val="10"/>
        <rFont val="WenQuanYi Zen Hei"/>
        <family val="2"/>
      </rPr>
      <t xml:space="preserve">連番 一意</t>
    </r>
  </si>
  <si>
    <t xml:space="preserve">supplier_lot_no</t>
  </si>
  <si>
    <r>
      <rPr>
        <sz val="10"/>
        <rFont val="Arial"/>
        <family val="0"/>
        <charset val="1"/>
      </rPr>
      <t xml:space="preserve">(</t>
    </r>
    <r>
      <rPr>
        <sz val="10"/>
        <rFont val="WenQuanYi Zen Hei"/>
        <family val="2"/>
      </rPr>
      <t xml:space="preserve">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t>
    </r>
    <r>
      <rPr>
        <sz val="10"/>
        <rFont val="Arial"/>
        <family val="0"/>
        <charset val="1"/>
      </rPr>
      <t xml:space="preserve">)</t>
    </r>
    <r>
      <rPr>
        <sz val="10"/>
        <rFont val="WenQuanYi Zen Hei"/>
        <family val="2"/>
      </rPr>
      <t xml:space="preserve">で一意</t>
    </r>
  </si>
  <si>
    <t xml:space="preserve">manufactured_on</t>
  </si>
  <si>
    <t xml:space="preserve">expires_on</t>
  </si>
  <si>
    <t xml:space="preserve">未記載時は入荷日＋有効期間</t>
  </si>
  <si>
    <t xml:space="preserve">measured_particle_conc</t>
  </si>
  <si>
    <r>
      <rPr>
        <sz val="10"/>
        <rFont val="Arial"/>
        <family val="0"/>
        <charset val="1"/>
      </rPr>
      <t xml:space="preserve">COA</t>
    </r>
    <r>
      <rPr>
        <sz val="10"/>
        <rFont val="WenQuanYi Zen Hei"/>
        <family val="2"/>
      </rPr>
      <t xml:space="preserve">値</t>
    </r>
  </si>
  <si>
    <t xml:space="preserve">ロットステータス</t>
  </si>
  <si>
    <t xml:space="preserve">QUARANTINE</t>
  </si>
  <si>
    <t xml:space="preserve">status_reason</t>
  </si>
  <si>
    <t xml:space="preserve">ステータス変更理由</t>
  </si>
  <si>
    <r>
      <rPr>
        <sz val="10"/>
        <rFont val="Arial"/>
        <family val="0"/>
        <charset val="1"/>
      </rPr>
      <t xml:space="preserve">HOLD/REJECTED/RECALLED</t>
    </r>
    <r>
      <rPr>
        <sz val="10"/>
        <rFont val="WenQuanYi Zen Hei"/>
        <family val="2"/>
      </rPr>
      <t xml:space="preserve">時必須</t>
    </r>
  </si>
  <si>
    <t xml:space="preserve">inspected_by</t>
  </si>
  <si>
    <t xml:space="preserve">検品者</t>
  </si>
  <si>
    <t xml:space="preserve">inspected_at</t>
  </si>
  <si>
    <t xml:space="preserve">検品日時</t>
  </si>
  <si>
    <r>
      <rPr>
        <b val="true"/>
        <sz val="10"/>
        <rFont val="WenQuanYi Zen Hei"/>
        <family val="2"/>
      </rPr>
      <t xml:space="preserve">【在庫】ロット</t>
    </r>
    <r>
      <rPr>
        <b val="true"/>
        <sz val="10"/>
        <rFont val="Arial"/>
        <family val="0"/>
        <charset val="1"/>
      </rPr>
      <t xml:space="preserve">×</t>
    </r>
    <r>
      <rPr>
        <b val="true"/>
        <sz val="10"/>
        <rFont val="WenQuanYi Zen Hei"/>
        <family val="2"/>
      </rPr>
      <t xml:space="preserve">保管場所の現在庫（移動履歴の集計結果）</t>
    </r>
  </si>
  <si>
    <r>
      <rPr>
        <sz val="10"/>
        <rFont val="WenQuanYi Zen Hei"/>
        <family val="2"/>
      </rPr>
      <t xml:space="preserve">在庫</t>
    </r>
    <r>
      <rPr>
        <sz val="10"/>
        <rFont val="Arial"/>
        <family val="0"/>
        <charset val="1"/>
      </rPr>
      <t xml:space="preserve">ID</t>
    </r>
  </si>
  <si>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t>
    </r>
    <r>
      <rPr>
        <sz val="10"/>
        <rFont val="Arial"/>
        <family val="0"/>
        <charset val="1"/>
      </rPr>
      <t xml:space="preserve">)</t>
    </r>
    <r>
      <rPr>
        <sz val="10"/>
        <rFont val="WenQuanYi Zen Hei"/>
        <family val="2"/>
      </rPr>
      <t xml:space="preserve">で一意</t>
    </r>
  </si>
  <si>
    <t xml:space="preserve">on_hand_qty</t>
  </si>
  <si>
    <t xml:space="preserve">現在庫数</t>
  </si>
  <si>
    <r>
      <rPr>
        <sz val="10"/>
        <rFont val="Arial"/>
        <family val="0"/>
        <charset val="1"/>
      </rPr>
      <t xml:space="preserve">&gt;= 0</t>
    </r>
    <r>
      <rPr>
        <sz val="10"/>
        <rFont val="WenQuanYi Zen Hei"/>
        <family val="2"/>
      </rPr>
      <t xml:space="preserve">。在庫移動履歴の合計と一致</t>
    </r>
  </si>
  <si>
    <t xml:space="preserve">allocated_qty</t>
  </si>
  <si>
    <t xml:space="preserve">引当済数</t>
  </si>
  <si>
    <r>
      <rPr>
        <sz val="10"/>
        <rFont val="Arial"/>
        <family val="0"/>
        <charset val="1"/>
      </rPr>
      <t xml:space="preserve">&lt;= </t>
    </r>
    <r>
      <rPr>
        <sz val="10"/>
        <rFont val="WenQuanYi Zen Hei"/>
        <family val="2"/>
      </rPr>
      <t xml:space="preserve">現在庫数</t>
    </r>
  </si>
  <si>
    <t xml:space="preserve">【在庫移動履歴】在庫の全増減の記録（追記のみ）</t>
  </si>
  <si>
    <r>
      <rPr>
        <sz val="10"/>
        <rFont val="WenQuanYi Zen Hei"/>
        <family val="2"/>
      </rPr>
      <t xml:space="preserve">移動履歴</t>
    </r>
    <r>
      <rPr>
        <sz val="10"/>
        <rFont val="Arial"/>
        <family val="0"/>
        <charset val="1"/>
      </rPr>
      <t xml:space="preserve">ID</t>
    </r>
  </si>
  <si>
    <t xml:space="preserve">moved_at</t>
  </si>
  <si>
    <t xml:space="preserve">発生日時</t>
  </si>
  <si>
    <t xml:space="preserve">movement_type</t>
  </si>
  <si>
    <t xml:space="preserve">移動区分</t>
  </si>
  <si>
    <t xml:space="preserve">RECEIPT/SHIPMENT/TRANSFER_IN/TRANSFER_OUT/ADJUST/DISPOSE/RETURN/CANCEL</t>
  </si>
  <si>
    <t xml:space="preserve">数量（符号付）</t>
  </si>
  <si>
    <t xml:space="preserve">入庫＋／出庫−</t>
  </si>
  <si>
    <t xml:space="preserve">ref_type</t>
  </si>
  <si>
    <t xml:space="preserve">参照伝票種別</t>
  </si>
  <si>
    <r>
      <rPr>
        <sz val="10"/>
        <rFont val="Arial"/>
        <family val="0"/>
        <charset val="1"/>
      </rPr>
      <t xml:space="preserve">receipt_line/shipment_line/return </t>
    </r>
    <r>
      <rPr>
        <sz val="10"/>
        <rFont val="WenQuanYi Zen Hei"/>
        <family val="2"/>
      </rPr>
      <t xml:space="preserve">等</t>
    </r>
  </si>
  <si>
    <t xml:space="preserve">ref_id</t>
  </si>
  <si>
    <r>
      <rPr>
        <sz val="10"/>
        <rFont val="WenQuanYi Zen Hei"/>
        <family val="2"/>
      </rPr>
      <t xml:space="preserve">参照伝票</t>
    </r>
    <r>
      <rPr>
        <sz val="10"/>
        <rFont val="Arial"/>
        <family val="0"/>
        <charset val="1"/>
      </rPr>
      <t xml:space="preserve">ID</t>
    </r>
  </si>
  <si>
    <t xml:space="preserve">reason</t>
  </si>
  <si>
    <t xml:space="preserve">理由</t>
  </si>
  <si>
    <r>
      <rPr>
        <sz val="10"/>
        <rFont val="Arial"/>
        <family val="0"/>
        <charset val="1"/>
      </rPr>
      <t xml:space="preserve">ADJUST/DISPOSE</t>
    </r>
    <r>
      <rPr>
        <sz val="10"/>
        <rFont val="WenQuanYi Zen Hei"/>
        <family val="2"/>
      </rPr>
      <t xml:space="preserve">時必須</t>
    </r>
  </si>
  <si>
    <t xml:space="preserve">【受注】受注ヘッダ</t>
  </si>
  <si>
    <r>
      <rPr>
        <sz val="10"/>
        <rFont val="WenQuanYi Zen Hei"/>
        <family val="2"/>
      </rPr>
      <t xml:space="preserve">受注</t>
    </r>
    <r>
      <rPr>
        <sz val="10"/>
        <rFont val="Arial"/>
        <family val="0"/>
        <charset val="1"/>
      </rPr>
      <t xml:space="preserve">ID</t>
    </r>
  </si>
  <si>
    <t xml:space="preserve">so_no</t>
  </si>
  <si>
    <r>
      <rPr>
        <sz val="10"/>
        <rFont val="Arial"/>
        <family val="0"/>
        <charset val="1"/>
      </rPr>
      <t xml:space="preserve">SO-YYYYMM-NNNN </t>
    </r>
    <r>
      <rPr>
        <sz val="10"/>
        <rFont val="WenQuanYi Zen Hei"/>
        <family val="2"/>
      </rPr>
      <t xml:space="preserve">一意</t>
    </r>
  </si>
  <si>
    <t xml:space="preserve">ship_to_id</t>
  </si>
  <si>
    <t xml:space="preserve">m_ship_to.id</t>
  </si>
  <si>
    <t xml:space="preserve">顧客に属する納品先のみ</t>
  </si>
  <si>
    <t xml:space="preserve">requested_date</t>
  </si>
  <si>
    <t xml:space="preserve">sales_user_id</t>
  </si>
  <si>
    <t xml:space="preserve">OPEN</t>
  </si>
  <si>
    <t xml:space="preserve">【受注明細】受注明細</t>
  </si>
  <si>
    <r>
      <rPr>
        <sz val="10"/>
        <rFont val="WenQuanYi Zen Hei"/>
        <family val="2"/>
      </rPr>
      <t xml:space="preserve">受注明細</t>
    </r>
    <r>
      <rPr>
        <sz val="10"/>
        <rFont val="Arial"/>
        <family val="0"/>
        <charset val="1"/>
      </rPr>
      <t xml:space="preserve">ID</t>
    </r>
  </si>
  <si>
    <t xml:space="preserve">sales_order_id</t>
  </si>
  <si>
    <t xml:space="preserve">t_sales_order.id</t>
  </si>
  <si>
    <t xml:space="preserve">shipped_qty</t>
  </si>
  <si>
    <t xml:space="preserve">出荷済数量</t>
  </si>
  <si>
    <t xml:space="preserve">【出荷】出荷ヘッダ</t>
  </si>
  <si>
    <r>
      <rPr>
        <sz val="10"/>
        <rFont val="WenQuanYi Zen Hei"/>
        <family val="2"/>
      </rPr>
      <t xml:space="preserve">出荷</t>
    </r>
    <r>
      <rPr>
        <sz val="10"/>
        <rFont val="Arial"/>
        <family val="0"/>
        <charset val="1"/>
      </rPr>
      <t xml:space="preserve">ID</t>
    </r>
  </si>
  <si>
    <t xml:space="preserve">shipment_no</t>
  </si>
  <si>
    <t xml:space="preserve">出荷番号</t>
  </si>
  <si>
    <r>
      <rPr>
        <sz val="10"/>
        <rFont val="Arial"/>
        <family val="0"/>
        <charset val="1"/>
      </rPr>
      <t xml:space="preserve">SH-YYYYMM-NNNN </t>
    </r>
    <r>
      <rPr>
        <sz val="10"/>
        <rFont val="WenQuanYi Zen Hei"/>
        <family val="2"/>
      </rPr>
      <t xml:space="preserve">一意（納品書番号）</t>
    </r>
  </si>
  <si>
    <t xml:space="preserve">受注から複写（追跡高速化）</t>
  </si>
  <si>
    <t xml:space="preserve">受注から複写</t>
  </si>
  <si>
    <t xml:space="preserve">shipped_on</t>
  </si>
  <si>
    <t xml:space="preserve">carrier</t>
  </si>
  <si>
    <t xml:space="preserve">クール便区分含む</t>
  </si>
  <si>
    <t xml:space="preserve">tracking_no</t>
  </si>
  <si>
    <t xml:space="preserve">ALLOCATED</t>
  </si>
  <si>
    <t xml:space="preserve">【出荷明細】出荷明細（ロット紐付け必須）</t>
  </si>
  <si>
    <r>
      <rPr>
        <sz val="10"/>
        <rFont val="WenQuanYi Zen Hei"/>
        <family val="2"/>
      </rPr>
      <t xml:space="preserve">出荷明細</t>
    </r>
    <r>
      <rPr>
        <sz val="10"/>
        <rFont val="Arial"/>
        <family val="0"/>
        <charset val="1"/>
      </rPr>
      <t xml:space="preserve">ID</t>
    </r>
  </si>
  <si>
    <t xml:space="preserve">shipment_id</t>
  </si>
  <si>
    <t xml:space="preserve">t_shipment.id</t>
  </si>
  <si>
    <t xml:space="preserve">sales_order_line_id</t>
  </si>
  <si>
    <t xml:space="preserve">t_sales_order_line.id</t>
  </si>
  <si>
    <t xml:space="preserve">ロットの商品と一致</t>
  </si>
  <si>
    <r>
      <rPr>
        <sz val="10"/>
        <rFont val="WenQuanYi Zen Hei"/>
        <family val="2"/>
      </rPr>
      <t xml:space="preserve">★トレーサビリティの要。</t>
    </r>
    <r>
      <rPr>
        <sz val="10"/>
        <rFont val="Arial"/>
        <family val="0"/>
        <charset val="1"/>
      </rPr>
      <t xml:space="preserve">NULL</t>
    </r>
    <r>
      <rPr>
        <sz val="10"/>
        <rFont val="WenQuanYi Zen Hei"/>
        <family val="2"/>
      </rPr>
      <t xml:space="preserve">不可</t>
    </r>
  </si>
  <si>
    <r>
      <rPr>
        <sz val="10"/>
        <rFont val="WenQuanYi Zen Hei"/>
        <family val="2"/>
      </rPr>
      <t xml:space="preserve">出庫保管場所</t>
    </r>
    <r>
      <rPr>
        <sz val="10"/>
        <rFont val="Arial"/>
        <family val="0"/>
        <charset val="1"/>
      </rPr>
      <t xml:space="preserve">ID</t>
    </r>
  </si>
  <si>
    <t xml:space="preserve">受注明細から複写</t>
  </si>
  <si>
    <t xml:space="preserve">unit_cost</t>
  </si>
  <si>
    <t xml:space="preserve">原価単価（円）</t>
  </si>
  <si>
    <t xml:space="preserve">ロットの仕入単価（粗利計算用）</t>
  </si>
  <si>
    <t xml:space="preserve">【返品】返品（元出荷明細に紐付け）</t>
  </si>
  <si>
    <r>
      <rPr>
        <sz val="10"/>
        <rFont val="WenQuanYi Zen Hei"/>
        <family val="2"/>
      </rPr>
      <t xml:space="preserve">返品</t>
    </r>
    <r>
      <rPr>
        <sz val="10"/>
        <rFont val="Arial"/>
        <family val="0"/>
        <charset val="1"/>
      </rPr>
      <t xml:space="preserve">ID</t>
    </r>
  </si>
  <si>
    <t xml:space="preserve">return_no</t>
  </si>
  <si>
    <t xml:space="preserve">返品番号</t>
  </si>
  <si>
    <r>
      <rPr>
        <sz val="10"/>
        <rFont val="Arial"/>
        <family val="0"/>
        <charset val="1"/>
      </rPr>
      <t xml:space="preserve">RT-YYYYMM-NNNN </t>
    </r>
    <r>
      <rPr>
        <sz val="10"/>
        <rFont val="WenQuanYi Zen Hei"/>
        <family val="2"/>
      </rPr>
      <t xml:space="preserve">一意</t>
    </r>
  </si>
  <si>
    <t xml:space="preserve">shipment_line_id</t>
  </si>
  <si>
    <r>
      <rPr>
        <sz val="10"/>
        <rFont val="WenQuanYi Zen Hei"/>
        <family val="2"/>
      </rPr>
      <t xml:space="preserve">元出荷明細</t>
    </r>
    <r>
      <rPr>
        <sz val="10"/>
        <rFont val="Arial"/>
        <family val="0"/>
        <charset val="1"/>
      </rPr>
      <t xml:space="preserve">ID</t>
    </r>
  </si>
  <si>
    <t xml:space="preserve">t_shipment_line.id</t>
  </si>
  <si>
    <t xml:space="preserve">これによりロット・顧客が確定</t>
  </si>
  <si>
    <t xml:space="preserve">returned_on</t>
  </si>
  <si>
    <t xml:space="preserve">返品日</t>
  </si>
  <si>
    <t xml:space="preserve">返品数量</t>
  </si>
  <si>
    <r>
      <rPr>
        <sz val="10"/>
        <rFont val="Arial"/>
        <family val="0"/>
        <charset val="1"/>
      </rPr>
      <t xml:space="preserve">&lt;= </t>
    </r>
    <r>
      <rPr>
        <sz val="10"/>
        <rFont val="WenQuanYi Zen Hei"/>
        <family val="2"/>
      </rPr>
      <t xml:space="preserve">元出荷数量−既返品数量</t>
    </r>
  </si>
  <si>
    <t xml:space="preserve">返品理由</t>
  </si>
  <si>
    <t xml:space="preserve">disposition</t>
  </si>
  <si>
    <t xml:space="preserve">処置</t>
  </si>
  <si>
    <r>
      <rPr>
        <sz val="10"/>
        <rFont val="Arial"/>
        <family val="0"/>
        <charset val="1"/>
      </rPr>
      <t xml:space="preserve">RESTOCK/DISPOSE</t>
    </r>
    <r>
      <rPr>
        <sz val="10"/>
        <rFont val="WenQuanYi Zen Hei"/>
        <family val="2"/>
      </rPr>
      <t xml:space="preserve">（</t>
    </r>
    <r>
      <rPr>
        <sz val="10"/>
        <rFont val="Arial"/>
        <family val="0"/>
        <charset val="1"/>
      </rPr>
      <t xml:space="preserve">QA</t>
    </r>
    <r>
      <rPr>
        <sz val="10"/>
        <rFont val="WenQuanYi Zen Hei"/>
        <family val="2"/>
      </rPr>
      <t xml:space="preserve">判定後に設定）</t>
    </r>
  </si>
  <si>
    <r>
      <rPr>
        <sz val="10"/>
        <rFont val="WenQuanYi Zen Hei"/>
        <family val="2"/>
      </rPr>
      <t xml:space="preserve">戻し保管場所</t>
    </r>
    <r>
      <rPr>
        <sz val="10"/>
        <rFont val="Arial"/>
        <family val="0"/>
        <charset val="1"/>
      </rPr>
      <t xml:space="preserve">ID</t>
    </r>
  </si>
  <si>
    <r>
      <rPr>
        <sz val="10"/>
        <rFont val="Arial"/>
        <family val="0"/>
        <charset val="1"/>
      </rPr>
      <t xml:space="preserve">RESTOCK</t>
    </r>
    <r>
      <rPr>
        <sz val="10"/>
        <rFont val="WenQuanYi Zen Hei"/>
        <family val="2"/>
      </rPr>
      <t xml:space="preserve">時必須</t>
    </r>
  </si>
  <si>
    <t xml:space="preserve">RECEIVED</t>
  </si>
  <si>
    <t xml:space="preserve">RECEIVED/CLOSED</t>
  </si>
  <si>
    <t xml:space="preserve">【回収案件】回収（リコール）案件</t>
  </si>
  <si>
    <r>
      <rPr>
        <sz val="10"/>
        <rFont val="WenQuanYi Zen Hei"/>
        <family val="2"/>
      </rPr>
      <t xml:space="preserve">回収案件</t>
    </r>
    <r>
      <rPr>
        <sz val="10"/>
        <rFont val="Arial"/>
        <family val="0"/>
        <charset val="1"/>
      </rPr>
      <t xml:space="preserve">ID</t>
    </r>
  </si>
  <si>
    <t xml:space="preserve">recall_no</t>
  </si>
  <si>
    <r>
      <rPr>
        <sz val="10"/>
        <rFont val="Arial"/>
        <family val="0"/>
        <charset val="1"/>
      </rPr>
      <t xml:space="preserve">RCL-YYYY-NNN </t>
    </r>
    <r>
      <rPr>
        <sz val="10"/>
        <rFont val="WenQuanYi Zen Hei"/>
        <family val="2"/>
      </rPr>
      <t xml:space="preserve">一意</t>
    </r>
  </si>
  <si>
    <t xml:space="preserve">title</t>
  </si>
  <si>
    <t xml:space="preserve">severity</t>
  </si>
  <si>
    <r>
      <rPr>
        <sz val="10"/>
        <rFont val="WenQuanYi Zen Hei"/>
        <family val="2"/>
      </rPr>
      <t xml:space="preserve">クラス</t>
    </r>
    <r>
      <rPr>
        <sz val="10"/>
        <rFont val="Arial"/>
        <family val="0"/>
        <charset val="1"/>
      </rPr>
      <t xml:space="preserve">I/II/III</t>
    </r>
    <r>
      <rPr>
        <sz val="10"/>
        <rFont val="WenQuanYi Zen Hei"/>
        <family val="2"/>
      </rPr>
      <t xml:space="preserve">（行政区分に準拠）</t>
    </r>
  </si>
  <si>
    <t xml:space="preserve">started_on</t>
  </si>
  <si>
    <t xml:space="preserve">開始日</t>
  </si>
  <si>
    <t xml:space="preserve">closed_on</t>
  </si>
  <si>
    <t xml:space="preserve">完了日</t>
  </si>
  <si>
    <t xml:space="preserve">OPEN/IN_PROGRESS/CLOSED</t>
  </si>
  <si>
    <r>
      <rPr>
        <b val="true"/>
        <sz val="10"/>
        <rFont val="WenQuanYi Zen Hei"/>
        <family val="2"/>
      </rPr>
      <t xml:space="preserve">【回収対象ロット】回収案件</t>
    </r>
    <r>
      <rPr>
        <b val="true"/>
        <sz val="10"/>
        <rFont val="Arial"/>
        <family val="0"/>
        <charset val="1"/>
      </rPr>
      <t xml:space="preserve">×</t>
    </r>
    <r>
      <rPr>
        <b val="true"/>
        <sz val="10"/>
        <rFont val="WenQuanYi Zen Hei"/>
        <family val="2"/>
      </rPr>
      <t xml:space="preserve">ロット</t>
    </r>
  </si>
  <si>
    <t xml:space="preserve">ID</t>
  </si>
  <si>
    <t xml:space="preserve">recall_id</t>
  </si>
  <si>
    <t xml:space="preserve">t_recall.id</t>
  </si>
  <si>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</si>
  <si>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r>
      <rPr>
        <b val="true"/>
        <sz val="10"/>
        <rFont val="WenQuanYi Zen Hei"/>
        <family val="2"/>
      </rPr>
      <t xml:space="preserve">【回収対象顧客】回収案件</t>
    </r>
    <r>
      <rPr>
        <b val="true"/>
        <sz val="10"/>
        <rFont val="Arial"/>
        <family val="0"/>
        <charset val="1"/>
      </rPr>
      <t xml:space="preserve">×</t>
    </r>
    <r>
      <rPr>
        <b val="true"/>
        <sz val="10"/>
        <rFont val="WenQuanYi Zen Hei"/>
        <family val="2"/>
      </rPr>
      <t xml:space="preserve">顧客の連絡・回収状況</t>
    </r>
  </si>
  <si>
    <t xml:space="preserve">出荷明細から自動抽出</t>
  </si>
  <si>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顧客</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</si>
  <si>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t xml:space="preserve">抽出時点の出荷数量−返品数量</t>
  </si>
  <si>
    <t xml:space="preserve">contacted_on</t>
  </si>
  <si>
    <t xml:space="preserve">連絡日</t>
  </si>
  <si>
    <t xml:space="preserve">contact_method</t>
  </si>
  <si>
    <t xml:space="preserve">連絡方法</t>
  </si>
  <si>
    <r>
      <rPr>
        <sz val="10"/>
        <rFont val="WenQuanYi Zen Hei"/>
        <family val="2"/>
      </rPr>
      <t xml:space="preserve">電話</t>
    </r>
    <r>
      <rPr>
        <sz val="10"/>
        <rFont val="Arial"/>
        <family val="0"/>
        <charset val="1"/>
      </rPr>
      <t xml:space="preserve">/</t>
    </r>
    <r>
      <rPr>
        <sz val="10"/>
        <rFont val="WenQuanYi Zen Hei"/>
        <family val="2"/>
      </rPr>
      <t xml:space="preserve">メール</t>
    </r>
    <r>
      <rPr>
        <sz val="10"/>
        <rFont val="Arial"/>
        <family val="0"/>
        <charset val="1"/>
      </rPr>
      <t xml:space="preserve">/</t>
    </r>
    <r>
      <rPr>
        <sz val="10"/>
        <rFont val="WenQuanYi Zen Hei"/>
        <family val="2"/>
      </rPr>
      <t xml:space="preserve">訪問</t>
    </r>
  </si>
  <si>
    <t xml:space="preserve">recovered_qty</t>
  </si>
  <si>
    <t xml:space="preserve">回収数量</t>
  </si>
  <si>
    <t xml:space="preserve">NOT_CONTACTED</t>
  </si>
  <si>
    <t xml:space="preserve">NOT_CONTACTED/CONTACTED/RECOVERED/CLOSED</t>
  </si>
  <si>
    <t xml:space="preserve">【温度記録】保管場所の温度記録</t>
  </si>
  <si>
    <t xml:space="preserve">measured_at</t>
  </si>
  <si>
    <t xml:space="preserve">測定日時</t>
  </si>
  <si>
    <t xml:space="preserve">temperature</t>
  </si>
  <si>
    <t xml:space="preserve">温度（℃）</t>
  </si>
  <si>
    <t xml:space="preserve">is_excursion</t>
  </si>
  <si>
    <t xml:space="preserve">逸脱フラグ</t>
  </si>
  <si>
    <t xml:space="preserve">許容範囲外で自動設定</t>
  </si>
  <si>
    <t xml:space="preserve">source</t>
  </si>
  <si>
    <t xml:space="preserve">入力元</t>
  </si>
  <si>
    <t xml:space="preserve">MANUAL</t>
  </si>
  <si>
    <t xml:space="preserve">MANUAL/CSV</t>
  </si>
  <si>
    <r>
      <rPr>
        <b val="true"/>
        <sz val="10"/>
        <rFont val="WenQuanYi Zen Hei"/>
        <family val="2"/>
      </rPr>
      <t xml:space="preserve">【添付ファイル】</t>
    </r>
    <r>
      <rPr>
        <b val="true"/>
        <sz val="10"/>
        <rFont val="Arial"/>
        <family val="0"/>
        <charset val="1"/>
      </rPr>
      <t xml:space="preserve">COA</t>
    </r>
    <r>
      <rPr>
        <b val="true"/>
        <sz val="10"/>
        <rFont val="WenQuanYi Zen Hei"/>
        <family val="2"/>
      </rPr>
      <t xml:space="preserve">・輸入書類等</t>
    </r>
  </si>
  <si>
    <r>
      <rPr>
        <sz val="10"/>
        <rFont val="WenQuanYi Zen Hei"/>
        <family val="2"/>
      </rPr>
      <t xml:space="preserve">添付</t>
    </r>
    <r>
      <rPr>
        <sz val="10"/>
        <rFont val="Arial"/>
        <family val="0"/>
        <charset val="1"/>
      </rPr>
      <t xml:space="preserve">ID</t>
    </r>
  </si>
  <si>
    <t xml:space="preserve">owner_type</t>
  </si>
  <si>
    <t xml:space="preserve">所属種別</t>
  </si>
  <si>
    <t xml:space="preserve">lot/receipt/recall/supplier</t>
  </si>
  <si>
    <t xml:space="preserve">owner_id</t>
  </si>
  <si>
    <r>
      <rPr>
        <sz val="10"/>
        <rFont val="WenQuanYi Zen Hei"/>
        <family val="2"/>
      </rPr>
      <t xml:space="preserve">所属</t>
    </r>
    <r>
      <rPr>
        <sz val="10"/>
        <rFont val="Arial"/>
        <family val="0"/>
        <charset val="1"/>
      </rPr>
      <t xml:space="preserve">ID</t>
    </r>
  </si>
  <si>
    <t xml:space="preserve">doc_type</t>
  </si>
  <si>
    <t xml:space="preserve">書類種別</t>
  </si>
  <si>
    <r>
      <rPr>
        <sz val="10"/>
        <rFont val="Arial"/>
        <family val="0"/>
        <charset val="1"/>
      </rPr>
      <t xml:space="preserve">COA/</t>
    </r>
    <r>
      <rPr>
        <sz val="10"/>
        <rFont val="WenQuanYi Zen Hei"/>
        <family val="2"/>
      </rPr>
      <t xml:space="preserve">輸入書類</t>
    </r>
    <r>
      <rPr>
        <sz val="10"/>
        <rFont val="Arial"/>
        <family val="0"/>
        <charset val="1"/>
      </rPr>
      <t xml:space="preserve">/</t>
    </r>
    <r>
      <rPr>
        <sz val="10"/>
        <rFont val="WenQuanYi Zen Hei"/>
        <family val="2"/>
      </rPr>
      <t xml:space="preserve">契約書</t>
    </r>
    <r>
      <rPr>
        <sz val="10"/>
        <rFont val="Arial"/>
        <family val="0"/>
        <charset val="1"/>
      </rPr>
      <t xml:space="preserve">/</t>
    </r>
    <r>
      <rPr>
        <sz val="10"/>
        <rFont val="WenQuanYi Zen Hei"/>
        <family val="2"/>
      </rPr>
      <t xml:space="preserve">その他</t>
    </r>
  </si>
  <si>
    <t xml:space="preserve">file_name</t>
  </si>
  <si>
    <t xml:space="preserve">ファイル名</t>
  </si>
  <si>
    <t xml:space="preserve">storage_key</t>
  </si>
  <si>
    <t xml:space="preserve">保存先キー</t>
  </si>
  <si>
    <t xml:space="preserve">500</t>
  </si>
  <si>
    <t xml:space="preserve">オブジェクトストレージのキー</t>
  </si>
  <si>
    <t xml:space="preserve">sha256</t>
  </si>
  <si>
    <t xml:space="preserve">ハッシュ値</t>
  </si>
  <si>
    <t xml:space="preserve">CHAR</t>
  </si>
  <si>
    <t xml:space="preserve">64</t>
  </si>
  <si>
    <t xml:space="preserve">改ざん検知</t>
  </si>
  <si>
    <t xml:space="preserve">【監査ログ】操作履歴（追記のみ）</t>
  </si>
  <si>
    <t xml:space="preserve">occurred_at</t>
  </si>
  <si>
    <t xml:space="preserve">user_id</t>
  </si>
  <si>
    <r>
      <rPr>
        <sz val="10"/>
        <rFont val="WenQuanYi Zen Hei"/>
        <family val="2"/>
      </rPr>
      <t xml:space="preserve">ログイン失敗時は</t>
    </r>
    <r>
      <rPr>
        <sz val="10"/>
        <rFont val="Arial"/>
        <family val="0"/>
        <charset val="1"/>
      </rPr>
      <t xml:space="preserve">NULL</t>
    </r>
  </si>
  <si>
    <t xml:space="preserve">action</t>
  </si>
  <si>
    <t xml:space="preserve">操作</t>
  </si>
  <si>
    <t xml:space="preserve">LOGIN/CREATE/UPDATE/CANCEL/STATUS/EXPORT</t>
  </si>
  <si>
    <t xml:space="preserve">target_table</t>
  </si>
  <si>
    <t xml:space="preserve">対象テーブル</t>
  </si>
  <si>
    <t xml:space="preserve">target_id</t>
  </si>
  <si>
    <r>
      <rPr>
        <sz val="10"/>
        <rFont val="WenQuanYi Zen Hei"/>
        <family val="2"/>
      </rPr>
      <t xml:space="preserve">対象</t>
    </r>
    <r>
      <rPr>
        <sz val="10"/>
        <rFont val="Arial"/>
        <family val="0"/>
        <charset val="1"/>
      </rPr>
      <t xml:space="preserve">ID</t>
    </r>
  </si>
  <si>
    <t xml:space="preserve">before_json</t>
  </si>
  <si>
    <t xml:space="preserve">変更前</t>
  </si>
  <si>
    <t xml:space="preserve">JSONB</t>
  </si>
  <si>
    <t xml:space="preserve">after_json</t>
  </si>
  <si>
    <t xml:space="preserve">変更後</t>
  </si>
  <si>
    <t xml:space="preserve">ip_address</t>
  </si>
  <si>
    <r>
      <rPr>
        <sz val="10"/>
        <rFont val="Arial"/>
        <family val="0"/>
        <charset val="1"/>
      </rPr>
      <t xml:space="preserve">IP</t>
    </r>
    <r>
      <rPr>
        <sz val="10"/>
        <rFont val="WenQuanYi Zen Hei"/>
        <family val="2"/>
      </rPr>
      <t xml:space="preserve">アドレス</t>
    </r>
  </si>
  <si>
    <t xml:space="preserve">45</t>
  </si>
  <si>
    <t xml:space="preserve">インデックス・制約定義</t>
  </si>
  <si>
    <r>
      <rPr>
        <i val="true"/>
        <sz val="9"/>
        <color rgb="FF595959"/>
        <rFont val="Arial"/>
        <family val="0"/>
        <charset val="1"/>
      </rPr>
      <t xml:space="preserve">PK</t>
    </r>
    <r>
      <rPr>
        <i val="true"/>
        <sz val="9"/>
        <color rgb="FF595959"/>
        <rFont val="WenQuanYi Zen Hei"/>
        <family val="2"/>
      </rPr>
      <t xml:space="preserve">・</t>
    </r>
    <r>
      <rPr>
        <i val="true"/>
        <sz val="9"/>
        <color rgb="FF595959"/>
        <rFont val="Arial"/>
        <family val="0"/>
        <charset val="1"/>
      </rPr>
      <t xml:space="preserve">FK</t>
    </r>
    <r>
      <rPr>
        <i val="true"/>
        <sz val="9"/>
        <color rgb="FF595959"/>
        <rFont val="WenQuanYi Zen Hei"/>
        <family val="2"/>
      </rPr>
      <t xml:space="preserve">制約は項目定義に従い全て作成する（</t>
    </r>
    <r>
      <rPr>
        <i val="true"/>
        <sz val="9"/>
        <color rgb="FF595959"/>
        <rFont val="Arial"/>
        <family val="0"/>
        <charset val="1"/>
      </rPr>
      <t xml:space="preserve">FK</t>
    </r>
    <r>
      <rPr>
        <i val="true"/>
        <sz val="9"/>
        <color rgb="FF595959"/>
        <rFont val="WenQuanYi Zen Hei"/>
        <family val="2"/>
      </rPr>
      <t xml:space="preserve">列には別途インデックスを作成）</t>
    </r>
  </si>
  <si>
    <t xml:space="preserve">名前</t>
  </si>
  <si>
    <t xml:space="preserve">対象カラム</t>
  </si>
  <si>
    <t xml:space="preserve">UNIQUE</t>
  </si>
  <si>
    <t xml:space="preserve">uq_supplier_code</t>
  </si>
  <si>
    <t xml:space="preserve">コード一意</t>
  </si>
  <si>
    <t xml:space="preserve">uq_product_code</t>
  </si>
  <si>
    <t xml:space="preserve">uq_customer_code</t>
  </si>
  <si>
    <t xml:space="preserve">CHECK</t>
  </si>
  <si>
    <t xml:space="preserve">ck_customer_medical_code</t>
  </si>
  <si>
    <t xml:space="preserve">customer_type, medical_inst_code</t>
  </si>
  <si>
    <r>
      <rPr>
        <sz val="10"/>
        <rFont val="Arial"/>
        <family val="0"/>
        <charset val="1"/>
      </rPr>
      <t xml:space="preserve">BR-10</t>
    </r>
    <r>
      <rPr>
        <sz val="10"/>
        <rFont val="WenQuanYi Zen Hei"/>
        <family val="2"/>
      </rPr>
      <t xml:space="preserve">：</t>
    </r>
    <r>
      <rPr>
        <sz val="10"/>
        <rFont val="Arial"/>
        <family val="0"/>
        <charset val="1"/>
      </rPr>
      <t xml:space="preserve">customer_type&lt;&gt;'MEDICAL' OR medical_inst_code IS NOT NULL</t>
    </r>
  </si>
  <si>
    <r>
      <rPr>
        <sz val="10"/>
        <rFont val="Arial"/>
        <family val="0"/>
        <charset val="1"/>
      </rPr>
      <t xml:space="preserve">UNIQUE(</t>
    </r>
    <r>
      <rPr>
        <sz val="10"/>
        <rFont val="WenQuanYi Zen Hei"/>
        <family val="2"/>
      </rPr>
      <t xml:space="preserve">部分</t>
    </r>
    <r>
      <rPr>
        <sz val="10"/>
        <rFont val="Arial"/>
        <family val="0"/>
        <charset val="1"/>
      </rPr>
      <t xml:space="preserve">)</t>
    </r>
  </si>
  <si>
    <t xml:space="preserve">uq_ship_to_default</t>
  </si>
  <si>
    <t xml:space="preserve">customer_id WHERE is_default</t>
  </si>
  <si>
    <r>
      <rPr>
        <sz val="10"/>
        <rFont val="WenQuanYi Zen Hei"/>
        <family val="2"/>
      </rPr>
      <t xml:space="preserve">既定納品先は顧客ごとに</t>
    </r>
    <r>
      <rPr>
        <sz val="10"/>
        <rFont val="Arial"/>
        <family val="0"/>
        <charset val="1"/>
      </rPr>
      <t xml:space="preserve">1</t>
    </r>
    <r>
      <rPr>
        <sz val="10"/>
        <rFont val="WenQuanYi Zen Hei"/>
        <family val="2"/>
      </rPr>
      <t xml:space="preserve">件</t>
    </r>
  </si>
  <si>
    <t xml:space="preserve">uq_location_code</t>
  </si>
  <si>
    <t xml:space="preserve">ck_location_temp</t>
  </si>
  <si>
    <t xml:space="preserve">temp_min, temp_max</t>
  </si>
  <si>
    <t xml:space="preserve">temp_min &lt; temp_max</t>
  </si>
  <si>
    <t xml:space="preserve">uq_sales_rule</t>
  </si>
  <si>
    <t xml:space="preserve">regulatory_class, customer_type</t>
  </si>
  <si>
    <t xml:space="preserve">組合せ一意</t>
  </si>
  <si>
    <t xml:space="preserve">uq_user_email</t>
  </si>
  <si>
    <r>
      <rPr>
        <sz val="10"/>
        <rFont val="WenQuanYi Zen Hei"/>
        <family val="2"/>
      </rPr>
      <t xml:space="preserve">ログイン</t>
    </r>
    <r>
      <rPr>
        <sz val="10"/>
        <rFont val="Arial"/>
        <family val="0"/>
        <charset val="1"/>
      </rPr>
      <t xml:space="preserve">ID</t>
    </r>
    <r>
      <rPr>
        <sz val="10"/>
        <rFont val="WenQuanYi Zen Hei"/>
        <family val="2"/>
      </rPr>
      <t xml:space="preserve">一意</t>
    </r>
  </si>
  <si>
    <t xml:space="preserve">uq_po_no</t>
  </si>
  <si>
    <t xml:space="preserve">番号一意</t>
  </si>
  <si>
    <t xml:space="preserve">uq_po_line</t>
  </si>
  <si>
    <t xml:space="preserve">purchase_order_id, line_no</t>
  </si>
  <si>
    <t xml:space="preserve">行番号一意</t>
  </si>
  <si>
    <t xml:space="preserve">uq_receipt_no</t>
  </si>
  <si>
    <t xml:space="preserve">uq_lot_no</t>
  </si>
  <si>
    <t xml:space="preserve">社内ロット番号一意</t>
  </si>
  <si>
    <t xml:space="preserve">uq_lot_supplier_lot</t>
  </si>
  <si>
    <t xml:space="preserve">supplier_id, product_id, supplier_lot_no</t>
  </si>
  <si>
    <r>
      <rPr>
        <sz val="10"/>
        <rFont val="Arial"/>
        <family val="0"/>
        <charset val="1"/>
      </rPr>
      <t xml:space="preserve">BR-15 </t>
    </r>
    <r>
      <rPr>
        <sz val="10"/>
        <rFont val="WenQuanYi Zen Hei"/>
        <family val="2"/>
      </rPr>
      <t xml:space="preserve">重複入荷防止</t>
    </r>
  </si>
  <si>
    <t xml:space="preserve">INDEX</t>
  </si>
  <si>
    <t xml:space="preserve">ix_lot_product_status_exp</t>
  </si>
  <si>
    <t xml:space="preserve">product_id, status, expires_on</t>
  </si>
  <si>
    <r>
      <rPr>
        <sz val="10"/>
        <rFont val="Arial"/>
        <family val="0"/>
        <charset val="1"/>
      </rPr>
      <t xml:space="preserve">FEFO</t>
    </r>
    <r>
      <rPr>
        <sz val="10"/>
        <rFont val="WenQuanYi Zen Hei"/>
        <family val="2"/>
      </rPr>
      <t xml:space="preserve">引当候補抽出（</t>
    </r>
    <r>
      <rPr>
        <sz val="10"/>
        <rFont val="Arial"/>
        <family val="0"/>
        <charset val="1"/>
      </rPr>
      <t xml:space="preserve">P-04</t>
    </r>
    <r>
      <rPr>
        <sz val="10"/>
        <rFont val="WenQuanYi Zen Hei"/>
        <family val="2"/>
      </rPr>
      <t xml:space="preserve">）</t>
    </r>
  </si>
  <si>
    <t xml:space="preserve">uq_inventory_lot_loc</t>
  </si>
  <si>
    <t xml:space="preserve">lot_id, location_id</t>
  </si>
  <si>
    <r>
      <rPr>
        <sz val="10"/>
        <rFont val="WenQuanYi Zen Hei"/>
        <family val="2"/>
      </rPr>
      <t xml:space="preserve">ロット</t>
    </r>
    <r>
      <rPr>
        <sz val="10"/>
        <rFont val="Arial"/>
        <family val="0"/>
        <charset val="1"/>
      </rPr>
      <t xml:space="preserve">×</t>
    </r>
    <r>
      <rPr>
        <sz val="10"/>
        <rFont val="WenQuanYi Zen Hei"/>
        <family val="2"/>
      </rPr>
      <t xml:space="preserve">保管場所一意</t>
    </r>
  </si>
  <si>
    <t xml:space="preserve">ck_inventory_qty</t>
  </si>
  <si>
    <t xml:space="preserve">on_hand_qty, allocated_qty</t>
  </si>
  <si>
    <t xml:space="preserve">on_hand_qty &gt;= 0 AND 0 &lt;= allocated_qty AND allocated_qty &lt;= on_hand_qty</t>
  </si>
  <si>
    <t xml:space="preserve">ix_movement_lot_loc</t>
  </si>
  <si>
    <t xml:space="preserve">lot_id, location_id, moved_at</t>
  </si>
  <si>
    <t xml:space="preserve">受払・整合性チェック</t>
  </si>
  <si>
    <t xml:space="preserve">ix_movement_ref</t>
  </si>
  <si>
    <t xml:space="preserve">ref_type, ref_id</t>
  </si>
  <si>
    <t xml:space="preserve">伝票からの逆引き</t>
  </si>
  <si>
    <t xml:space="preserve">uq_so_no</t>
  </si>
  <si>
    <t xml:space="preserve">ix_so_customer_date</t>
  </si>
  <si>
    <t xml:space="preserve">customer_id, order_date</t>
  </si>
  <si>
    <t xml:space="preserve">顧客別受注検索</t>
  </si>
  <si>
    <t xml:space="preserve">uq_so_line</t>
  </si>
  <si>
    <t xml:space="preserve">sales_order_id, line_no</t>
  </si>
  <si>
    <t xml:space="preserve">uq_shipment_no</t>
  </si>
  <si>
    <t xml:space="preserve">ix_shipment_customer_date</t>
  </si>
  <si>
    <t xml:space="preserve">customer_id, shipped_on</t>
  </si>
  <si>
    <r>
      <rPr>
        <sz val="10"/>
        <rFont val="WenQuanYi Zen Hei"/>
        <family val="2"/>
      </rPr>
      <t xml:space="preserve">後方追跡（</t>
    </r>
    <r>
      <rPr>
        <sz val="10"/>
        <rFont val="Arial"/>
        <family val="0"/>
        <charset val="1"/>
      </rPr>
      <t xml:space="preserve">SQL-02</t>
    </r>
    <r>
      <rPr>
        <sz val="10"/>
        <rFont val="WenQuanYi Zen Hei"/>
        <family val="2"/>
      </rPr>
      <t xml:space="preserve">）</t>
    </r>
  </si>
  <si>
    <t xml:space="preserve">ix_shipment_line_lot</t>
  </si>
  <si>
    <r>
      <rPr>
        <sz val="10"/>
        <rFont val="WenQuanYi Zen Hei"/>
        <family val="2"/>
      </rPr>
      <t xml:space="preserve">前方追跡・回収抽出（</t>
    </r>
    <r>
      <rPr>
        <sz val="10"/>
        <rFont val="Arial"/>
        <family val="0"/>
        <charset val="1"/>
      </rPr>
      <t xml:space="preserve">SQL-01/03</t>
    </r>
    <r>
      <rPr>
        <sz val="10"/>
        <rFont val="WenQuanYi Zen Hei"/>
        <family val="2"/>
      </rPr>
      <t xml:space="preserve">）</t>
    </r>
  </si>
  <si>
    <t xml:space="preserve">ck_shipment_line_qty</t>
  </si>
  <si>
    <t xml:space="preserve">quantity &gt; 0</t>
  </si>
  <si>
    <t xml:space="preserve">uq_return_no</t>
  </si>
  <si>
    <t xml:space="preserve">ix_return_shipment_line</t>
  </si>
  <si>
    <t xml:space="preserve">返品数量集計</t>
  </si>
  <si>
    <t xml:space="preserve">uq_recall_no</t>
  </si>
  <si>
    <t xml:space="preserve">uq_recall_lot</t>
  </si>
  <si>
    <t xml:space="preserve">recall_id, lot_id</t>
  </si>
  <si>
    <t xml:space="preserve">重複防止</t>
  </si>
  <si>
    <t xml:space="preserve">uq_recall_target</t>
  </si>
  <si>
    <t xml:space="preserve">recall_id, customer_id, lot_id</t>
  </si>
  <si>
    <r>
      <rPr>
        <sz val="10"/>
        <rFont val="Arial"/>
        <family val="0"/>
        <charset val="1"/>
      </rPr>
      <t xml:space="preserve">SQL-03 </t>
    </r>
    <r>
      <rPr>
        <sz val="10"/>
        <rFont val="WenQuanYi Zen Hei"/>
        <family val="2"/>
      </rPr>
      <t xml:space="preserve">の </t>
    </r>
    <r>
      <rPr>
        <sz val="10"/>
        <rFont val="Arial"/>
        <family val="0"/>
        <charset val="1"/>
      </rPr>
      <t xml:space="preserve">ON CONFLICT </t>
    </r>
    <r>
      <rPr>
        <sz val="10"/>
        <rFont val="WenQuanYi Zen Hei"/>
        <family val="2"/>
      </rPr>
      <t xml:space="preserve">対象</t>
    </r>
  </si>
  <si>
    <t xml:space="preserve">ix_temp_location_time</t>
  </si>
  <si>
    <t xml:space="preserve">location_id, measured_at</t>
  </si>
  <si>
    <t xml:space="preserve">温度推移照会</t>
  </si>
  <si>
    <t xml:space="preserve">ix_attachment_owner</t>
  </si>
  <si>
    <t xml:space="preserve">owner_type, owner_id</t>
  </si>
  <si>
    <t xml:space="preserve">所属別取得</t>
  </si>
  <si>
    <t xml:space="preserve">ix_audit_target</t>
  </si>
  <si>
    <t xml:space="preserve">target_table, target_id, occurred_at</t>
  </si>
  <si>
    <t xml:space="preserve">対象別履歴</t>
  </si>
  <si>
    <t xml:space="preserve">ix_audit_user_time</t>
  </si>
  <si>
    <t xml:space="preserve">user_id, occurred_at</t>
  </si>
  <si>
    <t xml:space="preserve">ユーザー別履歴</t>
  </si>
  <si>
    <r>
      <rPr>
        <b val="true"/>
        <sz val="11"/>
        <color rgb="FF1F4E5F"/>
        <rFont val="Arial"/>
        <family val="0"/>
        <charset val="1"/>
      </rPr>
      <t xml:space="preserve">DDL</t>
    </r>
    <r>
      <rPr>
        <b val="true"/>
        <sz val="11"/>
        <color rgb="FF1F4E5F"/>
        <rFont val="WenQuanYi Zen Hei"/>
        <family val="2"/>
      </rPr>
      <t xml:space="preserve">（</t>
    </r>
    <r>
      <rPr>
        <b val="true"/>
        <sz val="11"/>
        <color rgb="FF1F4E5F"/>
        <rFont val="Arial"/>
        <family val="0"/>
        <charset val="1"/>
      </rPr>
      <t xml:space="preserve">PostgreSQL</t>
    </r>
    <r>
      <rPr>
        <b val="true"/>
        <sz val="11"/>
        <color rgb="FF1F4E5F"/>
        <rFont val="WenQuanYi Zen Hei"/>
        <family val="2"/>
      </rPr>
      <t xml:space="preserve">）— 項目定義・インデックス定義から自動生成</t>
    </r>
  </si>
  <si>
    <r>
      <rPr>
        <sz val="9"/>
        <rFont val="Courier New"/>
        <family val="0"/>
        <charset val="1"/>
      </rPr>
      <t xml:space="preserve">-- </t>
    </r>
    <r>
      <rPr>
        <sz val="9"/>
        <rFont val="WenQuanYi Zen Hei"/>
        <family val="2"/>
      </rPr>
      <t xml:space="preserve">生成元</t>
    </r>
    <r>
      <rPr>
        <sz val="9"/>
        <rFont val="Courier New"/>
        <family val="0"/>
        <charset val="1"/>
      </rPr>
      <t xml:space="preserve">: docs/design/tools/spec.py</t>
    </r>
    <r>
      <rPr>
        <sz val="9"/>
        <rFont val="WenQuanYi Zen Hei"/>
        <family val="2"/>
      </rPr>
      <t xml:space="preserve">（手修正しないこと）</t>
    </r>
  </si>
  <si>
    <r>
      <rPr>
        <sz val="9"/>
        <rFont val="Courier New"/>
        <family val="0"/>
        <charset val="1"/>
      </rPr>
      <t xml:space="preserve">-- </t>
    </r>
    <r>
      <rPr>
        <sz val="9"/>
        <rFont val="WenQuanYi Zen Hei"/>
        <family val="2"/>
      </rPr>
      <t xml:space="preserve">作成順は外部キーの依存順</t>
    </r>
  </si>
  <si>
    <r>
      <rPr>
        <sz val="9"/>
        <rFont val="Courier New"/>
        <family val="0"/>
        <charset val="1"/>
      </rPr>
      <t xml:space="preserve">-- </t>
    </r>
    <r>
      <rPr>
        <sz val="9"/>
        <rFont val="WenQuanYi Zen Hei"/>
        <family val="2"/>
      </rPr>
      <t xml:space="preserve">ユーザー：システム利用者</t>
    </r>
  </si>
  <si>
    <t xml:space="preserve">CREATE TABLE m_user (</t>
  </si>
  <si>
    <t xml:space="preserve">  id BIGINT GENERATED ALWAYS AS IDENTITY PRIMARY KEY,</t>
  </si>
  <si>
    <t xml:space="preserve">  email VARCHAR(254) NOT NULL,</t>
  </si>
  <si>
    <t xml:space="preserve">  name VARCHAR(50) NOT NULL,</t>
  </si>
  <si>
    <t xml:space="preserve">  role VARCHAR(20) NOT NULL,</t>
  </si>
  <si>
    <t xml:space="preserve">  password_hash VARCHAR(255) NOT NULL,</t>
  </si>
  <si>
    <t xml:space="preserve">  mfa_secret VARCHAR(255),</t>
  </si>
  <si>
    <t xml:space="preserve">  failed_login_count INTEGER NOT NULL DEFAULT 0,</t>
  </si>
  <si>
    <t xml:space="preserve">  is_active BOOLEAN NOT NULL DEFAULT true,</t>
  </si>
  <si>
    <t xml:space="preserve">  created_at TIMESTAMPTZ NOT NULL DEFAULT now(),</t>
  </si>
  <si>
    <t xml:space="preserve">  created_by BIGINT NOT NULL REFERENCES m_user(id),</t>
  </si>
  <si>
    <t xml:space="preserve">  updated_at TIMESTAMPTZ NOT NULL DEFAULT now(),</t>
  </si>
  <si>
    <t xml:space="preserve">  updated_by BIGINT NOT NULL REFERENCES m_user(id),</t>
  </si>
  <si>
    <t xml:space="preserve">  version INTEGER NOT NULL DEFAULT 1</t>
  </si>
  <si>
    <t xml:space="preserve">);</t>
  </si>
  <si>
    <r>
      <rPr>
        <sz val="9"/>
        <rFont val="Courier New"/>
        <family val="0"/>
        <charset val="1"/>
      </rPr>
      <t xml:space="preserve">COMMENT ON TABLE m_user IS '</t>
    </r>
    <r>
      <rPr>
        <sz val="9"/>
        <rFont val="WenQuanYi Zen Hei"/>
        <family val="2"/>
      </rPr>
      <t xml:space="preserve">ユーザー</t>
    </r>
    <r>
      <rPr>
        <sz val="9"/>
        <rFont val="Courier New"/>
        <family val="0"/>
        <charset val="1"/>
      </rPr>
      <t xml:space="preserve">';</t>
    </r>
  </si>
  <si>
    <r>
      <rPr>
        <sz val="9"/>
        <rFont val="Courier New"/>
        <family val="0"/>
        <charset val="1"/>
      </rPr>
      <t xml:space="preserve">COMMENT ON COLUMN m_user.id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</si>
  <si>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m_user.email IS '</t>
    </r>
    <r>
      <rPr>
        <sz val="9"/>
        <rFont val="WenQuanYi Zen Hei"/>
        <family val="2"/>
      </rPr>
      <t xml:space="preserve">メール（ログイン</t>
    </r>
    <r>
      <rPr>
        <sz val="9"/>
        <rFont val="Courier New"/>
        <family val="0"/>
        <charset val="1"/>
      </rPr>
      <t xml:space="preserve">ID</t>
    </r>
    <r>
      <rPr>
        <sz val="9"/>
        <rFont val="WenQuanYi Zen Hei"/>
        <family val="2"/>
      </rPr>
      <t xml:space="preserve">）</t>
    </r>
    <r>
      <rPr>
        <sz val="9"/>
        <rFont val="Courier New"/>
        <family val="0"/>
        <charset val="1"/>
      </rPr>
      <t xml:space="preserve">';</t>
    </r>
  </si>
  <si>
    <r>
      <rPr>
        <sz val="9"/>
        <rFont val="Courier New"/>
        <family val="0"/>
        <charset val="1"/>
      </rPr>
      <t xml:space="preserve">COMMENT ON COLUMN m_user.name IS '</t>
    </r>
    <r>
      <rPr>
        <sz val="9"/>
        <rFont val="WenQuanYi Zen Hei"/>
        <family val="2"/>
      </rPr>
      <t xml:space="preserve">氏名</t>
    </r>
    <r>
      <rPr>
        <sz val="9"/>
        <rFont val="Courier New"/>
        <family val="0"/>
        <charset val="1"/>
      </rPr>
      <t xml:space="preserve">';</t>
    </r>
  </si>
  <si>
    <r>
      <rPr>
        <sz val="9"/>
        <rFont val="Courier New"/>
        <family val="0"/>
        <charset val="1"/>
      </rPr>
      <t xml:space="preserve">COMMENT ON COLUMN m_user.role IS '</t>
    </r>
    <r>
      <rPr>
        <sz val="9"/>
        <rFont val="WenQuanYi Zen Hei"/>
        <family val="2"/>
      </rPr>
      <t xml:space="preserve">ロール</t>
    </r>
    <r>
      <rPr>
        <sz val="9"/>
        <rFont val="Courier New"/>
        <family val="0"/>
        <charset val="1"/>
      </rPr>
      <t xml:space="preserve">';</t>
    </r>
  </si>
  <si>
    <r>
      <rPr>
        <sz val="9"/>
        <rFont val="Courier New"/>
        <family val="0"/>
        <charset val="1"/>
      </rPr>
      <t xml:space="preserve">COMMENT ON COLUMN m_user.password_hash IS '</t>
    </r>
    <r>
      <rPr>
        <sz val="9"/>
        <rFont val="WenQuanYi Zen Hei"/>
        <family val="2"/>
      </rPr>
      <t xml:space="preserve">パスワードハッシュ</t>
    </r>
    <r>
      <rPr>
        <sz val="9"/>
        <rFont val="Courier New"/>
        <family val="0"/>
        <charset val="1"/>
      </rPr>
      <t xml:space="preserve">';</t>
    </r>
  </si>
  <si>
    <r>
      <rPr>
        <sz val="9"/>
        <rFont val="Courier New"/>
        <family val="0"/>
        <charset val="1"/>
      </rPr>
      <t xml:space="preserve">COMMENT ON COLUMN m_user.mfa_secret IS '2</t>
    </r>
    <r>
      <rPr>
        <sz val="9"/>
        <rFont val="WenQuanYi Zen Hei"/>
        <family val="2"/>
      </rPr>
      <t xml:space="preserve">要素認証シークレット</t>
    </r>
    <r>
      <rPr>
        <sz val="9"/>
        <rFont val="Courier New"/>
        <family val="0"/>
        <charset val="1"/>
      </rPr>
      <t xml:space="preserve">';</t>
    </r>
  </si>
  <si>
    <r>
      <rPr>
        <sz val="9"/>
        <rFont val="Courier New"/>
        <family val="0"/>
        <charset val="1"/>
      </rPr>
      <t xml:space="preserve">COMMENT ON COLUMN m_user.failed_login_count IS '</t>
    </r>
    <r>
      <rPr>
        <sz val="9"/>
        <rFont val="WenQuanYi Zen Hei"/>
        <family val="2"/>
      </rPr>
      <t xml:space="preserve">ログイン失敗回数</t>
    </r>
    <r>
      <rPr>
        <sz val="9"/>
        <rFont val="Courier New"/>
        <family val="0"/>
        <charset val="1"/>
      </rPr>
      <t xml:space="preserve">';</t>
    </r>
  </si>
  <si>
    <r>
      <rPr>
        <sz val="9"/>
        <rFont val="Courier New"/>
        <family val="0"/>
        <charset val="1"/>
      </rPr>
      <t xml:space="preserve">COMMENT ON COLUMN m_user.is_active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</si>
  <si>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m_user.created_at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</si>
  <si>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m_user.created_by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</si>
  <si>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m_user.updated_at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</si>
  <si>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m_user.updated_by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</si>
  <si>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m_user.version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</si>
  <si>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仕入先：仕入先（製造元・輸入元）</t>
    </r>
  </si>
  <si>
    <t xml:space="preserve">CREATE TABLE m_supplier (</t>
  </si>
  <si>
    <t xml:space="preserve">  supplier_code VARCHAR(20) NOT NULL,</t>
  </si>
  <si>
    <t xml:space="preserve">  name VARCHAR(100) NOT NULL,</t>
  </si>
  <si>
    <t xml:space="preserve">  country VARCHAR(2) NOT NULL DEFAULT 'JP',</t>
  </si>
  <si>
    <t xml:space="preserve">  address VARCHAR(200),</t>
  </si>
  <si>
    <t xml:space="preserve">  contact_name VARCHAR(50),</t>
  </si>
  <si>
    <t xml:space="preserve">  phone VARCHAR(20),</t>
  </si>
  <si>
    <t xml:space="preserve">  email VARCHAR(254),</t>
  </si>
  <si>
    <t xml:space="preserve">  payment_terms VARCHAR(100),</t>
  </si>
  <si>
    <r>
      <rPr>
        <sz val="9"/>
        <rFont val="Courier New"/>
        <family val="0"/>
        <charset val="1"/>
      </rPr>
      <t xml:space="preserve">COMMENT ON TABLE m_supplier IS '</t>
    </r>
    <r>
      <rPr>
        <sz val="9"/>
        <rFont val="WenQuanYi Zen Hei"/>
        <family val="2"/>
      </rPr>
      <t xml:space="preserve">仕入先</t>
    </r>
    <r>
      <rPr>
        <sz val="9"/>
        <rFont val="Courier New"/>
        <family val="0"/>
        <charset val="1"/>
      </rPr>
      <t xml:space="preserve">';</t>
    </r>
  </si>
  <si>
    <r>
      <rPr>
        <sz val="9"/>
        <rFont val="Courier New"/>
        <family val="0"/>
        <charset val="1"/>
      </rPr>
      <t xml:space="preserve">COMMENT ON COLUMN m_supplier.id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</si>
  <si>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m_supplier.supplier_code IS '</t>
    </r>
    <r>
      <rPr>
        <sz val="9"/>
        <rFont val="WenQuanYi Zen Hei"/>
        <family val="2"/>
      </rPr>
      <t xml:space="preserve">仕入先コード</t>
    </r>
    <r>
      <rPr>
        <sz val="9"/>
        <rFont val="Courier New"/>
        <family val="0"/>
        <charset val="1"/>
      </rPr>
      <t xml:space="preserve">';</t>
    </r>
  </si>
  <si>
    <r>
      <rPr>
        <sz val="9"/>
        <rFont val="Courier New"/>
        <family val="0"/>
        <charset val="1"/>
      </rPr>
      <t xml:space="preserve">COMMENT ON COLUMN m_supplier.name IS '</t>
    </r>
    <r>
      <rPr>
        <sz val="9"/>
        <rFont val="WenQuanYi Zen Hei"/>
        <family val="2"/>
      </rPr>
      <t xml:space="preserve">仕入先名</t>
    </r>
    <r>
      <rPr>
        <sz val="9"/>
        <rFont val="Courier New"/>
        <family val="0"/>
        <charset val="1"/>
      </rPr>
      <t xml:space="preserve">';</t>
    </r>
  </si>
  <si>
    <r>
      <rPr>
        <sz val="9"/>
        <rFont val="Courier New"/>
        <family val="0"/>
        <charset val="1"/>
      </rPr>
      <t xml:space="preserve">COMMENT ON COLUMN m_supplier.country IS '</t>
    </r>
    <r>
      <rPr>
        <sz val="9"/>
        <rFont val="WenQuanYi Zen Hei"/>
        <family val="2"/>
      </rPr>
      <t xml:space="preserve">国</t>
    </r>
    <r>
      <rPr>
        <sz val="9"/>
        <rFont val="Courier New"/>
        <family val="0"/>
        <charset val="1"/>
      </rPr>
      <t xml:space="preserve">';</t>
    </r>
  </si>
  <si>
    <r>
      <rPr>
        <sz val="9"/>
        <rFont val="Courier New"/>
        <family val="0"/>
        <charset val="1"/>
      </rPr>
      <t xml:space="preserve">COMMENT ON COLUMN m_supplier.address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</si>
  <si>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m_supplier.contact_name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</si>
  <si>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m_supplier.phone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</si>
  <si>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m_supplier.email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</si>
  <si>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m_supplier.payment_terms IS '</t>
    </r>
    <r>
      <rPr>
        <sz val="9"/>
        <rFont val="WenQuanYi Zen Hei"/>
        <family val="2"/>
      </rPr>
      <t xml:space="preserve">支払条件</t>
    </r>
    <r>
      <rPr>
        <sz val="9"/>
        <rFont val="Courier New"/>
        <family val="0"/>
        <charset val="1"/>
      </rPr>
      <t xml:space="preserve">';</t>
    </r>
  </si>
  <si>
    <r>
      <rPr>
        <sz val="9"/>
        <rFont val="Courier New"/>
        <family val="0"/>
        <charset val="1"/>
      </rPr>
      <t xml:space="preserve">COMMENT ON COLUMN m_supplier.is_active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</si>
  <si>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m_supplier.created_at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</si>
  <si>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m_supplier.created_by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</si>
  <si>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m_supplier.updated_at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</si>
  <si>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m_supplier.updated_by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</si>
  <si>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m_supplier.version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</si>
  <si>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顧客：販売先（請求先）</t>
    </r>
  </si>
  <si>
    <t xml:space="preserve">CREATE TABLE m_customer (</t>
  </si>
  <si>
    <t xml:space="preserve">  customer_code VARCHAR(20) NOT NULL,</t>
  </si>
  <si>
    <t xml:space="preserve">  customer_type VARCHAR(20) NOT NULL,</t>
  </si>
  <si>
    <t xml:space="preserve">  medical_inst_code VARCHAR(20),</t>
  </si>
  <si>
    <t xml:space="preserve">  representative VARCHAR(50),</t>
  </si>
  <si>
    <t xml:space="preserve">  postal_code VARCHAR(8),</t>
  </si>
  <si>
    <t xml:space="preserve">  address VARCHAR(200) NOT NULL,</t>
  </si>
  <si>
    <t xml:space="preserve">  credit_limit NUMERIC(12,0),</t>
  </si>
  <si>
    <r>
      <rPr>
        <sz val="9"/>
        <rFont val="Courier New"/>
        <family val="0"/>
        <charset val="1"/>
      </rPr>
      <t xml:space="preserve">COMMENT ON TABLE m_customer IS '</t>
    </r>
    <r>
      <rPr>
        <sz val="9"/>
        <rFont val="WenQuanYi Zen Hei"/>
        <family val="2"/>
      </rPr>
      <t xml:space="preserve">顧客</t>
    </r>
    <r>
      <rPr>
        <sz val="9"/>
        <rFont val="Courier New"/>
        <family val="0"/>
        <charset val="1"/>
      </rPr>
      <t xml:space="preserve">';</t>
    </r>
  </si>
  <si>
    <r>
      <rPr>
        <sz val="9"/>
        <rFont val="Courier New"/>
        <family val="0"/>
        <charset val="1"/>
      </rPr>
      <t xml:space="preserve">COMMENT ON COLUMN m_customer.id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</si>
  <si>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m_customer.customer_code IS '</t>
    </r>
    <r>
      <rPr>
        <sz val="9"/>
        <rFont val="WenQuanYi Zen Hei"/>
        <family val="2"/>
      </rPr>
      <t xml:space="preserve">顧客コード</t>
    </r>
    <r>
      <rPr>
        <sz val="9"/>
        <rFont val="Courier New"/>
        <family val="0"/>
        <charset val="1"/>
      </rPr>
      <t xml:space="preserve">';</t>
    </r>
  </si>
  <si>
    <r>
      <rPr>
        <sz val="9"/>
        <rFont val="Courier New"/>
        <family val="0"/>
        <charset val="1"/>
      </rPr>
      <t xml:space="preserve">COMMENT ON COLUMN m_customer.name IS '</t>
    </r>
    <r>
      <rPr>
        <sz val="9"/>
        <rFont val="WenQuanYi Zen Hei"/>
        <family val="2"/>
      </rPr>
      <t xml:space="preserve">顧客名</t>
    </r>
    <r>
      <rPr>
        <sz val="9"/>
        <rFont val="Courier New"/>
        <family val="0"/>
        <charset val="1"/>
      </rPr>
      <t xml:space="preserve">';</t>
    </r>
  </si>
  <si>
    <r>
      <rPr>
        <sz val="9"/>
        <rFont val="Courier New"/>
        <family val="0"/>
        <charset val="1"/>
      </rPr>
      <t xml:space="preserve">COMMENT ON COLUMN m_customer.customer_type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</si>
  <si>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m_customer.medical_inst_code IS '</t>
    </r>
    <r>
      <rPr>
        <sz val="9"/>
        <rFont val="WenQuanYi Zen Hei"/>
        <family val="2"/>
      </rPr>
      <t xml:space="preserve">医療機関コード</t>
    </r>
    <r>
      <rPr>
        <sz val="9"/>
        <rFont val="Courier New"/>
        <family val="0"/>
        <charset val="1"/>
      </rPr>
      <t xml:space="preserve">';</t>
    </r>
  </si>
  <si>
    <r>
      <rPr>
        <sz val="9"/>
        <rFont val="Courier New"/>
        <family val="0"/>
        <charset val="1"/>
      </rPr>
      <t xml:space="preserve">COMMENT ON COLUMN m_customer.representative IS '</t>
    </r>
    <r>
      <rPr>
        <sz val="9"/>
        <rFont val="WenQuanYi Zen Hei"/>
        <family val="2"/>
      </rPr>
      <t xml:space="preserve">代表者名</t>
    </r>
    <r>
      <rPr>
        <sz val="9"/>
        <rFont val="Courier New"/>
        <family val="0"/>
        <charset val="1"/>
      </rPr>
      <t xml:space="preserve">';</t>
    </r>
  </si>
  <si>
    <r>
      <rPr>
        <sz val="9"/>
        <rFont val="Courier New"/>
        <family val="0"/>
        <charset val="1"/>
      </rPr>
      <t xml:space="preserve">COMMENT ON COLUMN m_customer.postal_code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</si>
  <si>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m_customer.address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</si>
  <si>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m_customer.phone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</si>
  <si>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m_customer.email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</si>
  <si>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m_customer.credit_limit IS '</t>
    </r>
    <r>
      <rPr>
        <sz val="9"/>
        <rFont val="WenQuanYi Zen Hei"/>
        <family val="2"/>
      </rPr>
      <t xml:space="preserve">与信限度額（円）</t>
    </r>
    <r>
      <rPr>
        <sz val="9"/>
        <rFont val="Courier New"/>
        <family val="0"/>
        <charset val="1"/>
      </rPr>
      <t xml:space="preserve">';</t>
    </r>
  </si>
  <si>
    <r>
      <rPr>
        <sz val="9"/>
        <rFont val="Courier New"/>
        <family val="0"/>
        <charset val="1"/>
      </rPr>
      <t xml:space="preserve">COMMENT ON COLUMN m_customer.is_active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</si>
  <si>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m_customer.created_at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</si>
  <si>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m_customer.created_by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</si>
  <si>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m_customer.updated_at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</si>
  <si>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m_customer.updated_by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</si>
  <si>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m_customer.version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</si>
  <si>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保管場所：倉庫・冷凍庫・冷蔵庫等</t>
    </r>
  </si>
  <si>
    <t xml:space="preserve">CREATE TABLE m_location (</t>
  </si>
  <si>
    <t xml:space="preserve">  location_code VARCHAR(20) NOT NULL,</t>
  </si>
  <si>
    <t xml:space="preserve">  storage_class VARCHAR(10) NOT NULL,</t>
  </si>
  <si>
    <t xml:space="preserve">  temp_min NUMERIC(5,1) NOT NULL,</t>
  </si>
  <si>
    <t xml:space="preserve">  temp_max NUMERIC(5,1) NOT NULL,</t>
  </si>
  <si>
    <r>
      <rPr>
        <sz val="9"/>
        <rFont val="Courier New"/>
        <family val="0"/>
        <charset val="1"/>
      </rPr>
      <t xml:space="preserve">COMMENT ON TABLE m_location IS '</t>
    </r>
    <r>
      <rPr>
        <sz val="9"/>
        <rFont val="WenQuanYi Zen Hei"/>
        <family val="2"/>
      </rPr>
      <t xml:space="preserve">保管場所</t>
    </r>
    <r>
      <rPr>
        <sz val="9"/>
        <rFont val="Courier New"/>
        <family val="0"/>
        <charset val="1"/>
      </rPr>
      <t xml:space="preserve">';</t>
    </r>
  </si>
  <si>
    <r>
      <rPr>
        <sz val="9"/>
        <rFont val="Courier New"/>
        <family val="0"/>
        <charset val="1"/>
      </rPr>
      <t xml:space="preserve">COMMENT ON COLUMN m_location.id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</si>
  <si>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m_location.location_code IS '</t>
    </r>
    <r>
      <rPr>
        <sz val="9"/>
        <rFont val="WenQuanYi Zen Hei"/>
        <family val="2"/>
      </rPr>
      <t xml:space="preserve">保管場所コード</t>
    </r>
    <r>
      <rPr>
        <sz val="9"/>
        <rFont val="Courier New"/>
        <family val="0"/>
        <charset val="1"/>
      </rPr>
      <t xml:space="preserve">';</t>
    </r>
  </si>
  <si>
    <r>
      <rPr>
        <sz val="9"/>
        <rFont val="Courier New"/>
        <family val="0"/>
        <charset val="1"/>
      </rPr>
      <t xml:space="preserve">COMMENT ON COLUMN m_location.name IS '</t>
    </r>
    <r>
      <rPr>
        <sz val="9"/>
        <rFont val="WenQuanYi Zen Hei"/>
        <family val="2"/>
      </rPr>
      <t xml:space="preserve">保管場所名</t>
    </r>
    <r>
      <rPr>
        <sz val="9"/>
        <rFont val="Courier New"/>
        <family val="0"/>
        <charset val="1"/>
      </rPr>
      <t xml:space="preserve">';</t>
    </r>
  </si>
  <si>
    <r>
      <rPr>
        <sz val="9"/>
        <rFont val="Courier New"/>
        <family val="0"/>
        <charset val="1"/>
      </rPr>
      <t xml:space="preserve">COMMENT ON COLUMN m_location.storage_class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</si>
  <si>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m_location.temp_min IS '</t>
    </r>
    <r>
      <rPr>
        <sz val="9"/>
        <rFont val="WenQuanYi Zen Hei"/>
        <family val="2"/>
      </rPr>
      <t xml:space="preserve">許容温度下限（℃）</t>
    </r>
    <r>
      <rPr>
        <sz val="9"/>
        <rFont val="Courier New"/>
        <family val="0"/>
        <charset val="1"/>
      </rPr>
      <t xml:space="preserve">';</t>
    </r>
  </si>
  <si>
    <r>
      <rPr>
        <sz val="9"/>
        <rFont val="Courier New"/>
        <family val="0"/>
        <charset val="1"/>
      </rPr>
      <t xml:space="preserve">COMMENT ON COLUMN m_location.temp_max IS '</t>
    </r>
    <r>
      <rPr>
        <sz val="9"/>
        <rFont val="WenQuanYi Zen Hei"/>
        <family val="2"/>
      </rPr>
      <t xml:space="preserve">許容温度上限（℃）</t>
    </r>
    <r>
      <rPr>
        <sz val="9"/>
        <rFont val="Courier New"/>
        <family val="0"/>
        <charset val="1"/>
      </rPr>
      <t xml:space="preserve">';</t>
    </r>
  </si>
  <si>
    <r>
      <rPr>
        <sz val="9"/>
        <rFont val="Courier New"/>
        <family val="0"/>
        <charset val="1"/>
      </rPr>
      <t xml:space="preserve">COMMENT ON COLUMN m_location.is_active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</si>
  <si>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m_location.created_at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</si>
  <si>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m_location.created_by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</si>
  <si>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m_location.updated_at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</si>
  <si>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m_location.updated_by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</si>
  <si>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m_location.version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</si>
  <si>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販売可否ルール：規制区分</t>
    </r>
    <r>
      <rPr>
        <sz val="9"/>
        <rFont val="Courier New"/>
        <family val="0"/>
        <charset val="1"/>
      </rPr>
      <t xml:space="preserve">×</t>
    </r>
    <r>
      <rPr>
        <sz val="9"/>
        <rFont val="WenQuanYi Zen Hei"/>
        <family val="2"/>
      </rPr>
      <t xml:space="preserve">顧客区分の販売可否</t>
    </r>
  </si>
  <si>
    <t xml:space="preserve">CREATE TABLE m_sales_rule (</t>
  </si>
  <si>
    <t xml:space="preserve">  regulatory_class VARCHAR(20) NOT NULL,</t>
  </si>
  <si>
    <t xml:space="preserve">  allowed BOOLEAN NOT NULL DEFAULT false,</t>
  </si>
  <si>
    <r>
      <rPr>
        <sz val="9"/>
        <rFont val="Courier New"/>
        <family val="0"/>
        <charset val="1"/>
      </rPr>
      <t xml:space="preserve">COMMENT ON TABLE m_sales_rule IS '</t>
    </r>
    <r>
      <rPr>
        <sz val="9"/>
        <rFont val="WenQuanYi Zen Hei"/>
        <family val="2"/>
      </rPr>
      <t xml:space="preserve">販売可否ルール</t>
    </r>
    <r>
      <rPr>
        <sz val="9"/>
        <rFont val="Courier New"/>
        <family val="0"/>
        <charset val="1"/>
      </rPr>
      <t xml:space="preserve">';</t>
    </r>
  </si>
  <si>
    <r>
      <rPr>
        <sz val="9"/>
        <rFont val="Courier New"/>
        <family val="0"/>
        <charset val="1"/>
      </rPr>
      <t xml:space="preserve">COMMENT ON COLUMN m_sales_rule.id IS '</t>
    </r>
    <r>
      <rPr>
        <sz val="9"/>
        <rFont val="WenQuanYi Zen Hei"/>
        <family val="2"/>
      </rPr>
      <t xml:space="preserve">ルール</t>
    </r>
    <r>
      <rPr>
        <sz val="9"/>
        <rFont val="Courier New"/>
        <family val="0"/>
        <charset val="1"/>
      </rPr>
      <t xml:space="preserve">ID';</t>
    </r>
  </si>
  <si>
    <r>
      <rPr>
        <sz val="9"/>
        <rFont val="Courier New"/>
        <family val="0"/>
        <charset val="1"/>
      </rPr>
      <t xml:space="preserve">COMMENT ON COLUMN m_sales_rule.regulatory_class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</si>
  <si>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m_sales_rule.customer_type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</si>
  <si>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m_sales_rule.allowed IS '</t>
    </r>
    <r>
      <rPr>
        <sz val="9"/>
        <rFont val="WenQuanYi Zen Hei"/>
        <family val="2"/>
      </rPr>
      <t xml:space="preserve">販売可否</t>
    </r>
    <r>
      <rPr>
        <sz val="9"/>
        <rFont val="Courier New"/>
        <family val="0"/>
        <charset val="1"/>
      </rPr>
      <t xml:space="preserve">';</t>
    </r>
  </si>
  <si>
    <r>
      <rPr>
        <sz val="9"/>
        <rFont val="Courier New"/>
        <family val="0"/>
        <charset val="1"/>
      </rPr>
      <t xml:space="preserve">COMMENT ON COLUMN m_sales_rule.created_at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</si>
  <si>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m_sales_rule.created_by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</si>
  <si>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m_sales_rule.updated_at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</si>
  <si>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m_sales_rule.updated_by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</si>
  <si>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m_sales_rule.version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</si>
  <si>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回収案件：回収（リコール）案件</t>
    </r>
  </si>
  <si>
    <t xml:space="preserve">CREATE TABLE t_recall (</t>
  </si>
  <si>
    <t xml:space="preserve">  recall_no VARCHAR(20) NOT NULL,</t>
  </si>
  <si>
    <t xml:space="preserve">  title VARCHAR(100) NOT NULL,</t>
  </si>
  <si>
    <t xml:space="preserve">  reason TEXT NOT NULL,</t>
  </si>
  <si>
    <t xml:space="preserve">  severity VARCHAR(10) NOT NULL,</t>
  </si>
  <si>
    <t xml:space="preserve">  started_on DATE NOT NULL,</t>
  </si>
  <si>
    <t xml:space="preserve">  closed_on DATE,</t>
  </si>
  <si>
    <t xml:space="preserve">  status VARCHAR(20) NOT NULL DEFAULT 'OPEN',</t>
  </si>
  <si>
    <r>
      <rPr>
        <sz val="9"/>
        <rFont val="Courier New"/>
        <family val="0"/>
        <charset val="1"/>
      </rPr>
      <t xml:space="preserve">COMMENT ON TABLE t_recall IS '</t>
    </r>
    <r>
      <rPr>
        <sz val="9"/>
        <rFont val="WenQuanYi Zen Hei"/>
        <family val="2"/>
      </rPr>
      <t xml:space="preserve">回収案件</t>
    </r>
    <r>
      <rPr>
        <sz val="9"/>
        <rFont val="Courier New"/>
        <family val="0"/>
        <charset val="1"/>
      </rPr>
      <t xml:space="preserve">';</t>
    </r>
  </si>
  <si>
    <r>
      <rPr>
        <sz val="9"/>
        <rFont val="Courier New"/>
        <family val="0"/>
        <charset val="1"/>
      </rPr>
      <t xml:space="preserve">COMMENT ON COLUMN t_recall.id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</si>
  <si>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t_recall.recall_no IS '</t>
    </r>
    <r>
      <rPr>
        <sz val="9"/>
        <rFont val="WenQuanYi Zen Hei"/>
        <family val="2"/>
      </rPr>
      <t xml:space="preserve">回収番号</t>
    </r>
    <r>
      <rPr>
        <sz val="9"/>
        <rFont val="Courier New"/>
        <family val="0"/>
        <charset val="1"/>
      </rPr>
      <t xml:space="preserve">';</t>
    </r>
  </si>
  <si>
    <r>
      <rPr>
        <sz val="9"/>
        <rFont val="Courier New"/>
        <family val="0"/>
        <charset val="1"/>
      </rPr>
      <t xml:space="preserve">COMMENT ON COLUMN t_recall.title IS '</t>
    </r>
    <r>
      <rPr>
        <sz val="9"/>
        <rFont val="WenQuanYi Zen Hei"/>
        <family val="2"/>
      </rPr>
      <t xml:space="preserve">件名</t>
    </r>
    <r>
      <rPr>
        <sz val="9"/>
        <rFont val="Courier New"/>
        <family val="0"/>
        <charset val="1"/>
      </rPr>
      <t xml:space="preserve">';</t>
    </r>
  </si>
  <si>
    <r>
      <rPr>
        <sz val="9"/>
        <rFont val="Courier New"/>
        <family val="0"/>
        <charset val="1"/>
      </rPr>
      <t xml:space="preserve">COMMENT ON COLUMN t_recall.reason IS '</t>
    </r>
    <r>
      <rPr>
        <sz val="9"/>
        <rFont val="WenQuanYi Zen Hei"/>
        <family val="2"/>
      </rPr>
      <t xml:space="preserve">回収理由</t>
    </r>
    <r>
      <rPr>
        <sz val="9"/>
        <rFont val="Courier New"/>
        <family val="0"/>
        <charset val="1"/>
      </rPr>
      <t xml:space="preserve">';</t>
    </r>
  </si>
  <si>
    <r>
      <rPr>
        <sz val="9"/>
        <rFont val="Courier New"/>
        <family val="0"/>
        <charset val="1"/>
      </rPr>
      <t xml:space="preserve">COMMENT ON COLUMN t_recall.severity IS '</t>
    </r>
    <r>
      <rPr>
        <sz val="9"/>
        <rFont val="WenQuanYi Zen Hei"/>
        <family val="2"/>
      </rPr>
      <t xml:space="preserve">重大度</t>
    </r>
    <r>
      <rPr>
        <sz val="9"/>
        <rFont val="Courier New"/>
        <family val="0"/>
        <charset val="1"/>
      </rPr>
      <t xml:space="preserve">';</t>
    </r>
  </si>
  <si>
    <r>
      <rPr>
        <sz val="9"/>
        <rFont val="Courier New"/>
        <family val="0"/>
        <charset val="1"/>
      </rPr>
      <t xml:space="preserve">COMMENT ON COLUMN t_recall.started_on IS '</t>
    </r>
    <r>
      <rPr>
        <sz val="9"/>
        <rFont val="WenQuanYi Zen Hei"/>
        <family val="2"/>
      </rPr>
      <t xml:space="preserve">開始日</t>
    </r>
    <r>
      <rPr>
        <sz val="9"/>
        <rFont val="Courier New"/>
        <family val="0"/>
        <charset val="1"/>
      </rPr>
      <t xml:space="preserve">';</t>
    </r>
  </si>
  <si>
    <r>
      <rPr>
        <sz val="9"/>
        <rFont val="Courier New"/>
        <family val="0"/>
        <charset val="1"/>
      </rPr>
      <t xml:space="preserve">COMMENT ON COLUMN t_recall.closed_on IS '</t>
    </r>
    <r>
      <rPr>
        <sz val="9"/>
        <rFont val="WenQuanYi Zen Hei"/>
        <family val="2"/>
      </rPr>
      <t xml:space="preserve">完了日</t>
    </r>
    <r>
      <rPr>
        <sz val="9"/>
        <rFont val="Courier New"/>
        <family val="0"/>
        <charset val="1"/>
      </rPr>
      <t xml:space="preserve">';</t>
    </r>
  </si>
  <si>
    <r>
      <rPr>
        <sz val="9"/>
        <rFont val="Courier New"/>
        <family val="0"/>
        <charset val="1"/>
      </rPr>
      <t xml:space="preserve">COMMENT ON COLUMN t_recall.status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</si>
  <si>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</si>
  <si>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</si>
  <si>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</si>
  <si>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</si>
  <si>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</si>
  <si>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添付ファイル：</t>
    </r>
    <r>
      <rPr>
        <sz val="9"/>
        <rFont val="Courier New"/>
        <family val="0"/>
        <charset val="1"/>
      </rPr>
      <t xml:space="preserve">COA</t>
    </r>
    <r>
      <rPr>
        <sz val="9"/>
        <rFont val="WenQuanYi Zen Hei"/>
        <family val="2"/>
      </rPr>
      <t xml:space="preserve">・輸入書類等</t>
    </r>
  </si>
  <si>
    <t xml:space="preserve">CREATE TABLE t_attachment (</t>
  </si>
  <si>
    <t xml:space="preserve">  owner_type VARCHAR(30) NOT NULL,</t>
  </si>
  <si>
    <t xml:space="preserve">  owner_id BIGINT NOT NULL,</t>
  </si>
  <si>
    <t xml:space="preserve">  doc_type VARCHAR(20) NOT NULL,</t>
  </si>
  <si>
    <t xml:space="preserve">  file_name VARCHAR(255) NOT NULL,</t>
  </si>
  <si>
    <t xml:space="preserve">  storage_key VARCHAR(500) NOT NULL,</t>
  </si>
  <si>
    <t xml:space="preserve">  sha256 CHAR(64) NOT NULL,</t>
  </si>
  <si>
    <r>
      <rPr>
        <sz val="9"/>
        <rFont val="Courier New"/>
        <family val="0"/>
        <charset val="1"/>
      </rPr>
      <t xml:space="preserve">COMMENT ON TABLE t_attachment IS '</t>
    </r>
    <r>
      <rPr>
        <sz val="9"/>
        <rFont val="WenQuanYi Zen Hei"/>
        <family val="2"/>
      </rPr>
      <t xml:space="preserve">添付ファイル</t>
    </r>
    <r>
      <rPr>
        <sz val="9"/>
        <rFont val="Courier New"/>
        <family val="0"/>
        <charset val="1"/>
      </rPr>
      <t xml:space="preserve">';</t>
    </r>
  </si>
  <si>
    <r>
      <rPr>
        <sz val="9"/>
        <rFont val="Courier New"/>
        <family val="0"/>
        <charset val="1"/>
      </rPr>
      <t xml:space="preserve">COMMENT ON COLUMN t_attachment.id IS '</t>
    </r>
    <r>
      <rPr>
        <sz val="9"/>
        <rFont val="WenQuanYi Zen Hei"/>
        <family val="2"/>
      </rPr>
      <t xml:space="preserve">添付</t>
    </r>
    <r>
      <rPr>
        <sz val="9"/>
        <rFont val="Courier New"/>
        <family val="0"/>
        <charset val="1"/>
      </rPr>
      <t xml:space="preserve">ID';</t>
    </r>
  </si>
  <si>
    <r>
      <rPr>
        <sz val="9"/>
        <rFont val="Courier New"/>
        <family val="0"/>
        <charset val="1"/>
      </rPr>
      <t xml:space="preserve">COMMENT ON COLUMN t_attachment.owner_type IS '</t>
    </r>
    <r>
      <rPr>
        <sz val="9"/>
        <rFont val="WenQuanYi Zen Hei"/>
        <family val="2"/>
      </rPr>
      <t xml:space="preserve">所属種別</t>
    </r>
    <r>
      <rPr>
        <sz val="9"/>
        <rFont val="Courier New"/>
        <family val="0"/>
        <charset val="1"/>
      </rPr>
      <t xml:space="preserve">';</t>
    </r>
  </si>
  <si>
    <r>
      <rPr>
        <sz val="9"/>
        <rFont val="Courier New"/>
        <family val="0"/>
        <charset val="1"/>
      </rPr>
      <t xml:space="preserve">COMMENT ON COLUMN t_attachment.owner_id IS '</t>
    </r>
    <r>
      <rPr>
        <sz val="9"/>
        <rFont val="WenQuanYi Zen Hei"/>
        <family val="2"/>
      </rPr>
      <t xml:space="preserve">所属</t>
    </r>
    <r>
      <rPr>
        <sz val="9"/>
        <rFont val="Courier New"/>
        <family val="0"/>
        <charset val="1"/>
      </rPr>
      <t xml:space="preserve">ID';</t>
    </r>
  </si>
  <si>
    <r>
      <rPr>
        <sz val="9"/>
        <rFont val="Courier New"/>
        <family val="0"/>
        <charset val="1"/>
      </rPr>
      <t xml:space="preserve">COMMENT ON COLUMN t_attachment.doc_type IS '</t>
    </r>
    <r>
      <rPr>
        <sz val="9"/>
        <rFont val="WenQuanYi Zen Hei"/>
        <family val="2"/>
      </rPr>
      <t xml:space="preserve">書類種別</t>
    </r>
    <r>
      <rPr>
        <sz val="9"/>
        <rFont val="Courier New"/>
        <family val="0"/>
        <charset val="1"/>
      </rPr>
      <t xml:space="preserve">';</t>
    </r>
  </si>
  <si>
    <r>
      <rPr>
        <sz val="9"/>
        <rFont val="Courier New"/>
        <family val="0"/>
        <charset val="1"/>
      </rPr>
      <t xml:space="preserve">COMMENT ON COLUMN t_attachment.file_name IS '</t>
    </r>
    <r>
      <rPr>
        <sz val="9"/>
        <rFont val="WenQuanYi Zen Hei"/>
        <family val="2"/>
      </rPr>
      <t xml:space="preserve">ファイル名</t>
    </r>
    <r>
      <rPr>
        <sz val="9"/>
        <rFont val="Courier New"/>
        <family val="0"/>
        <charset val="1"/>
      </rPr>
      <t xml:space="preserve">';</t>
    </r>
  </si>
  <si>
    <r>
      <rPr>
        <sz val="9"/>
        <rFont val="Courier New"/>
        <family val="0"/>
        <charset val="1"/>
      </rPr>
      <t xml:space="preserve">COMMENT ON COLUMN t_attachment.storage_key IS '</t>
    </r>
    <r>
      <rPr>
        <sz val="9"/>
        <rFont val="WenQuanYi Zen Hei"/>
        <family val="2"/>
      </rPr>
      <t xml:space="preserve">保存先キー</t>
    </r>
    <r>
      <rPr>
        <sz val="9"/>
        <rFont val="Courier New"/>
        <family val="0"/>
        <charset val="1"/>
      </rPr>
      <t xml:space="preserve">';</t>
    </r>
  </si>
  <si>
    <r>
      <rPr>
        <sz val="9"/>
        <rFont val="Courier New"/>
        <family val="0"/>
        <charset val="1"/>
      </rPr>
      <t xml:space="preserve">COMMENT ON COLUMN t_attachment.sha256 IS '</t>
    </r>
    <r>
      <rPr>
        <sz val="9"/>
        <rFont val="WenQuanYi Zen Hei"/>
        <family val="2"/>
      </rPr>
      <t xml:space="preserve">ハッシュ値</t>
    </r>
    <r>
      <rPr>
        <sz val="9"/>
        <rFont val="Courier New"/>
        <family val="0"/>
        <charset val="1"/>
      </rPr>
      <t xml:space="preserve">';</t>
    </r>
  </si>
  <si>
    <r>
      <rPr>
        <sz val="9"/>
        <rFont val="Courier New"/>
        <family val="0"/>
        <charset val="1"/>
      </rPr>
      <t xml:space="preserve">COMMENT ON COLUMN t_attachment.created_at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</si>
  <si>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t_attachment.created_by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</si>
  <si>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t_attachment.updated_at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</si>
  <si>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t_attachment.updated_by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</si>
  <si>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t_attachment.version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</si>
  <si>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監査ログ：操作履歴（追記のみ）</t>
    </r>
  </si>
  <si>
    <t xml:space="preserve">CREATE TABLE t_audit_log (</t>
  </si>
  <si>
    <t xml:space="preserve">  occurred_at TIMESTAMPTZ NOT NULL,</t>
  </si>
  <si>
    <t xml:space="preserve">  user_id BIGINT REFERENCES m_user(id),</t>
  </si>
  <si>
    <t xml:space="preserve">  action VARCHAR(20) NOT NULL,</t>
  </si>
  <si>
    <t xml:space="preserve">  target_table VARCHAR(50),</t>
  </si>
  <si>
    <t xml:space="preserve">  target_id BIGINT,</t>
  </si>
  <si>
    <t xml:space="preserve">  before_json JSONB,</t>
  </si>
  <si>
    <t xml:space="preserve">  after_json JSONB,</t>
  </si>
  <si>
    <t xml:space="preserve">  ip_address VARCHAR(45),</t>
  </si>
  <si>
    <t xml:space="preserve">  created_by BIGINT NOT NULL REFERENCES m_user(id)</t>
  </si>
  <si>
    <r>
      <rPr>
        <sz val="9"/>
        <rFont val="Courier New"/>
        <family val="0"/>
        <charset val="1"/>
      </rPr>
      <t xml:space="preserve">COMMENT ON TABLE t_audit_log IS '</t>
    </r>
    <r>
      <rPr>
        <sz val="9"/>
        <rFont val="WenQuanYi Zen Hei"/>
        <family val="2"/>
      </rPr>
      <t xml:space="preserve">監査ログ</t>
    </r>
    <r>
      <rPr>
        <sz val="9"/>
        <rFont val="Courier New"/>
        <family val="0"/>
        <charset val="1"/>
      </rPr>
      <t xml:space="preserve">';</t>
    </r>
  </si>
  <si>
    <t xml:space="preserve">COMMENT ON COLUMN t_audit_log.id IS 'ID';</t>
  </si>
  <si>
    <r>
      <rPr>
        <sz val="9"/>
        <rFont val="Courier New"/>
        <family val="0"/>
        <charset val="1"/>
      </rPr>
      <t xml:space="preserve">COMMENT ON COLUMN t_audit_log.occurred_at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</si>
  <si>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t_audit_log.user_id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</si>
  <si>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t_audit_log.action IS '</t>
    </r>
    <r>
      <rPr>
        <sz val="9"/>
        <rFont val="WenQuanYi Zen Hei"/>
        <family val="2"/>
      </rPr>
      <t xml:space="preserve">操作</t>
    </r>
    <r>
      <rPr>
        <sz val="9"/>
        <rFont val="Courier New"/>
        <family val="0"/>
        <charset val="1"/>
      </rPr>
      <t xml:space="preserve">';</t>
    </r>
  </si>
  <si>
    <r>
      <rPr>
        <sz val="9"/>
        <rFont val="Courier New"/>
        <family val="0"/>
        <charset val="1"/>
      </rPr>
      <t xml:space="preserve">COMMENT ON COLUMN t_audit_log.target_table IS '</t>
    </r>
    <r>
      <rPr>
        <sz val="9"/>
        <rFont val="WenQuanYi Zen Hei"/>
        <family val="2"/>
      </rPr>
      <t xml:space="preserve">対象テーブル</t>
    </r>
    <r>
      <rPr>
        <sz val="9"/>
        <rFont val="Courier New"/>
        <family val="0"/>
        <charset val="1"/>
      </rPr>
      <t xml:space="preserve">';</t>
    </r>
  </si>
  <si>
    <r>
      <rPr>
        <sz val="9"/>
        <rFont val="Courier New"/>
        <family val="0"/>
        <charset val="1"/>
      </rPr>
      <t xml:space="preserve">COMMENT ON COLUMN t_audit_log.target_id IS '</t>
    </r>
    <r>
      <rPr>
        <sz val="9"/>
        <rFont val="WenQuanYi Zen Hei"/>
        <family val="2"/>
      </rPr>
      <t xml:space="preserve">対象</t>
    </r>
    <r>
      <rPr>
        <sz val="9"/>
        <rFont val="Courier New"/>
        <family val="0"/>
        <charset val="1"/>
      </rPr>
      <t xml:space="preserve">ID';</t>
    </r>
  </si>
  <si>
    <r>
      <rPr>
        <sz val="9"/>
        <rFont val="Courier New"/>
        <family val="0"/>
        <charset val="1"/>
      </rPr>
      <t xml:space="preserve">COMMENT ON COLUMN t_audit_log.before_json IS '</t>
    </r>
    <r>
      <rPr>
        <sz val="9"/>
        <rFont val="WenQuanYi Zen Hei"/>
        <family val="2"/>
      </rPr>
      <t xml:space="preserve">変更前</t>
    </r>
    <r>
      <rPr>
        <sz val="9"/>
        <rFont val="Courier New"/>
        <family val="0"/>
        <charset val="1"/>
      </rPr>
      <t xml:space="preserve">';</t>
    </r>
  </si>
  <si>
    <r>
      <rPr>
        <sz val="9"/>
        <rFont val="Courier New"/>
        <family val="0"/>
        <charset val="1"/>
      </rPr>
      <t xml:space="preserve">COMMENT ON COLUMN t_audit_log.after_json IS '</t>
    </r>
    <r>
      <rPr>
        <sz val="9"/>
        <rFont val="WenQuanYi Zen Hei"/>
        <family val="2"/>
      </rPr>
      <t xml:space="preserve">変更後</t>
    </r>
    <r>
      <rPr>
        <sz val="9"/>
        <rFont val="Courier New"/>
        <family val="0"/>
        <charset val="1"/>
      </rPr>
      <t xml:space="preserve">';</t>
    </r>
  </si>
  <si>
    <r>
      <rPr>
        <sz val="9"/>
        <rFont val="Courier New"/>
        <family val="0"/>
        <charset val="1"/>
      </rPr>
      <t xml:space="preserve">COMMENT ON COLUMN t_audit_log.ip_address IS 'IP</t>
    </r>
    <r>
      <rPr>
        <sz val="9"/>
        <rFont val="WenQuanYi Zen Hei"/>
        <family val="2"/>
      </rPr>
      <t xml:space="preserve">アドレス</t>
    </r>
    <r>
      <rPr>
        <sz val="9"/>
        <rFont val="Courier New"/>
        <family val="0"/>
        <charset val="1"/>
      </rPr>
      <t xml:space="preserve">';</t>
    </r>
  </si>
  <si>
    <r>
      <rPr>
        <sz val="9"/>
        <rFont val="Courier New"/>
        <family val="0"/>
        <charset val="1"/>
      </rPr>
      <t xml:space="preserve">COMMENT ON COLUMN t_audit_log.created_at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</si>
  <si>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t_audit_log.created_by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</si>
  <si>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商品：エクソソーム製品・原料</t>
    </r>
  </si>
  <si>
    <t xml:space="preserve">CREATE TABLE m_product (</t>
  </si>
  <si>
    <t xml:space="preserve">  product_code VARCHAR(20) NOT NULL,</t>
  </si>
  <si>
    <t xml:space="preserve">  supplier_id BIGINT REFERENCES m_supplier(id),</t>
  </si>
  <si>
    <t xml:space="preserve">  source_type VARCHAR(20) NOT NULL,</t>
  </si>
  <si>
    <t xml:space="preserve">  form VARCHAR(20) NOT NULL,</t>
  </si>
  <si>
    <t xml:space="preserve">  particle_conc NUMERIC(20,0),</t>
  </si>
  <si>
    <t xml:space="preserve">  volume_ml NUMERIC(8,2),</t>
  </si>
  <si>
    <r>
      <rPr>
        <sz val="9"/>
        <rFont val="Courier New"/>
        <family val="0"/>
        <charset val="1"/>
      </rPr>
      <t xml:space="preserve">  unit VARCHAR(10) NOT NULL DEFAULT '</t>
    </r>
    <r>
      <rPr>
        <sz val="9"/>
        <rFont val="WenQuanYi Zen Hei"/>
        <family val="2"/>
      </rPr>
      <t xml:space="preserve">本</t>
    </r>
    <r>
      <rPr>
        <sz val="9"/>
        <rFont val="Courier New"/>
        <family val="0"/>
        <charset val="1"/>
      </rPr>
      <t xml:space="preserve">',</t>
    </r>
  </si>
  <si>
    <t xml:space="preserve">  shelf_life_days INTEGER NOT NULL,</t>
  </si>
  <si>
    <t xml:space="preserve">  min_remaining_days INTEGER NOT NULL DEFAULT 90,</t>
  </si>
  <si>
    <t xml:space="preserve">  standard_cost NUMERIC(12,2),</t>
  </si>
  <si>
    <t xml:space="preserve">  list_price NUMERIC(12,2),</t>
  </si>
  <si>
    <t xml:space="preserve">  reorder_point INTEGER DEFAULT 0,</t>
  </si>
  <si>
    <r>
      <rPr>
        <sz val="9"/>
        <rFont val="Courier New"/>
        <family val="0"/>
        <charset val="1"/>
      </rPr>
      <t xml:space="preserve">COMMENT ON TABLE m_product IS '</t>
    </r>
    <r>
      <rPr>
        <sz val="9"/>
        <rFont val="WenQuanYi Zen Hei"/>
        <family val="2"/>
      </rPr>
      <t xml:space="preserve">商品</t>
    </r>
    <r>
      <rPr>
        <sz val="9"/>
        <rFont val="Courier New"/>
        <family val="0"/>
        <charset val="1"/>
      </rPr>
      <t xml:space="preserve">';</t>
    </r>
  </si>
  <si>
    <r>
      <rPr>
        <sz val="9"/>
        <rFont val="Courier New"/>
        <family val="0"/>
        <charset val="1"/>
      </rPr>
      <t xml:space="preserve">COMMENT ON COLUMN m_product.id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</si>
  <si>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m_product.product_code IS '</t>
    </r>
    <r>
      <rPr>
        <sz val="9"/>
        <rFont val="WenQuanYi Zen Hei"/>
        <family val="2"/>
      </rPr>
      <t xml:space="preserve">商品コード</t>
    </r>
    <r>
      <rPr>
        <sz val="9"/>
        <rFont val="Courier New"/>
        <family val="0"/>
        <charset val="1"/>
      </rPr>
      <t xml:space="preserve">';</t>
    </r>
  </si>
  <si>
    <r>
      <rPr>
        <sz val="9"/>
        <rFont val="Courier New"/>
        <family val="0"/>
        <charset val="1"/>
      </rPr>
      <t xml:space="preserve">COMMENT ON COLUMN m_product.name IS '</t>
    </r>
    <r>
      <rPr>
        <sz val="9"/>
        <rFont val="WenQuanYi Zen Hei"/>
        <family val="2"/>
      </rPr>
      <t xml:space="preserve">商品名</t>
    </r>
    <r>
      <rPr>
        <sz val="9"/>
        <rFont val="Courier New"/>
        <family val="0"/>
        <charset val="1"/>
      </rPr>
      <t xml:space="preserve">';</t>
    </r>
  </si>
  <si>
    <r>
      <rPr>
        <sz val="9"/>
        <rFont val="Courier New"/>
        <family val="0"/>
        <charset val="1"/>
      </rPr>
      <t xml:space="preserve">COMMENT ON COLUMN m_product.supplier_id IS '</t>
    </r>
    <r>
      <rPr>
        <sz val="9"/>
        <rFont val="WenQuanYi Zen Hei"/>
        <family val="2"/>
      </rPr>
      <t xml:space="preserve">主仕入先</t>
    </r>
    <r>
      <rPr>
        <sz val="9"/>
        <rFont val="Courier New"/>
        <family val="0"/>
        <charset val="1"/>
      </rPr>
      <t xml:space="preserve">ID';</t>
    </r>
  </si>
  <si>
    <r>
      <rPr>
        <sz val="9"/>
        <rFont val="Courier New"/>
        <family val="0"/>
        <charset val="1"/>
      </rPr>
      <t xml:space="preserve">COMMENT ON COLUMN m_product.source_type IS '</t>
    </r>
    <r>
      <rPr>
        <sz val="9"/>
        <rFont val="WenQuanYi Zen Hei"/>
        <family val="2"/>
      </rPr>
      <t xml:space="preserve">由来</t>
    </r>
    <r>
      <rPr>
        <sz val="9"/>
        <rFont val="Courier New"/>
        <family val="0"/>
        <charset val="1"/>
      </rPr>
      <t xml:space="preserve">';</t>
    </r>
  </si>
  <si>
    <r>
      <rPr>
        <sz val="9"/>
        <rFont val="Courier New"/>
        <family val="0"/>
        <charset val="1"/>
      </rPr>
      <t xml:space="preserve">COMMENT ON COLUMN m_product.form IS '</t>
    </r>
    <r>
      <rPr>
        <sz val="9"/>
        <rFont val="WenQuanYi Zen Hei"/>
        <family val="2"/>
      </rPr>
      <t xml:space="preserve">形態</t>
    </r>
    <r>
      <rPr>
        <sz val="9"/>
        <rFont val="Courier New"/>
        <family val="0"/>
        <charset val="1"/>
      </rPr>
      <t xml:space="preserve">';</t>
    </r>
  </si>
  <si>
    <r>
      <rPr>
        <sz val="9"/>
        <rFont val="Courier New"/>
        <family val="0"/>
        <charset val="1"/>
      </rPr>
      <t xml:space="preserve">COMMENT ON COLUMN m_product.particle_conc IS '</t>
    </r>
    <r>
      <rPr>
        <sz val="9"/>
        <rFont val="WenQuanYi Zen Hei"/>
        <family val="2"/>
      </rPr>
      <t xml:space="preserve">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</si>
  <si>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m_product.volume_ml IS '</t>
    </r>
    <r>
      <rPr>
        <sz val="9"/>
        <rFont val="WenQuanYi Zen Hei"/>
        <family val="2"/>
      </rPr>
      <t xml:space="preserve">内容量（</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</si>
  <si>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m_product.unit IS '</t>
    </r>
    <r>
      <rPr>
        <sz val="9"/>
        <rFont val="WenQuanYi Zen Hei"/>
        <family val="2"/>
      </rPr>
      <t xml:space="preserve">販売単位</t>
    </r>
    <r>
      <rPr>
        <sz val="9"/>
        <rFont val="Courier New"/>
        <family val="0"/>
        <charset val="1"/>
      </rPr>
      <t xml:space="preserve">';</t>
    </r>
  </si>
  <si>
    <r>
      <rPr>
        <sz val="9"/>
        <rFont val="Courier New"/>
        <family val="0"/>
        <charset val="1"/>
      </rPr>
      <t xml:space="preserve">COMMENT ON COLUMN m_product.storage_class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</si>
  <si>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m_product.shelf_life_days IS '</t>
    </r>
    <r>
      <rPr>
        <sz val="9"/>
        <rFont val="WenQuanYi Zen Hei"/>
        <family val="2"/>
      </rPr>
      <t xml:space="preserve">有効期間（日）</t>
    </r>
    <r>
      <rPr>
        <sz val="9"/>
        <rFont val="Courier New"/>
        <family val="0"/>
        <charset val="1"/>
      </rPr>
      <t xml:space="preserve">';</t>
    </r>
  </si>
  <si>
    <r>
      <rPr>
        <sz val="9"/>
        <rFont val="Courier New"/>
        <family val="0"/>
        <charset val="1"/>
      </rPr>
      <t xml:space="preserve">COMMENT ON COLUMN m_product.min_remaining_days IS '</t>
    </r>
    <r>
      <rPr>
        <sz val="9"/>
        <rFont val="WenQuanYi Zen Hei"/>
        <family val="2"/>
      </rPr>
      <t xml:space="preserve">最低出荷残期間（日）</t>
    </r>
    <r>
      <rPr>
        <sz val="9"/>
        <rFont val="Courier New"/>
        <family val="0"/>
        <charset val="1"/>
      </rPr>
      <t xml:space="preserve">';</t>
    </r>
  </si>
  <si>
    <r>
      <rPr>
        <sz val="9"/>
        <rFont val="Courier New"/>
        <family val="0"/>
        <charset val="1"/>
      </rPr>
      <t xml:space="preserve">COMMENT ON COLUMN m_product.regulatory_class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</si>
  <si>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m_product.standard_cost IS '</t>
    </r>
    <r>
      <rPr>
        <sz val="9"/>
        <rFont val="WenQuanYi Zen Hei"/>
        <family val="2"/>
      </rPr>
      <t xml:space="preserve">標準原価（円）</t>
    </r>
    <r>
      <rPr>
        <sz val="9"/>
        <rFont val="Courier New"/>
        <family val="0"/>
        <charset val="1"/>
      </rPr>
      <t xml:space="preserve">';</t>
    </r>
  </si>
  <si>
    <r>
      <rPr>
        <sz val="9"/>
        <rFont val="Courier New"/>
        <family val="0"/>
        <charset val="1"/>
      </rPr>
      <t xml:space="preserve">COMMENT ON COLUMN m_product.list_price IS '</t>
    </r>
    <r>
      <rPr>
        <sz val="9"/>
        <rFont val="WenQuanYi Zen Hei"/>
        <family val="2"/>
      </rPr>
      <t xml:space="preserve">標準売価（円）</t>
    </r>
    <r>
      <rPr>
        <sz val="9"/>
        <rFont val="Courier New"/>
        <family val="0"/>
        <charset val="1"/>
      </rPr>
      <t xml:space="preserve">';</t>
    </r>
  </si>
  <si>
    <r>
      <rPr>
        <sz val="9"/>
        <rFont val="Courier New"/>
        <family val="0"/>
        <charset val="1"/>
      </rPr>
      <t xml:space="preserve">COMMENT ON COLUMN m_product.reorder_point IS '</t>
    </r>
    <r>
      <rPr>
        <sz val="9"/>
        <rFont val="WenQuanYi Zen Hei"/>
        <family val="2"/>
      </rPr>
      <t xml:space="preserve">発注点</t>
    </r>
    <r>
      <rPr>
        <sz val="9"/>
        <rFont val="Courier New"/>
        <family val="0"/>
        <charset val="1"/>
      </rPr>
      <t xml:space="preserve">';</t>
    </r>
  </si>
  <si>
    <r>
      <rPr>
        <sz val="9"/>
        <rFont val="Courier New"/>
        <family val="0"/>
        <charset val="1"/>
      </rPr>
      <t xml:space="preserve">COMMENT ON COLUMN m_product.is_active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</si>
  <si>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m_product.created_at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</si>
  <si>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m_product.created_by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</si>
  <si>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m_product.updated_at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</si>
  <si>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m_product.updated_by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</si>
  <si>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m_product.version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</si>
  <si>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納品先：顧客ごとの納品先</t>
    </r>
  </si>
  <si>
    <t xml:space="preserve">CREATE TABLE m_ship_to (</t>
  </si>
  <si>
    <t xml:space="preserve">  customer_id BIGINT NOT NULL REFERENCES m_customer(id),</t>
  </si>
  <si>
    <t xml:space="preserve">  is_default BOOLEAN NOT NULL DEFAULT false,</t>
  </si>
  <si>
    <r>
      <rPr>
        <sz val="9"/>
        <rFont val="Courier New"/>
        <family val="0"/>
        <charset val="1"/>
      </rPr>
      <t xml:space="preserve">COMMENT ON TABLE m_ship_to IS '</t>
    </r>
    <r>
      <rPr>
        <sz val="9"/>
        <rFont val="WenQuanYi Zen Hei"/>
        <family val="2"/>
      </rPr>
      <t xml:space="preserve">納品先</t>
    </r>
    <r>
      <rPr>
        <sz val="9"/>
        <rFont val="Courier New"/>
        <family val="0"/>
        <charset val="1"/>
      </rPr>
      <t xml:space="preserve">';</t>
    </r>
  </si>
  <si>
    <r>
      <rPr>
        <sz val="9"/>
        <rFont val="Courier New"/>
        <family val="0"/>
        <charset val="1"/>
      </rPr>
      <t xml:space="preserve">COMMENT ON COLUMN m_ship_to.id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</si>
  <si>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m_ship_to.customer_id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</si>
  <si>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m_ship_to.name IS '</t>
    </r>
    <r>
      <rPr>
        <sz val="9"/>
        <rFont val="WenQuanYi Zen Hei"/>
        <family val="2"/>
      </rPr>
      <t xml:space="preserve">納品先名</t>
    </r>
    <r>
      <rPr>
        <sz val="9"/>
        <rFont val="Courier New"/>
        <family val="0"/>
        <charset val="1"/>
      </rPr>
      <t xml:space="preserve">';</t>
    </r>
  </si>
  <si>
    <r>
      <rPr>
        <sz val="9"/>
        <rFont val="Courier New"/>
        <family val="0"/>
        <charset val="1"/>
      </rPr>
      <t xml:space="preserve">COMMENT ON COLUMN m_ship_to.postal_code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</si>
  <si>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m_ship_to.address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</si>
  <si>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m_ship_to.phone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</si>
  <si>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m_ship_to.is_default IS '</t>
    </r>
    <r>
      <rPr>
        <sz val="9"/>
        <rFont val="WenQuanYi Zen Hei"/>
        <family val="2"/>
      </rPr>
      <t xml:space="preserve">既定フラグ</t>
    </r>
    <r>
      <rPr>
        <sz val="9"/>
        <rFont val="Courier New"/>
        <family val="0"/>
        <charset val="1"/>
      </rPr>
      <t xml:space="preserve">';</t>
    </r>
  </si>
  <si>
    <r>
      <rPr>
        <sz val="9"/>
        <rFont val="Courier New"/>
        <family val="0"/>
        <charset val="1"/>
      </rPr>
      <t xml:space="preserve">COMMENT ON COLUMN m_ship_to.is_active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</si>
  <si>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m_ship_to.created_at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</si>
  <si>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m_ship_to.created_by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</si>
  <si>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m_ship_to.updated_at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</si>
  <si>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m_ship_to.updated_by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</si>
  <si>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m_ship_to.version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</si>
  <si>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発注：発注ヘッダ</t>
    </r>
  </si>
  <si>
    <t xml:space="preserve">CREATE TABLE t_purchase_order (</t>
  </si>
  <si>
    <t xml:space="preserve">  po_no VARCHAR(20) NOT NULL,</t>
  </si>
  <si>
    <t xml:space="preserve">  supplier_id BIGINT NOT NULL REFERENCES m_supplier(id),</t>
  </si>
  <si>
    <t xml:space="preserve">  order_date DATE NOT NULL,</t>
  </si>
  <si>
    <t xml:space="preserve">  expected_date DATE,</t>
  </si>
  <si>
    <t xml:space="preserve">  status VARCHAR(20) NOT NULL DEFAULT 'DRAFT',</t>
  </si>
  <si>
    <t xml:space="preserve">  approved_by BIGINT REFERENCES m_user(id),</t>
  </si>
  <si>
    <t xml:space="preserve">  approved_at TIMESTAMPTZ,</t>
  </si>
  <si>
    <t xml:space="preserve">  note TEXT,</t>
  </si>
  <si>
    <r>
      <rPr>
        <sz val="9"/>
        <rFont val="Courier New"/>
        <family val="0"/>
        <charset val="1"/>
      </rPr>
      <t xml:space="preserve">COMMENT ON TABLE t_purchase_order IS '</t>
    </r>
    <r>
      <rPr>
        <sz val="9"/>
        <rFont val="WenQuanYi Zen Hei"/>
        <family val="2"/>
      </rPr>
      <t xml:space="preserve">発注</t>
    </r>
    <r>
      <rPr>
        <sz val="9"/>
        <rFont val="Courier New"/>
        <family val="0"/>
        <charset val="1"/>
      </rPr>
      <t xml:space="preserve">';</t>
    </r>
  </si>
  <si>
    <r>
      <rPr>
        <sz val="9"/>
        <rFont val="Courier New"/>
        <family val="0"/>
        <charset val="1"/>
      </rPr>
      <t xml:space="preserve">COMMENT ON COLUMN t_purchase_order.id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</si>
  <si>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t_purchase_order.po_no IS '</t>
    </r>
    <r>
      <rPr>
        <sz val="9"/>
        <rFont val="WenQuanYi Zen Hei"/>
        <family val="2"/>
      </rPr>
      <t xml:space="preserve">発注番号</t>
    </r>
    <r>
      <rPr>
        <sz val="9"/>
        <rFont val="Courier New"/>
        <family val="0"/>
        <charset val="1"/>
      </rPr>
      <t xml:space="preserve">';</t>
    </r>
  </si>
  <si>
    <r>
      <rPr>
        <sz val="9"/>
        <rFont val="Courier New"/>
        <family val="0"/>
        <charset val="1"/>
      </rPr>
      <t xml:space="preserve">COMMENT ON COLUMN t_purchase_order.supplier_id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</si>
  <si>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t_purchase_order.order_date IS '</t>
    </r>
    <r>
      <rPr>
        <sz val="9"/>
        <rFont val="WenQuanYi Zen Hei"/>
        <family val="2"/>
      </rPr>
      <t xml:space="preserve">発注日</t>
    </r>
    <r>
      <rPr>
        <sz val="9"/>
        <rFont val="Courier New"/>
        <family val="0"/>
        <charset val="1"/>
      </rPr>
      <t xml:space="preserve">';</t>
    </r>
  </si>
  <si>
    <r>
      <rPr>
        <sz val="9"/>
        <rFont val="Courier New"/>
        <family val="0"/>
        <charset val="1"/>
      </rPr>
      <t xml:space="preserve">COMMENT ON COLUMN t_purchase_order.expected_date IS '</t>
    </r>
    <r>
      <rPr>
        <sz val="9"/>
        <rFont val="WenQuanYi Zen Hei"/>
        <family val="2"/>
      </rPr>
      <t xml:space="preserve">入荷予定日</t>
    </r>
    <r>
      <rPr>
        <sz val="9"/>
        <rFont val="Courier New"/>
        <family val="0"/>
        <charset val="1"/>
      </rPr>
      <t xml:space="preserve">';</t>
    </r>
  </si>
  <si>
    <r>
      <rPr>
        <sz val="9"/>
        <rFont val="Courier New"/>
        <family val="0"/>
        <charset val="1"/>
      </rPr>
      <t xml:space="preserve">COMMENT ON COLUMN t_purchase_order.status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</si>
  <si>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t_purchase_order.approved_by IS '</t>
    </r>
    <r>
      <rPr>
        <sz val="9"/>
        <rFont val="WenQuanYi Zen Hei"/>
        <family val="2"/>
      </rPr>
      <t xml:space="preserve">承認者</t>
    </r>
    <r>
      <rPr>
        <sz val="9"/>
        <rFont val="Courier New"/>
        <family val="0"/>
        <charset val="1"/>
      </rPr>
      <t xml:space="preserve">';</t>
    </r>
  </si>
  <si>
    <r>
      <rPr>
        <sz val="9"/>
        <rFont val="Courier New"/>
        <family val="0"/>
        <charset val="1"/>
      </rPr>
      <t xml:space="preserve">COMMENT ON COLUMN t_purchase_order.approved_at IS '</t>
    </r>
    <r>
      <rPr>
        <sz val="9"/>
        <rFont val="WenQuanYi Zen Hei"/>
        <family val="2"/>
      </rPr>
      <t xml:space="preserve">承認日時</t>
    </r>
    <r>
      <rPr>
        <sz val="9"/>
        <rFont val="Courier New"/>
        <family val="0"/>
        <charset val="1"/>
      </rPr>
      <t xml:space="preserve">';</t>
    </r>
  </si>
  <si>
    <r>
      <rPr>
        <sz val="9"/>
        <rFont val="Courier New"/>
        <family val="0"/>
        <charset val="1"/>
      </rPr>
      <t xml:space="preserve">COMMENT ON COLUMN t_purchase_order.note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</si>
  <si>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t_purchase_order.created_at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</si>
  <si>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</si>
  <si>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</si>
  <si>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</si>
  <si>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</si>
  <si>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温度記録：保管場所の温度記録</t>
    </r>
  </si>
  <si>
    <t xml:space="preserve">CREATE TABLE t_temperature_log (</t>
  </si>
  <si>
    <t xml:space="preserve">  location_id BIGINT NOT NULL REFERENCES m_location(id),</t>
  </si>
  <si>
    <t xml:space="preserve">  measured_at TIMESTAMPTZ NOT NULL,</t>
  </si>
  <si>
    <t xml:space="preserve">  temperature NUMERIC(5,1) NOT NULL,</t>
  </si>
  <si>
    <t xml:space="preserve">  is_excursion BOOLEAN NOT NULL DEFAULT false,</t>
  </si>
  <si>
    <t xml:space="preserve">  source VARCHAR(10) NOT NULL DEFAULT 'MANUAL',</t>
  </si>
  <si>
    <r>
      <rPr>
        <sz val="9"/>
        <rFont val="Courier New"/>
        <family val="0"/>
        <charset val="1"/>
      </rPr>
      <t xml:space="preserve">COMMENT ON TABLE t_temperature_log IS '</t>
    </r>
    <r>
      <rPr>
        <sz val="9"/>
        <rFont val="WenQuanYi Zen Hei"/>
        <family val="2"/>
      </rPr>
      <t xml:space="preserve">温度記録</t>
    </r>
    <r>
      <rPr>
        <sz val="9"/>
        <rFont val="Courier New"/>
        <family val="0"/>
        <charset val="1"/>
      </rPr>
      <t xml:space="preserve">';</t>
    </r>
  </si>
  <si>
    <t xml:space="preserve">COMMENT ON COLUMN t_temperature_log.id IS 'ID';</t>
  </si>
  <si>
    <r>
      <rPr>
        <sz val="9"/>
        <rFont val="Courier New"/>
        <family val="0"/>
        <charset val="1"/>
      </rPr>
      <t xml:space="preserve">COMMENT ON COLUMN t_temperature_log.location_id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</si>
  <si>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t_temperature_log.measured_at IS '</t>
    </r>
    <r>
      <rPr>
        <sz val="9"/>
        <rFont val="WenQuanYi Zen Hei"/>
        <family val="2"/>
      </rPr>
      <t xml:space="preserve">測定日時</t>
    </r>
    <r>
      <rPr>
        <sz val="9"/>
        <rFont val="Courier New"/>
        <family val="0"/>
        <charset val="1"/>
      </rPr>
      <t xml:space="preserve">';</t>
    </r>
  </si>
  <si>
    <r>
      <rPr>
        <sz val="9"/>
        <rFont val="Courier New"/>
        <family val="0"/>
        <charset val="1"/>
      </rPr>
      <t xml:space="preserve">COMMENT ON COLUMN t_temperature_log.temperature IS '</t>
    </r>
    <r>
      <rPr>
        <sz val="9"/>
        <rFont val="WenQuanYi Zen Hei"/>
        <family val="2"/>
      </rPr>
      <t xml:space="preserve">温度（℃）</t>
    </r>
    <r>
      <rPr>
        <sz val="9"/>
        <rFont val="Courier New"/>
        <family val="0"/>
        <charset val="1"/>
      </rPr>
      <t xml:space="preserve">';</t>
    </r>
  </si>
  <si>
    <r>
      <rPr>
        <sz val="9"/>
        <rFont val="Courier New"/>
        <family val="0"/>
        <charset val="1"/>
      </rPr>
      <t xml:space="preserve">COMMENT ON COLUMN t_temperature_log.is_excursion IS '</t>
    </r>
    <r>
      <rPr>
        <sz val="9"/>
        <rFont val="WenQuanYi Zen Hei"/>
        <family val="2"/>
      </rPr>
      <t xml:space="preserve">逸脱フラグ</t>
    </r>
    <r>
      <rPr>
        <sz val="9"/>
        <rFont val="Courier New"/>
        <family val="0"/>
        <charset val="1"/>
      </rPr>
      <t xml:space="preserve">';</t>
    </r>
  </si>
  <si>
    <r>
      <rPr>
        <sz val="9"/>
        <rFont val="Courier New"/>
        <family val="0"/>
        <charset val="1"/>
      </rPr>
      <t xml:space="preserve">COMMENT ON COLUMN t_temperature_log.source IS '</t>
    </r>
    <r>
      <rPr>
        <sz val="9"/>
        <rFont val="WenQuanYi Zen Hei"/>
        <family val="2"/>
      </rPr>
      <t xml:space="preserve">入力元</t>
    </r>
    <r>
      <rPr>
        <sz val="9"/>
        <rFont val="Courier New"/>
        <family val="0"/>
        <charset val="1"/>
      </rPr>
      <t xml:space="preserve">';</t>
    </r>
  </si>
  <si>
    <r>
      <rPr>
        <sz val="9"/>
        <rFont val="Courier New"/>
        <family val="0"/>
        <charset val="1"/>
      </rPr>
      <t xml:space="preserve">COMMENT ON COLUMN t_temperature_log.created_at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</si>
  <si>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t_temperature_log.created_by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</si>
  <si>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発注明細：発注明細</t>
    </r>
  </si>
  <si>
    <t xml:space="preserve">CREATE TABLE t_purchase_order_line (</t>
  </si>
  <si>
    <t xml:space="preserve">  purchase_order_id BIGINT NOT NULL REFERENCES t_purchase_order(id),</t>
  </si>
  <si>
    <t xml:space="preserve">  line_no INTEGER NOT NULL,</t>
  </si>
  <si>
    <t xml:space="preserve">  product_id BIGINT NOT NULL REFERENCES m_product(id),</t>
  </si>
  <si>
    <t xml:space="preserve">  quantity INTEGER NOT NULL,</t>
  </si>
  <si>
    <t xml:space="preserve">  unit_price NUMERIC(12,2) NOT NULL,</t>
  </si>
  <si>
    <t xml:space="preserve">  received_qty INTEGER NOT NULL DEFAULT 0,</t>
  </si>
  <si>
    <r>
      <rPr>
        <sz val="9"/>
        <rFont val="Courier New"/>
        <family val="0"/>
        <charset val="1"/>
      </rPr>
      <t xml:space="preserve">COMMENT ON TABLE t_purchase_order_line IS '</t>
    </r>
    <r>
      <rPr>
        <sz val="9"/>
        <rFont val="WenQuanYi Zen Hei"/>
        <family val="2"/>
      </rPr>
      <t xml:space="preserve">発注明細</t>
    </r>
    <r>
      <rPr>
        <sz val="9"/>
        <rFont val="Courier New"/>
        <family val="0"/>
        <charset val="1"/>
      </rPr>
      <t xml:space="preserve">';</t>
    </r>
  </si>
  <si>
    <r>
      <rPr>
        <sz val="9"/>
        <rFont val="Courier New"/>
        <family val="0"/>
        <charset val="1"/>
      </rPr>
      <t xml:space="preserve">COMMENT ON COLUMN t_purchase_order_line.id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</si>
  <si>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t_purchase_order_line.purchase_order_id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</si>
  <si>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</si>
  <si>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t_purchase_order_line.product_id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</si>
  <si>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t_purchase_order_line.quantity IS '</t>
    </r>
    <r>
      <rPr>
        <sz val="9"/>
        <rFont val="WenQuanYi Zen Hei"/>
        <family val="2"/>
      </rPr>
      <t xml:space="preserve">発注数量</t>
    </r>
    <r>
      <rPr>
        <sz val="9"/>
        <rFont val="Courier New"/>
        <family val="0"/>
        <charset val="1"/>
      </rPr>
      <t xml:space="preserve">';</t>
    </r>
  </si>
  <si>
    <r>
      <rPr>
        <sz val="9"/>
        <rFont val="Courier New"/>
        <family val="0"/>
        <charset val="1"/>
      </rPr>
      <t xml:space="preserve">COMMENT ON COLUMN t_purchase_order_line.unit_price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</si>
  <si>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t_purchase_order_line.received_qty IS '</t>
    </r>
    <r>
      <rPr>
        <sz val="9"/>
        <rFont val="WenQuanYi Zen Hei"/>
        <family val="2"/>
      </rPr>
      <t xml:space="preserve">入荷済数量</t>
    </r>
    <r>
      <rPr>
        <sz val="9"/>
        <rFont val="Courier New"/>
        <family val="0"/>
        <charset val="1"/>
      </rPr>
      <t xml:space="preserve">';</t>
    </r>
  </si>
  <si>
    <r>
      <rPr>
        <sz val="9"/>
        <rFont val="Courier New"/>
        <family val="0"/>
        <charset val="1"/>
      </rPr>
      <t xml:space="preserve">COMMENT ON COLUMN t_purchase_order_line.created_at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</si>
  <si>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</si>
  <si>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</si>
  <si>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</si>
  <si>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</si>
  <si>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入荷：入荷ヘッダ</t>
    </r>
  </si>
  <si>
    <t xml:space="preserve">CREATE TABLE t_receipt (</t>
  </si>
  <si>
    <t xml:space="preserve">  receipt_no VARCHAR(20) NOT NULL,</t>
  </si>
  <si>
    <t xml:space="preserve">  purchase_order_id BIGINT REFERENCES t_purchase_order(id),</t>
  </si>
  <si>
    <t xml:space="preserve">  receipt_date DATE NOT NULL,</t>
  </si>
  <si>
    <t xml:space="preserve">  arrival_temp NUMERIC(5,1),</t>
  </si>
  <si>
    <r>
      <rPr>
        <sz val="9"/>
        <rFont val="Courier New"/>
        <family val="0"/>
        <charset val="1"/>
      </rPr>
      <t xml:space="preserve">COMMENT ON TABLE t_receipt IS '</t>
    </r>
    <r>
      <rPr>
        <sz val="9"/>
        <rFont val="WenQuanYi Zen Hei"/>
        <family val="2"/>
      </rPr>
      <t xml:space="preserve">入荷</t>
    </r>
    <r>
      <rPr>
        <sz val="9"/>
        <rFont val="Courier New"/>
        <family val="0"/>
        <charset val="1"/>
      </rPr>
      <t xml:space="preserve">';</t>
    </r>
  </si>
  <si>
    <r>
      <rPr>
        <sz val="9"/>
        <rFont val="Courier New"/>
        <family val="0"/>
        <charset val="1"/>
      </rPr>
      <t xml:space="preserve">COMMENT ON COLUMN t_receipt.id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</si>
  <si>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t_receipt.receipt_no IS '</t>
    </r>
    <r>
      <rPr>
        <sz val="9"/>
        <rFont val="WenQuanYi Zen Hei"/>
        <family val="2"/>
      </rPr>
      <t xml:space="preserve">入荷番号</t>
    </r>
    <r>
      <rPr>
        <sz val="9"/>
        <rFont val="Courier New"/>
        <family val="0"/>
        <charset val="1"/>
      </rPr>
      <t xml:space="preserve">';</t>
    </r>
  </si>
  <si>
    <r>
      <rPr>
        <sz val="9"/>
        <rFont val="Courier New"/>
        <family val="0"/>
        <charset val="1"/>
      </rPr>
      <t xml:space="preserve">COMMENT ON COLUMN t_receipt.supplier_id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</si>
  <si>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t_receipt.purchase_order_id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</si>
  <si>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t_receipt.receipt_date IS '</t>
    </r>
    <r>
      <rPr>
        <sz val="9"/>
        <rFont val="WenQuanYi Zen Hei"/>
        <family val="2"/>
      </rPr>
      <t xml:space="preserve">入荷日</t>
    </r>
    <r>
      <rPr>
        <sz val="9"/>
        <rFont val="Courier New"/>
        <family val="0"/>
        <charset val="1"/>
      </rPr>
      <t xml:space="preserve">';</t>
    </r>
  </si>
  <si>
    <r>
      <rPr>
        <sz val="9"/>
        <rFont val="Courier New"/>
        <family val="0"/>
        <charset val="1"/>
      </rPr>
      <t xml:space="preserve">COMMENT ON COLUMN t_receipt.arrival_temp IS '</t>
    </r>
    <r>
      <rPr>
        <sz val="9"/>
        <rFont val="WenQuanYi Zen Hei"/>
        <family val="2"/>
      </rPr>
      <t xml:space="preserve">到着時温度（℃）</t>
    </r>
    <r>
      <rPr>
        <sz val="9"/>
        <rFont val="Courier New"/>
        <family val="0"/>
        <charset val="1"/>
      </rPr>
      <t xml:space="preserve">';</t>
    </r>
  </si>
  <si>
    <r>
      <rPr>
        <sz val="9"/>
        <rFont val="Courier New"/>
        <family val="0"/>
        <charset val="1"/>
      </rPr>
      <t xml:space="preserve">COMMENT ON COLUMN t_receipt.status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</si>
  <si>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t_receipt.note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</si>
  <si>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t_receipt.created_at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</si>
  <si>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</si>
  <si>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</si>
  <si>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</si>
  <si>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</si>
  <si>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ロット：ロット（トレーサビリティの中核）</t>
    </r>
  </si>
  <si>
    <t xml:space="preserve">CREATE TABLE t_lot (</t>
  </si>
  <si>
    <t xml:space="preserve">  lot_no VARCHAR(30) NOT NULL,</t>
  </si>
  <si>
    <t xml:space="preserve">  supplier_lot_no VARCHAR(50) NOT NULL,</t>
  </si>
  <si>
    <t xml:space="preserve">  manufactured_on DATE,</t>
  </si>
  <si>
    <t xml:space="preserve">  expires_on DATE NOT NULL,</t>
  </si>
  <si>
    <t xml:space="preserve">  measured_particle_conc NUMERIC(20,0),</t>
  </si>
  <si>
    <t xml:space="preserve">  status VARCHAR(20) NOT NULL DEFAULT 'QUARANTINE',</t>
  </si>
  <si>
    <t xml:space="preserve">  status_reason TEXT,</t>
  </si>
  <si>
    <t xml:space="preserve">  inspected_by BIGINT REFERENCES m_user(id),</t>
  </si>
  <si>
    <t xml:space="preserve">  inspected_at TIMESTAMPTZ,</t>
  </si>
  <si>
    <r>
      <rPr>
        <sz val="9"/>
        <rFont val="Courier New"/>
        <family val="0"/>
        <charset val="1"/>
      </rPr>
      <t xml:space="preserve">COMMENT ON TABLE t_lot IS '</t>
    </r>
    <r>
      <rPr>
        <sz val="9"/>
        <rFont val="WenQuanYi Zen Hei"/>
        <family val="2"/>
      </rPr>
      <t xml:space="preserve">ロット</t>
    </r>
    <r>
      <rPr>
        <sz val="9"/>
        <rFont val="Courier New"/>
        <family val="0"/>
        <charset val="1"/>
      </rPr>
      <t xml:space="preserve">';</t>
    </r>
  </si>
  <si>
    <r>
      <rPr>
        <sz val="9"/>
        <rFont val="Courier New"/>
        <family val="0"/>
        <charset val="1"/>
      </rPr>
      <t xml:space="preserve">COMMENT ON COLUMN t_lot.id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</si>
  <si>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t_lot.lot_no IS '</t>
    </r>
    <r>
      <rPr>
        <sz val="9"/>
        <rFont val="WenQuanYi Zen Hei"/>
        <family val="2"/>
      </rPr>
      <t xml:space="preserve">社内ロット番号</t>
    </r>
    <r>
      <rPr>
        <sz val="9"/>
        <rFont val="Courier New"/>
        <family val="0"/>
        <charset val="1"/>
      </rPr>
      <t xml:space="preserve">';</t>
    </r>
  </si>
  <si>
    <r>
      <rPr>
        <sz val="9"/>
        <rFont val="Courier New"/>
        <family val="0"/>
        <charset val="1"/>
      </rPr>
      <t xml:space="preserve">COMMENT ON COLUMN t_lot.product_id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</si>
  <si>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t_lot.supplier_id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</si>
  <si>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t_lot.supplier_lot_no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</si>
  <si>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t_lot.manufactured_on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</si>
  <si>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t_lot.expires_on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</si>
  <si>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t_lot.measured_particle_conc IS '</t>
    </r>
    <r>
      <rPr>
        <sz val="9"/>
        <rFont val="WenQuanYi Zen Hei"/>
        <family val="2"/>
      </rPr>
      <t xml:space="preserve">実測粒子濃度（個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</si>
  <si>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t_lot.status IS '</t>
    </r>
    <r>
      <rPr>
        <sz val="9"/>
        <rFont val="WenQuanYi Zen Hei"/>
        <family val="2"/>
      </rPr>
      <t xml:space="preserve">ロットステータス</t>
    </r>
    <r>
      <rPr>
        <sz val="9"/>
        <rFont val="Courier New"/>
        <family val="0"/>
        <charset val="1"/>
      </rPr>
      <t xml:space="preserve">';</t>
    </r>
  </si>
  <si>
    <r>
      <rPr>
        <sz val="9"/>
        <rFont val="Courier New"/>
        <family val="0"/>
        <charset val="1"/>
      </rPr>
      <t xml:space="preserve">COMMENT ON COLUMN t_lot.status_reason IS '</t>
    </r>
    <r>
      <rPr>
        <sz val="9"/>
        <rFont val="WenQuanYi Zen Hei"/>
        <family val="2"/>
      </rPr>
      <t xml:space="preserve">ステータス変更理由</t>
    </r>
    <r>
      <rPr>
        <sz val="9"/>
        <rFont val="Courier New"/>
        <family val="0"/>
        <charset val="1"/>
      </rPr>
      <t xml:space="preserve">';</t>
    </r>
  </si>
  <si>
    <r>
      <rPr>
        <sz val="9"/>
        <rFont val="Courier New"/>
        <family val="0"/>
        <charset val="1"/>
      </rPr>
      <t xml:space="preserve">COMMENT ON COLUMN t_lot.inspected_by IS '</t>
    </r>
    <r>
      <rPr>
        <sz val="9"/>
        <rFont val="WenQuanYi Zen Hei"/>
        <family val="2"/>
      </rPr>
      <t xml:space="preserve">検品者</t>
    </r>
    <r>
      <rPr>
        <sz val="9"/>
        <rFont val="Courier New"/>
        <family val="0"/>
        <charset val="1"/>
      </rPr>
      <t xml:space="preserve">';</t>
    </r>
  </si>
  <si>
    <r>
      <rPr>
        <sz val="9"/>
        <rFont val="Courier New"/>
        <family val="0"/>
        <charset val="1"/>
      </rPr>
      <t xml:space="preserve">COMMENT ON COLUMN t_lot.inspected_at IS '</t>
    </r>
    <r>
      <rPr>
        <sz val="9"/>
        <rFont val="WenQuanYi Zen Hei"/>
        <family val="2"/>
      </rPr>
      <t xml:space="preserve">検品日時</t>
    </r>
    <r>
      <rPr>
        <sz val="9"/>
        <rFont val="Courier New"/>
        <family val="0"/>
        <charset val="1"/>
      </rPr>
      <t xml:space="preserve">';</t>
    </r>
  </si>
  <si>
    <r>
      <rPr>
        <sz val="9"/>
        <rFont val="Courier New"/>
        <family val="0"/>
        <charset val="1"/>
      </rPr>
      <t xml:space="preserve">COMMENT ON COLUMN t_lot.created_at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</si>
  <si>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</si>
  <si>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</si>
  <si>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</si>
  <si>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</si>
  <si>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受注：受注ヘッダ</t>
    </r>
  </si>
  <si>
    <t xml:space="preserve">CREATE TABLE t_sales_order (</t>
  </si>
  <si>
    <t xml:space="preserve">  so_no VARCHAR(20) NOT NULL,</t>
  </si>
  <si>
    <t xml:space="preserve">  ship_to_id BIGINT NOT NULL REFERENCES m_ship_to(id),</t>
  </si>
  <si>
    <t xml:space="preserve">  requested_date DATE,</t>
  </si>
  <si>
    <t xml:space="preserve">  sales_user_id BIGINT NOT NULL REFERENCES m_user(id),</t>
  </si>
  <si>
    <r>
      <rPr>
        <sz val="9"/>
        <rFont val="Courier New"/>
        <family val="0"/>
        <charset val="1"/>
      </rPr>
      <t xml:space="preserve">COMMENT ON TABLE t_sales_order IS '</t>
    </r>
    <r>
      <rPr>
        <sz val="9"/>
        <rFont val="WenQuanYi Zen Hei"/>
        <family val="2"/>
      </rPr>
      <t xml:space="preserve">受注</t>
    </r>
    <r>
      <rPr>
        <sz val="9"/>
        <rFont val="Courier New"/>
        <family val="0"/>
        <charset val="1"/>
      </rPr>
      <t xml:space="preserve">';</t>
    </r>
  </si>
  <si>
    <r>
      <rPr>
        <sz val="9"/>
        <rFont val="Courier New"/>
        <family val="0"/>
        <charset val="1"/>
      </rPr>
      <t xml:space="preserve">COMMENT ON COLUMN t_sales_order.id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</si>
  <si>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t_sales_order.so_no IS '</t>
    </r>
    <r>
      <rPr>
        <sz val="9"/>
        <rFont val="WenQuanYi Zen Hei"/>
        <family val="2"/>
      </rPr>
      <t xml:space="preserve">受注番号</t>
    </r>
    <r>
      <rPr>
        <sz val="9"/>
        <rFont val="Courier New"/>
        <family val="0"/>
        <charset val="1"/>
      </rPr>
      <t xml:space="preserve">';</t>
    </r>
  </si>
  <si>
    <r>
      <rPr>
        <sz val="9"/>
        <rFont val="Courier New"/>
        <family val="0"/>
        <charset val="1"/>
      </rPr>
      <t xml:space="preserve">COMMENT ON COLUMN t_sales_order.customer_id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</si>
  <si>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t_sales_order.ship_to_id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</si>
  <si>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t_sales_order.order_date IS '</t>
    </r>
    <r>
      <rPr>
        <sz val="9"/>
        <rFont val="WenQuanYi Zen Hei"/>
        <family val="2"/>
      </rPr>
      <t xml:space="preserve">受注日</t>
    </r>
    <r>
      <rPr>
        <sz val="9"/>
        <rFont val="Courier New"/>
        <family val="0"/>
        <charset val="1"/>
      </rPr>
      <t xml:space="preserve">';</t>
    </r>
  </si>
  <si>
    <r>
      <rPr>
        <sz val="9"/>
        <rFont val="Courier New"/>
        <family val="0"/>
        <charset val="1"/>
      </rPr>
      <t xml:space="preserve">COMMENT ON COLUMN t_sales_order.requested_date IS '</t>
    </r>
    <r>
      <rPr>
        <sz val="9"/>
        <rFont val="WenQuanYi Zen Hei"/>
        <family val="2"/>
      </rPr>
      <t xml:space="preserve">希望納期</t>
    </r>
    <r>
      <rPr>
        <sz val="9"/>
        <rFont val="Courier New"/>
        <family val="0"/>
        <charset val="1"/>
      </rPr>
      <t xml:space="preserve">';</t>
    </r>
  </si>
  <si>
    <r>
      <rPr>
        <sz val="9"/>
        <rFont val="Courier New"/>
        <family val="0"/>
        <charset val="1"/>
      </rPr>
      <t xml:space="preserve">COMMENT ON COLUMN t_sales_order.sales_user_id IS '</t>
    </r>
    <r>
      <rPr>
        <sz val="9"/>
        <rFont val="WenQuanYi Zen Hei"/>
        <family val="2"/>
      </rPr>
      <t xml:space="preserve">営業担当</t>
    </r>
    <r>
      <rPr>
        <sz val="9"/>
        <rFont val="Courier New"/>
        <family val="0"/>
        <charset val="1"/>
      </rPr>
      <t xml:space="preserve">';</t>
    </r>
  </si>
  <si>
    <r>
      <rPr>
        <sz val="9"/>
        <rFont val="Courier New"/>
        <family val="0"/>
        <charset val="1"/>
      </rPr>
      <t xml:space="preserve">COMMENT ON COLUMN t_sales_order.status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</si>
  <si>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t_sales_order.note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</si>
  <si>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t_sales_order.created_at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</si>
  <si>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</si>
  <si>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</si>
  <si>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</si>
  <si>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</si>
  <si>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入荷明細：入荷明細（</t>
    </r>
    <r>
      <rPr>
        <sz val="9"/>
        <rFont val="Courier New"/>
        <family val="0"/>
        <charset val="1"/>
      </rPr>
      <t xml:space="preserve">1</t>
    </r>
    <r>
      <rPr>
        <sz val="9"/>
        <rFont val="WenQuanYi Zen Hei"/>
        <family val="2"/>
      </rPr>
      <t xml:space="preserve">明細＝</t>
    </r>
    <r>
      <rPr>
        <sz val="9"/>
        <rFont val="Courier New"/>
        <family val="0"/>
        <charset val="1"/>
      </rPr>
      <t xml:space="preserve">1</t>
    </r>
    <r>
      <rPr>
        <sz val="9"/>
        <rFont val="WenQuanYi Zen Hei"/>
        <family val="2"/>
      </rPr>
      <t xml:space="preserve">ロット）</t>
    </r>
  </si>
  <si>
    <t xml:space="preserve">CREATE TABLE t_receipt_line (</t>
  </si>
  <si>
    <t xml:space="preserve">  receipt_id BIGINT NOT NULL REFERENCES t_receipt(id),</t>
  </si>
  <si>
    <t xml:space="preserve">  purchase_order_line_id BIGINT REFERENCES t_purchase_order_line(id),</t>
  </si>
  <si>
    <t xml:space="preserve">  lot_id BIGINT NOT NULL REFERENCES t_lot(id),</t>
  </si>
  <si>
    <r>
      <rPr>
        <sz val="9"/>
        <rFont val="Courier New"/>
        <family val="0"/>
        <charset val="1"/>
      </rPr>
      <t xml:space="preserve">COMMENT ON TABLE t_receipt_line IS '</t>
    </r>
    <r>
      <rPr>
        <sz val="9"/>
        <rFont val="WenQuanYi Zen Hei"/>
        <family val="2"/>
      </rPr>
      <t xml:space="preserve">入荷明細</t>
    </r>
    <r>
      <rPr>
        <sz val="9"/>
        <rFont val="Courier New"/>
        <family val="0"/>
        <charset val="1"/>
      </rPr>
      <t xml:space="preserve">';</t>
    </r>
  </si>
  <si>
    <r>
      <rPr>
        <sz val="9"/>
        <rFont val="Courier New"/>
        <family val="0"/>
        <charset val="1"/>
      </rPr>
      <t xml:space="preserve">COMMENT ON COLUMN t_receipt_line.id IS '</t>
    </r>
    <r>
      <rPr>
        <sz val="9"/>
        <rFont val="WenQuanYi Zen Hei"/>
        <family val="2"/>
      </rPr>
      <t xml:space="preserve">入荷明細</t>
    </r>
    <r>
      <rPr>
        <sz val="9"/>
        <rFont val="Courier New"/>
        <family val="0"/>
        <charset val="1"/>
      </rPr>
      <t xml:space="preserve">ID';</t>
    </r>
  </si>
  <si>
    <r>
      <rPr>
        <sz val="9"/>
        <rFont val="Courier New"/>
        <family val="0"/>
        <charset val="1"/>
      </rPr>
      <t xml:space="preserve">COMMENT ON COLUMN t_receipt_line.receipt_id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</si>
  <si>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t_receipt_line.purchase_order_line_id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</si>
  <si>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t_receipt_line.product_id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</si>
  <si>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t_receipt_line.lot_id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</si>
  <si>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t_receipt_line.location_id IS '</t>
    </r>
    <r>
      <rPr>
        <sz val="9"/>
        <rFont val="WenQuanYi Zen Hei"/>
        <family val="2"/>
      </rPr>
      <t xml:space="preserve">入庫保管場所</t>
    </r>
    <r>
      <rPr>
        <sz val="9"/>
        <rFont val="Courier New"/>
        <family val="0"/>
        <charset val="1"/>
      </rPr>
      <t xml:space="preserve">ID';</t>
    </r>
  </si>
  <si>
    <r>
      <rPr>
        <sz val="9"/>
        <rFont val="Courier New"/>
        <family val="0"/>
        <charset val="1"/>
      </rPr>
      <t xml:space="preserve">COMMENT ON COLUMN t_receipt_line.quantity IS '</t>
    </r>
    <r>
      <rPr>
        <sz val="9"/>
        <rFont val="WenQuanYi Zen Hei"/>
        <family val="2"/>
      </rPr>
      <t xml:space="preserve">入荷数量</t>
    </r>
    <r>
      <rPr>
        <sz val="9"/>
        <rFont val="Courier New"/>
        <family val="0"/>
        <charset val="1"/>
      </rPr>
      <t xml:space="preserve">';</t>
    </r>
  </si>
  <si>
    <r>
      <rPr>
        <sz val="9"/>
        <rFont val="Courier New"/>
        <family val="0"/>
        <charset val="1"/>
      </rPr>
      <t xml:space="preserve">COMMENT ON COLUMN t_receipt_line.unit_price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</si>
  <si>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t_receipt_line.created_at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</si>
  <si>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</si>
  <si>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</si>
  <si>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</si>
  <si>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</si>
  <si>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在庫：ロット</t>
    </r>
    <r>
      <rPr>
        <sz val="9"/>
        <rFont val="Courier New"/>
        <family val="0"/>
        <charset val="1"/>
      </rPr>
      <t xml:space="preserve">×</t>
    </r>
    <r>
      <rPr>
        <sz val="9"/>
        <rFont val="WenQuanYi Zen Hei"/>
        <family val="2"/>
      </rPr>
      <t xml:space="preserve">保管場所の現在庫（移動履歴の集計結果）</t>
    </r>
  </si>
  <si>
    <t xml:space="preserve">CREATE TABLE t_inventory (</t>
  </si>
  <si>
    <t xml:space="preserve">  on_hand_qty INTEGER NOT NULL DEFAULT 0,</t>
  </si>
  <si>
    <t xml:space="preserve">  allocated_qty INTEGER NOT NULL DEFAULT 0,</t>
  </si>
  <si>
    <r>
      <rPr>
        <sz val="9"/>
        <rFont val="Courier New"/>
        <family val="0"/>
        <charset val="1"/>
      </rPr>
      <t xml:space="preserve">COMMENT ON TABLE t_inventory IS '</t>
    </r>
    <r>
      <rPr>
        <sz val="9"/>
        <rFont val="WenQuanYi Zen Hei"/>
        <family val="2"/>
      </rPr>
      <t xml:space="preserve">在庫</t>
    </r>
    <r>
      <rPr>
        <sz val="9"/>
        <rFont val="Courier New"/>
        <family val="0"/>
        <charset val="1"/>
      </rPr>
      <t xml:space="preserve">';</t>
    </r>
  </si>
  <si>
    <r>
      <rPr>
        <sz val="9"/>
        <rFont val="Courier New"/>
        <family val="0"/>
        <charset val="1"/>
      </rPr>
      <t xml:space="preserve">COMMENT ON COLUMN t_inventory.id IS '</t>
    </r>
    <r>
      <rPr>
        <sz val="9"/>
        <rFont val="WenQuanYi Zen Hei"/>
        <family val="2"/>
      </rPr>
      <t xml:space="preserve">在庫</t>
    </r>
    <r>
      <rPr>
        <sz val="9"/>
        <rFont val="Courier New"/>
        <family val="0"/>
        <charset val="1"/>
      </rPr>
      <t xml:space="preserve">ID';</t>
    </r>
  </si>
  <si>
    <r>
      <rPr>
        <sz val="9"/>
        <rFont val="Courier New"/>
        <family val="0"/>
        <charset val="1"/>
      </rPr>
      <t xml:space="preserve">COMMENT ON COLUMN t_inventory.lot_id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</si>
  <si>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t_inventory.location_id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</si>
  <si>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t_inventory.on_hand_qty IS '</t>
    </r>
    <r>
      <rPr>
        <sz val="9"/>
        <rFont val="WenQuanYi Zen Hei"/>
        <family val="2"/>
      </rPr>
      <t xml:space="preserve">現在庫数</t>
    </r>
    <r>
      <rPr>
        <sz val="9"/>
        <rFont val="Courier New"/>
        <family val="0"/>
        <charset val="1"/>
      </rPr>
      <t xml:space="preserve">';</t>
    </r>
  </si>
  <si>
    <r>
      <rPr>
        <sz val="9"/>
        <rFont val="Courier New"/>
        <family val="0"/>
        <charset val="1"/>
      </rPr>
      <t xml:space="preserve">COMMENT ON COLUMN t_inventory.allocated_qty IS '</t>
    </r>
    <r>
      <rPr>
        <sz val="9"/>
        <rFont val="WenQuanYi Zen Hei"/>
        <family val="2"/>
      </rPr>
      <t xml:space="preserve">引当済数</t>
    </r>
    <r>
      <rPr>
        <sz val="9"/>
        <rFont val="Courier New"/>
        <family val="0"/>
        <charset val="1"/>
      </rPr>
      <t xml:space="preserve">';</t>
    </r>
  </si>
  <si>
    <r>
      <rPr>
        <sz val="9"/>
        <rFont val="Courier New"/>
        <family val="0"/>
        <charset val="1"/>
      </rPr>
      <t xml:space="preserve">COMMENT ON COLUMN t_inventory.created_at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</si>
  <si>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t_inventory.created_by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</si>
  <si>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t_inventory.updated_at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</si>
  <si>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t_inventory.updated_by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</si>
  <si>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t_inventory.version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</si>
  <si>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在庫移動履歴：在庫の全増減の記録（追記のみ）</t>
    </r>
  </si>
  <si>
    <t xml:space="preserve">CREATE TABLE t_stock_movement (</t>
  </si>
  <si>
    <t xml:space="preserve">  moved_at TIMESTAMPTZ NOT NULL,</t>
  </si>
  <si>
    <t xml:space="preserve">  movement_type VARCHAR(20) NOT NULL,</t>
  </si>
  <si>
    <t xml:space="preserve">  ref_type VARCHAR(30),</t>
  </si>
  <si>
    <t xml:space="preserve">  ref_id BIGINT,</t>
  </si>
  <si>
    <t xml:space="preserve">  reason TEXT,</t>
  </si>
  <si>
    <r>
      <rPr>
        <sz val="9"/>
        <rFont val="Courier New"/>
        <family val="0"/>
        <charset val="1"/>
      </rPr>
      <t xml:space="preserve">COMMENT ON TABLE t_stock_movement IS '</t>
    </r>
    <r>
      <rPr>
        <sz val="9"/>
        <rFont val="WenQuanYi Zen Hei"/>
        <family val="2"/>
      </rPr>
      <t xml:space="preserve">在庫移動履歴</t>
    </r>
    <r>
      <rPr>
        <sz val="9"/>
        <rFont val="Courier New"/>
        <family val="0"/>
        <charset val="1"/>
      </rPr>
      <t xml:space="preserve">';</t>
    </r>
  </si>
  <si>
    <r>
      <rPr>
        <sz val="9"/>
        <rFont val="Courier New"/>
        <family val="0"/>
        <charset val="1"/>
      </rPr>
      <t xml:space="preserve">COMMENT ON COLUMN t_stock_movement.id IS '</t>
    </r>
    <r>
      <rPr>
        <sz val="9"/>
        <rFont val="WenQuanYi Zen Hei"/>
        <family val="2"/>
      </rPr>
      <t xml:space="preserve">移動履歴</t>
    </r>
    <r>
      <rPr>
        <sz val="9"/>
        <rFont val="Courier New"/>
        <family val="0"/>
        <charset val="1"/>
      </rPr>
      <t xml:space="preserve">ID';</t>
    </r>
  </si>
  <si>
    <r>
      <rPr>
        <sz val="9"/>
        <rFont val="Courier New"/>
        <family val="0"/>
        <charset val="1"/>
      </rPr>
      <t xml:space="preserve">COMMENT ON COLUMN t_stock_movement.moved_at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</si>
  <si>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t_stock_movement.movement_type IS '</t>
    </r>
    <r>
      <rPr>
        <sz val="9"/>
        <rFont val="WenQuanYi Zen Hei"/>
        <family val="2"/>
      </rPr>
      <t xml:space="preserve">移動区分</t>
    </r>
    <r>
      <rPr>
        <sz val="9"/>
        <rFont val="Courier New"/>
        <family val="0"/>
        <charset val="1"/>
      </rPr>
      <t xml:space="preserve">';</t>
    </r>
  </si>
  <si>
    <r>
      <rPr>
        <sz val="9"/>
        <rFont val="Courier New"/>
        <family val="0"/>
        <charset val="1"/>
      </rPr>
      <t xml:space="preserve">COMMENT ON COLUMN t_stock_movement.lot_id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</si>
  <si>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t_stock_movement.location_id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</si>
  <si>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t_stock_movement.quantity IS '</t>
    </r>
    <r>
      <rPr>
        <sz val="9"/>
        <rFont val="WenQuanYi Zen Hei"/>
        <family val="2"/>
      </rPr>
      <t xml:space="preserve">数量（符号付）</t>
    </r>
    <r>
      <rPr>
        <sz val="9"/>
        <rFont val="Courier New"/>
        <family val="0"/>
        <charset val="1"/>
      </rPr>
      <t xml:space="preserve">';</t>
    </r>
  </si>
  <si>
    <r>
      <rPr>
        <sz val="9"/>
        <rFont val="Courier New"/>
        <family val="0"/>
        <charset val="1"/>
      </rPr>
      <t xml:space="preserve">COMMENT ON COLUMN t_stock_movement.ref_type IS '</t>
    </r>
    <r>
      <rPr>
        <sz val="9"/>
        <rFont val="WenQuanYi Zen Hei"/>
        <family val="2"/>
      </rPr>
      <t xml:space="preserve">参照伝票種別</t>
    </r>
    <r>
      <rPr>
        <sz val="9"/>
        <rFont val="Courier New"/>
        <family val="0"/>
        <charset val="1"/>
      </rPr>
      <t xml:space="preserve">';</t>
    </r>
  </si>
  <si>
    <r>
      <rPr>
        <sz val="9"/>
        <rFont val="Courier New"/>
        <family val="0"/>
        <charset val="1"/>
      </rPr>
      <t xml:space="preserve">COMMENT ON COLUMN t_stock_movement.ref_id IS '</t>
    </r>
    <r>
      <rPr>
        <sz val="9"/>
        <rFont val="WenQuanYi Zen Hei"/>
        <family val="2"/>
      </rPr>
      <t xml:space="preserve">参照伝票</t>
    </r>
    <r>
      <rPr>
        <sz val="9"/>
        <rFont val="Courier New"/>
        <family val="0"/>
        <charset val="1"/>
      </rPr>
      <t xml:space="preserve">ID';</t>
    </r>
  </si>
  <si>
    <r>
      <rPr>
        <sz val="9"/>
        <rFont val="Courier New"/>
        <family val="0"/>
        <charset val="1"/>
      </rPr>
      <t xml:space="preserve">COMMENT ON COLUMN t_stock_movement.reason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</si>
  <si>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t_stock_movement.created_at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</si>
  <si>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t_stock_movement.created_by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</si>
  <si>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受注明細：受注明細</t>
    </r>
  </si>
  <si>
    <t xml:space="preserve">CREATE TABLE t_sales_order_line (</t>
  </si>
  <si>
    <t xml:space="preserve">  sales_order_id BIGINT NOT NULL REFERENCES t_sales_order(id),</t>
  </si>
  <si>
    <t xml:space="preserve">  shipped_qty INTEGER NOT NULL DEFAULT 0,</t>
  </si>
  <si>
    <r>
      <rPr>
        <sz val="9"/>
        <rFont val="Courier New"/>
        <family val="0"/>
        <charset val="1"/>
      </rPr>
      <t xml:space="preserve">COMMENT ON TABLE t_sales_order_line IS '</t>
    </r>
    <r>
      <rPr>
        <sz val="9"/>
        <rFont val="WenQuanYi Zen Hei"/>
        <family val="2"/>
      </rPr>
      <t xml:space="preserve">受注明細</t>
    </r>
    <r>
      <rPr>
        <sz val="9"/>
        <rFont val="Courier New"/>
        <family val="0"/>
        <charset val="1"/>
      </rPr>
      <t xml:space="preserve">';</t>
    </r>
  </si>
  <si>
    <r>
      <rPr>
        <sz val="9"/>
        <rFont val="Courier New"/>
        <family val="0"/>
        <charset val="1"/>
      </rPr>
      <t xml:space="preserve">COMMENT ON COLUMN t_sales_order_line.id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</si>
  <si>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t_sales_order_line.sales_order_id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</si>
  <si>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</si>
  <si>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t_sales_order_line.product_id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</si>
  <si>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t_sales_order_line.quantity IS '</t>
    </r>
    <r>
      <rPr>
        <sz val="9"/>
        <rFont val="WenQuanYi Zen Hei"/>
        <family val="2"/>
      </rPr>
      <t xml:space="preserve">受注数量</t>
    </r>
    <r>
      <rPr>
        <sz val="9"/>
        <rFont val="Courier New"/>
        <family val="0"/>
        <charset val="1"/>
      </rPr>
      <t xml:space="preserve">';</t>
    </r>
  </si>
  <si>
    <r>
      <rPr>
        <sz val="9"/>
        <rFont val="Courier New"/>
        <family val="0"/>
        <charset val="1"/>
      </rPr>
      <t xml:space="preserve">COMMENT ON COLUMN t_sales_order_line.unit_price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</si>
  <si>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t_sales_order_line.shipped_qty IS '</t>
    </r>
    <r>
      <rPr>
        <sz val="9"/>
        <rFont val="WenQuanYi Zen Hei"/>
        <family val="2"/>
      </rPr>
      <t xml:space="preserve">出荷済数量</t>
    </r>
    <r>
      <rPr>
        <sz val="9"/>
        <rFont val="Courier New"/>
        <family val="0"/>
        <charset val="1"/>
      </rPr>
      <t xml:space="preserve">';</t>
    </r>
  </si>
  <si>
    <r>
      <rPr>
        <sz val="9"/>
        <rFont val="Courier New"/>
        <family val="0"/>
        <charset val="1"/>
      </rPr>
      <t xml:space="preserve">COMMENT ON COLUMN t_sales_order_line.created_at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</si>
  <si>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</si>
  <si>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</si>
  <si>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</si>
  <si>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</si>
  <si>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出荷：出荷ヘッダ</t>
    </r>
  </si>
  <si>
    <t xml:space="preserve">CREATE TABLE t_shipment (</t>
  </si>
  <si>
    <t xml:space="preserve">  shipment_no VARCHAR(20) NOT NULL,</t>
  </si>
  <si>
    <t xml:space="preserve">  shipped_on DATE NOT NULL,</t>
  </si>
  <si>
    <t xml:space="preserve">  carrier VARCHAR(50),</t>
  </si>
  <si>
    <t xml:space="preserve">  tracking_no VARCHAR(50),</t>
  </si>
  <si>
    <t xml:space="preserve">  status VARCHAR(20) NOT NULL DEFAULT 'ALLOCATED',</t>
  </si>
  <si>
    <r>
      <rPr>
        <sz val="9"/>
        <rFont val="Courier New"/>
        <family val="0"/>
        <charset val="1"/>
      </rPr>
      <t xml:space="preserve">COMMENT ON TABLE t_shipment IS '</t>
    </r>
    <r>
      <rPr>
        <sz val="9"/>
        <rFont val="WenQuanYi Zen Hei"/>
        <family val="2"/>
      </rPr>
      <t xml:space="preserve">出荷</t>
    </r>
    <r>
      <rPr>
        <sz val="9"/>
        <rFont val="Courier New"/>
        <family val="0"/>
        <charset val="1"/>
      </rPr>
      <t xml:space="preserve">';</t>
    </r>
  </si>
  <si>
    <r>
      <rPr>
        <sz val="9"/>
        <rFont val="Courier New"/>
        <family val="0"/>
        <charset val="1"/>
      </rPr>
      <t xml:space="preserve">COMMENT ON COLUMN t_shipment.id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</si>
  <si>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t_shipment.shipment_no IS '</t>
    </r>
    <r>
      <rPr>
        <sz val="9"/>
        <rFont val="WenQuanYi Zen Hei"/>
        <family val="2"/>
      </rPr>
      <t xml:space="preserve">出荷番号</t>
    </r>
    <r>
      <rPr>
        <sz val="9"/>
        <rFont val="Courier New"/>
        <family val="0"/>
        <charset val="1"/>
      </rPr>
      <t xml:space="preserve">';</t>
    </r>
  </si>
  <si>
    <r>
      <rPr>
        <sz val="9"/>
        <rFont val="Courier New"/>
        <family val="0"/>
        <charset val="1"/>
      </rPr>
      <t xml:space="preserve">COMMENT ON COLUMN t_shipment.sales_order_id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</si>
  <si>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t_shipment.customer_id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</si>
  <si>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t_shipment.ship_to_id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</si>
  <si>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t_shipment.shipped_on IS '</t>
    </r>
    <r>
      <rPr>
        <sz val="9"/>
        <rFont val="WenQuanYi Zen Hei"/>
        <family val="2"/>
      </rPr>
      <t xml:space="preserve">出荷日</t>
    </r>
    <r>
      <rPr>
        <sz val="9"/>
        <rFont val="Courier New"/>
        <family val="0"/>
        <charset val="1"/>
      </rPr>
      <t xml:space="preserve">';</t>
    </r>
  </si>
  <si>
    <r>
      <rPr>
        <sz val="9"/>
        <rFont val="Courier New"/>
        <family val="0"/>
        <charset val="1"/>
      </rPr>
      <t xml:space="preserve">COMMENT ON COLUMN t_shipment.carrier IS '</t>
    </r>
    <r>
      <rPr>
        <sz val="9"/>
        <rFont val="WenQuanYi Zen Hei"/>
        <family val="2"/>
      </rPr>
      <t xml:space="preserve">配送業者</t>
    </r>
    <r>
      <rPr>
        <sz val="9"/>
        <rFont val="Courier New"/>
        <family val="0"/>
        <charset val="1"/>
      </rPr>
      <t xml:space="preserve">';</t>
    </r>
  </si>
  <si>
    <r>
      <rPr>
        <sz val="9"/>
        <rFont val="Courier New"/>
        <family val="0"/>
        <charset val="1"/>
      </rPr>
      <t xml:space="preserve">COMMENT ON COLUMN t_shipment.tracking_no IS '</t>
    </r>
    <r>
      <rPr>
        <sz val="9"/>
        <rFont val="WenQuanYi Zen Hei"/>
        <family val="2"/>
      </rPr>
      <t xml:space="preserve">送り状番号</t>
    </r>
    <r>
      <rPr>
        <sz val="9"/>
        <rFont val="Courier New"/>
        <family val="0"/>
        <charset val="1"/>
      </rPr>
      <t xml:space="preserve">';</t>
    </r>
  </si>
  <si>
    <r>
      <rPr>
        <sz val="9"/>
        <rFont val="Courier New"/>
        <family val="0"/>
        <charset val="1"/>
      </rPr>
      <t xml:space="preserve">COMMENT ON COLUMN t_shipment.status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</si>
  <si>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t_shipment.created_at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</si>
  <si>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</si>
  <si>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</si>
  <si>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</si>
  <si>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</si>
  <si>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回収対象ロット：回収案件</t>
    </r>
    <r>
      <rPr>
        <sz val="9"/>
        <rFont val="Courier New"/>
        <family val="0"/>
        <charset val="1"/>
      </rPr>
      <t xml:space="preserve">×</t>
    </r>
    <r>
      <rPr>
        <sz val="9"/>
        <rFont val="WenQuanYi Zen Hei"/>
        <family val="2"/>
      </rPr>
      <t xml:space="preserve">ロット</t>
    </r>
  </si>
  <si>
    <t xml:space="preserve">CREATE TABLE t_recall_lot (</t>
  </si>
  <si>
    <t xml:space="preserve">  recall_id BIGINT NOT NULL REFERENCES t_recall(id),</t>
  </si>
  <si>
    <r>
      <rPr>
        <sz val="9"/>
        <rFont val="Courier New"/>
        <family val="0"/>
        <charset val="1"/>
      </rPr>
      <t xml:space="preserve">COMMENT ON TABLE t_recall_lot IS '</t>
    </r>
    <r>
      <rPr>
        <sz val="9"/>
        <rFont val="WenQuanYi Zen Hei"/>
        <family val="2"/>
      </rPr>
      <t xml:space="preserve">回収対象ロット</t>
    </r>
    <r>
      <rPr>
        <sz val="9"/>
        <rFont val="Courier New"/>
        <family val="0"/>
        <charset val="1"/>
      </rPr>
      <t xml:space="preserve">';</t>
    </r>
  </si>
  <si>
    <t xml:space="preserve">COMMENT ON COLUMN t_recall_lot.id IS 'ID';</t>
  </si>
  <si>
    <r>
      <rPr>
        <sz val="9"/>
        <rFont val="Courier New"/>
        <family val="0"/>
        <charset val="1"/>
      </rPr>
      <t xml:space="preserve">COMMENT ON COLUMN t_recall_lot.recall_id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</si>
  <si>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t_recall_lot.lot_id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</si>
  <si>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</si>
  <si>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</si>
  <si>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</si>
  <si>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</si>
  <si>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</si>
  <si>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回収対象顧客：回収案件</t>
    </r>
    <r>
      <rPr>
        <sz val="9"/>
        <rFont val="Courier New"/>
        <family val="0"/>
        <charset val="1"/>
      </rPr>
      <t xml:space="preserve">×</t>
    </r>
    <r>
      <rPr>
        <sz val="9"/>
        <rFont val="WenQuanYi Zen Hei"/>
        <family val="2"/>
      </rPr>
      <t xml:space="preserve">顧客の連絡・回収状況</t>
    </r>
  </si>
  <si>
    <t xml:space="preserve">CREATE TABLE t_recall_target (</t>
  </si>
  <si>
    <t xml:space="preserve">  shipped_qty INTEGER NOT NULL,</t>
  </si>
  <si>
    <t xml:space="preserve">  contacted_on DATE,</t>
  </si>
  <si>
    <t xml:space="preserve">  contact_method VARCHAR(20),</t>
  </si>
  <si>
    <t xml:space="preserve">  recovered_qty INTEGER NOT NULL DEFAULT 0,</t>
  </si>
  <si>
    <t xml:space="preserve">  status VARCHAR(20) NOT NULL DEFAULT 'NOT_CONTACTED',</t>
  </si>
  <si>
    <r>
      <rPr>
        <sz val="9"/>
        <rFont val="Courier New"/>
        <family val="0"/>
        <charset val="1"/>
      </rPr>
      <t xml:space="preserve">COMMENT ON TABLE t_recall_target IS '</t>
    </r>
    <r>
      <rPr>
        <sz val="9"/>
        <rFont val="WenQuanYi Zen Hei"/>
        <family val="2"/>
      </rPr>
      <t xml:space="preserve">回収対象顧客</t>
    </r>
    <r>
      <rPr>
        <sz val="9"/>
        <rFont val="Courier New"/>
        <family val="0"/>
        <charset val="1"/>
      </rPr>
      <t xml:space="preserve">';</t>
    </r>
  </si>
  <si>
    <t xml:space="preserve">COMMENT ON COLUMN t_recall_target.id IS 'ID';</t>
  </si>
  <si>
    <r>
      <rPr>
        <sz val="9"/>
        <rFont val="Courier New"/>
        <family val="0"/>
        <charset val="1"/>
      </rPr>
      <t xml:space="preserve">COMMENT ON COLUMN t_recall_target.recall_id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</si>
  <si>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t_recall_target.customer_id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</si>
  <si>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t_recall_target.lot_id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</si>
  <si>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t_recall_target.shipped_qty IS '</t>
    </r>
    <r>
      <rPr>
        <sz val="9"/>
        <rFont val="WenQuanYi Zen Hei"/>
        <family val="2"/>
      </rPr>
      <t xml:space="preserve">出荷数量</t>
    </r>
    <r>
      <rPr>
        <sz val="9"/>
        <rFont val="Courier New"/>
        <family val="0"/>
        <charset val="1"/>
      </rPr>
      <t xml:space="preserve">';</t>
    </r>
  </si>
  <si>
    <r>
      <rPr>
        <sz val="9"/>
        <rFont val="Courier New"/>
        <family val="0"/>
        <charset val="1"/>
      </rPr>
      <t xml:space="preserve">COMMENT ON COLUMN t_recall_target.contacted_on IS '</t>
    </r>
    <r>
      <rPr>
        <sz val="9"/>
        <rFont val="WenQuanYi Zen Hei"/>
        <family val="2"/>
      </rPr>
      <t xml:space="preserve">連絡日</t>
    </r>
    <r>
      <rPr>
        <sz val="9"/>
        <rFont val="Courier New"/>
        <family val="0"/>
        <charset val="1"/>
      </rPr>
      <t xml:space="preserve">';</t>
    </r>
  </si>
  <si>
    <r>
      <rPr>
        <sz val="9"/>
        <rFont val="Courier New"/>
        <family val="0"/>
        <charset val="1"/>
      </rPr>
      <t xml:space="preserve">COMMENT ON COLUMN t_recall_target.contact_method IS '</t>
    </r>
    <r>
      <rPr>
        <sz val="9"/>
        <rFont val="WenQuanYi Zen Hei"/>
        <family val="2"/>
      </rPr>
      <t xml:space="preserve">連絡方法</t>
    </r>
    <r>
      <rPr>
        <sz val="9"/>
        <rFont val="Courier New"/>
        <family val="0"/>
        <charset val="1"/>
      </rPr>
      <t xml:space="preserve">';</t>
    </r>
  </si>
  <si>
    <r>
      <rPr>
        <sz val="9"/>
        <rFont val="Courier New"/>
        <family val="0"/>
        <charset val="1"/>
      </rPr>
      <t xml:space="preserve">COMMENT ON COLUMN t_recall_target.recovered_qty IS '</t>
    </r>
    <r>
      <rPr>
        <sz val="9"/>
        <rFont val="WenQuanYi Zen Hei"/>
        <family val="2"/>
      </rPr>
      <t xml:space="preserve">回収数量</t>
    </r>
    <r>
      <rPr>
        <sz val="9"/>
        <rFont val="Courier New"/>
        <family val="0"/>
        <charset val="1"/>
      </rPr>
      <t xml:space="preserve">';</t>
    </r>
  </si>
  <si>
    <r>
      <rPr>
        <sz val="9"/>
        <rFont val="Courier New"/>
        <family val="0"/>
        <charset val="1"/>
      </rPr>
      <t xml:space="preserve">COMMENT ON COLUMN t_recall_target.status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</si>
  <si>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t_recall_target.created_at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</si>
  <si>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t_recall_target.created_by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</si>
  <si>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t_recall_target.updated_at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</si>
  <si>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t_recall_target.updated_by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</si>
  <si>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t_recall_target.version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</si>
  <si>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出荷明細：出荷明細（ロット紐付け必須）</t>
    </r>
  </si>
  <si>
    <t xml:space="preserve">CREATE TABLE t_shipment_line (</t>
  </si>
  <si>
    <t xml:space="preserve">  shipment_id BIGINT NOT NULL REFERENCES t_shipment(id),</t>
  </si>
  <si>
    <t xml:space="preserve">  sales_order_line_id BIGINT NOT NULL REFERENCES t_sales_order_line(id),</t>
  </si>
  <si>
    <t xml:space="preserve">  unit_cost NUMERIC(12,2) NOT NULL,</t>
  </si>
  <si>
    <r>
      <rPr>
        <sz val="9"/>
        <rFont val="Courier New"/>
        <family val="0"/>
        <charset val="1"/>
      </rPr>
      <t xml:space="preserve">COMMENT ON TABLE t_shipment_line IS '</t>
    </r>
    <r>
      <rPr>
        <sz val="9"/>
        <rFont val="WenQuanYi Zen Hei"/>
        <family val="2"/>
      </rPr>
      <t xml:space="preserve">出荷明細</t>
    </r>
    <r>
      <rPr>
        <sz val="9"/>
        <rFont val="Courier New"/>
        <family val="0"/>
        <charset val="1"/>
      </rPr>
      <t xml:space="preserve">';</t>
    </r>
  </si>
  <si>
    <r>
      <rPr>
        <sz val="9"/>
        <rFont val="Courier New"/>
        <family val="0"/>
        <charset val="1"/>
      </rPr>
      <t xml:space="preserve">COMMENT ON COLUMN t_shipment_line.id IS '</t>
    </r>
    <r>
      <rPr>
        <sz val="9"/>
        <rFont val="WenQuanYi Zen Hei"/>
        <family val="2"/>
      </rPr>
      <t xml:space="preserve">出荷明細</t>
    </r>
    <r>
      <rPr>
        <sz val="9"/>
        <rFont val="Courier New"/>
        <family val="0"/>
        <charset val="1"/>
      </rPr>
      <t xml:space="preserve">ID';</t>
    </r>
  </si>
  <si>
    <r>
      <rPr>
        <sz val="9"/>
        <rFont val="Courier New"/>
        <family val="0"/>
        <charset val="1"/>
      </rPr>
      <t xml:space="preserve">COMMENT ON COLUMN t_shipment_line.shipment_id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</si>
  <si>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t_shipment_line.sales_order_line_id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</si>
  <si>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t_shipment_line.product_id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</si>
  <si>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t_shipment_line.lot_id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</si>
  <si>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t_shipment_line.location_id IS '</t>
    </r>
    <r>
      <rPr>
        <sz val="9"/>
        <rFont val="WenQuanYi Zen Hei"/>
        <family val="2"/>
      </rPr>
      <t xml:space="preserve">出庫保管場所</t>
    </r>
    <r>
      <rPr>
        <sz val="9"/>
        <rFont val="Courier New"/>
        <family val="0"/>
        <charset val="1"/>
      </rPr>
      <t xml:space="preserve">ID';</t>
    </r>
  </si>
  <si>
    <r>
      <rPr>
        <sz val="9"/>
        <rFont val="Courier New"/>
        <family val="0"/>
        <charset val="1"/>
      </rPr>
      <t xml:space="preserve">COMMENT ON COLUMN t_shipment_line.quantity IS '</t>
    </r>
    <r>
      <rPr>
        <sz val="9"/>
        <rFont val="WenQuanYi Zen Hei"/>
        <family val="2"/>
      </rPr>
      <t xml:space="preserve">出荷数量</t>
    </r>
    <r>
      <rPr>
        <sz val="9"/>
        <rFont val="Courier New"/>
        <family val="0"/>
        <charset val="1"/>
      </rPr>
      <t xml:space="preserve">';</t>
    </r>
  </si>
  <si>
    <r>
      <rPr>
        <sz val="9"/>
        <rFont val="Courier New"/>
        <family val="0"/>
        <charset val="1"/>
      </rPr>
      <t xml:space="preserve">COMMENT ON COLUMN t_shipment_line.unit_price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</si>
  <si>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t_shipment_line.unit_cost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</si>
  <si>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t_shipment_line.created_at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</si>
  <si>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</si>
  <si>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</si>
  <si>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</si>
  <si>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</si>
  <si>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返品：返品（元出荷明細に紐付け）</t>
    </r>
  </si>
  <si>
    <t xml:space="preserve">CREATE TABLE t_return (</t>
  </si>
  <si>
    <t xml:space="preserve">  return_no VARCHAR(20) NOT NULL,</t>
  </si>
  <si>
    <t xml:space="preserve">  shipment_line_id BIGINT NOT NULL REFERENCES t_shipment_line(id),</t>
  </si>
  <si>
    <t xml:space="preserve">  returned_on DATE NOT NULL,</t>
  </si>
  <si>
    <t xml:space="preserve">  disposition VARCHAR(20),</t>
  </si>
  <si>
    <t xml:space="preserve">  location_id BIGINT REFERENCES m_location(id),</t>
  </si>
  <si>
    <t xml:space="preserve">  status VARCHAR(20) NOT NULL DEFAULT 'RECEIVED',</t>
  </si>
  <si>
    <r>
      <rPr>
        <sz val="9"/>
        <rFont val="Courier New"/>
        <family val="0"/>
        <charset val="1"/>
      </rPr>
      <t xml:space="preserve">COMMENT ON TABLE t_return IS '</t>
    </r>
    <r>
      <rPr>
        <sz val="9"/>
        <rFont val="WenQuanYi Zen Hei"/>
        <family val="2"/>
      </rPr>
      <t xml:space="preserve">返品</t>
    </r>
    <r>
      <rPr>
        <sz val="9"/>
        <rFont val="Courier New"/>
        <family val="0"/>
        <charset val="1"/>
      </rPr>
      <t xml:space="preserve">';</t>
    </r>
  </si>
  <si>
    <r>
      <rPr>
        <sz val="9"/>
        <rFont val="Courier New"/>
        <family val="0"/>
        <charset val="1"/>
      </rPr>
      <t xml:space="preserve">COMMENT ON COLUMN t_return.id IS '</t>
    </r>
    <r>
      <rPr>
        <sz val="9"/>
        <rFont val="WenQuanYi Zen Hei"/>
        <family val="2"/>
      </rPr>
      <t xml:space="preserve">返品</t>
    </r>
    <r>
      <rPr>
        <sz val="9"/>
        <rFont val="Courier New"/>
        <family val="0"/>
        <charset val="1"/>
      </rPr>
      <t xml:space="preserve">ID';</t>
    </r>
  </si>
  <si>
    <r>
      <rPr>
        <sz val="9"/>
        <rFont val="Courier New"/>
        <family val="0"/>
        <charset val="1"/>
      </rPr>
      <t xml:space="preserve">COMMENT ON COLUMN t_return.return_no IS '</t>
    </r>
    <r>
      <rPr>
        <sz val="9"/>
        <rFont val="WenQuanYi Zen Hei"/>
        <family val="2"/>
      </rPr>
      <t xml:space="preserve">返品番号</t>
    </r>
    <r>
      <rPr>
        <sz val="9"/>
        <rFont val="Courier New"/>
        <family val="0"/>
        <charset val="1"/>
      </rPr>
      <t xml:space="preserve">';</t>
    </r>
  </si>
  <si>
    <r>
      <rPr>
        <sz val="9"/>
        <rFont val="Courier New"/>
        <family val="0"/>
        <charset val="1"/>
      </rPr>
      <t xml:space="preserve">COMMENT ON COLUMN t_return.shipment_line_id IS '</t>
    </r>
    <r>
      <rPr>
        <sz val="9"/>
        <rFont val="WenQuanYi Zen Hei"/>
        <family val="2"/>
      </rPr>
      <t xml:space="preserve">元出荷明細</t>
    </r>
    <r>
      <rPr>
        <sz val="9"/>
        <rFont val="Courier New"/>
        <family val="0"/>
        <charset val="1"/>
      </rPr>
      <t xml:space="preserve">ID';</t>
    </r>
  </si>
  <si>
    <r>
      <rPr>
        <sz val="9"/>
        <rFont val="Courier New"/>
        <family val="0"/>
        <charset val="1"/>
      </rPr>
      <t xml:space="preserve">COMMENT ON COLUMN t_return.returned_on IS '</t>
    </r>
    <r>
      <rPr>
        <sz val="9"/>
        <rFont val="WenQuanYi Zen Hei"/>
        <family val="2"/>
      </rPr>
      <t xml:space="preserve">返品日</t>
    </r>
    <r>
      <rPr>
        <sz val="9"/>
        <rFont val="Courier New"/>
        <family val="0"/>
        <charset val="1"/>
      </rPr>
      <t xml:space="preserve">';</t>
    </r>
  </si>
  <si>
    <r>
      <rPr>
        <sz val="9"/>
        <rFont val="Courier New"/>
        <family val="0"/>
        <charset val="1"/>
      </rPr>
      <t xml:space="preserve">COMMENT ON COLUMN t_return.quantity IS '</t>
    </r>
    <r>
      <rPr>
        <sz val="9"/>
        <rFont val="WenQuanYi Zen Hei"/>
        <family val="2"/>
      </rPr>
      <t xml:space="preserve">返品数量</t>
    </r>
    <r>
      <rPr>
        <sz val="9"/>
        <rFont val="Courier New"/>
        <family val="0"/>
        <charset val="1"/>
      </rPr>
      <t xml:space="preserve">';</t>
    </r>
  </si>
  <si>
    <r>
      <rPr>
        <sz val="9"/>
        <rFont val="Courier New"/>
        <family val="0"/>
        <charset val="1"/>
      </rPr>
      <t xml:space="preserve">COMMENT ON COLUMN t_return.reason IS '</t>
    </r>
    <r>
      <rPr>
        <sz val="9"/>
        <rFont val="WenQuanYi Zen Hei"/>
        <family val="2"/>
      </rPr>
      <t xml:space="preserve">返品理由</t>
    </r>
    <r>
      <rPr>
        <sz val="9"/>
        <rFont val="Courier New"/>
        <family val="0"/>
        <charset val="1"/>
      </rPr>
      <t xml:space="preserve">';</t>
    </r>
  </si>
  <si>
    <r>
      <rPr>
        <sz val="9"/>
        <rFont val="Courier New"/>
        <family val="0"/>
        <charset val="1"/>
      </rPr>
      <t xml:space="preserve">COMMENT ON COLUMN t_return.disposition IS '</t>
    </r>
    <r>
      <rPr>
        <sz val="9"/>
        <rFont val="WenQuanYi Zen Hei"/>
        <family val="2"/>
      </rPr>
      <t xml:space="preserve">処置</t>
    </r>
    <r>
      <rPr>
        <sz val="9"/>
        <rFont val="Courier New"/>
        <family val="0"/>
        <charset val="1"/>
      </rPr>
      <t xml:space="preserve">';</t>
    </r>
  </si>
  <si>
    <r>
      <rPr>
        <sz val="9"/>
        <rFont val="Courier New"/>
        <family val="0"/>
        <charset val="1"/>
      </rPr>
      <t xml:space="preserve">COMMENT ON COLUMN t_return.location_id IS '</t>
    </r>
    <r>
      <rPr>
        <sz val="9"/>
        <rFont val="WenQuanYi Zen Hei"/>
        <family val="2"/>
      </rPr>
      <t xml:space="preserve">戻し保管場所</t>
    </r>
    <r>
      <rPr>
        <sz val="9"/>
        <rFont val="Courier New"/>
        <family val="0"/>
        <charset val="1"/>
      </rPr>
      <t xml:space="preserve">ID';</t>
    </r>
  </si>
  <si>
    <r>
      <rPr>
        <sz val="9"/>
        <rFont val="Courier New"/>
        <family val="0"/>
        <charset val="1"/>
      </rPr>
      <t xml:space="preserve">COMMENT ON COLUMN t_return.status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</si>
  <si>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t_return.created_at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</si>
  <si>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t_return.created_by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</si>
  <si>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t_return.updated_at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</si>
  <si>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t_return.updated_by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</si>
  <si>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t_return.version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</si>
  <si>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一意制約・</t>
    </r>
    <r>
      <rPr>
        <sz val="9"/>
        <rFont val="Courier New"/>
        <family val="0"/>
        <charset val="1"/>
      </rPr>
      <t xml:space="preserve">CHECK</t>
    </r>
    <r>
      <rPr>
        <sz val="9"/>
        <rFont val="WenQuanYi Zen Hei"/>
        <family val="2"/>
      </rPr>
      <t xml:space="preserve">・インデックス</t>
    </r>
  </si>
  <si>
    <t xml:space="preserve">ALTER TABLE m_supplier ADD CONSTRAINT uq_supplier_code UNIQUE (supplier_code);</t>
  </si>
  <si>
    <t xml:space="preserve">ALTER TABLE m_product ADD CONSTRAINT uq_product_code UNIQUE (product_code);</t>
  </si>
  <si>
    <t xml:space="preserve">ALTER TABLE m_customer ADD CONSTRAINT uq_customer_code UNIQUE (customer_code);</t>
  </si>
  <si>
    <t xml:space="preserve">ALTER TABLE m_customer ADD CONSTRAINT ck_customer_medical_code CHECK (customer_type&lt;&gt;'MEDICAL' OR medical_inst_code IS NOT NULL);</t>
  </si>
  <si>
    <t xml:space="preserve">CREATE UNIQUE INDEX uq_ship_to_default ON m_ship_to (customer_id) WHERE is_default;</t>
  </si>
  <si>
    <t xml:space="preserve">ALTER TABLE m_location ADD CONSTRAINT uq_location_code UNIQUE (location_code);</t>
  </si>
  <si>
    <t xml:space="preserve">ALTER TABLE m_location ADD CONSTRAINT ck_location_temp CHECK (temp_min &lt; temp_max);</t>
  </si>
  <si>
    <t xml:space="preserve">ALTER TABLE m_sales_rule ADD CONSTRAINT uq_sales_rule UNIQUE (regulatory_class, customer_type);</t>
  </si>
  <si>
    <t xml:space="preserve">ALTER TABLE m_user ADD CONSTRAINT uq_user_email UNIQUE (email);</t>
  </si>
  <si>
    <t xml:space="preserve">ALTER TABLE t_purchase_order ADD CONSTRAINT uq_po_no UNIQUE (po_no);</t>
  </si>
  <si>
    <t xml:space="preserve">ALTER TABLE t_purchase_order_line ADD CONSTRAINT uq_po_line UNIQUE (purchase_order_id, line_no);</t>
  </si>
  <si>
    <t xml:space="preserve">ALTER TABLE t_receipt ADD CONSTRAINT uq_receipt_no UNIQUE (receipt_no);</t>
  </si>
  <si>
    <t xml:space="preserve">ALTER TABLE t_lot ADD CONSTRAINT uq_lot_no UNIQUE (lot_no);</t>
  </si>
  <si>
    <t xml:space="preserve">ALTER TABLE t_lot ADD CONSTRAINT uq_lot_supplier_lot UNIQUE (supplier_id, product_id, supplier_lot_no);</t>
  </si>
  <si>
    <t xml:space="preserve">CREATE INDEX ix_lot_product_status_exp ON t_lot (product_id, status, expires_on);</t>
  </si>
  <si>
    <t xml:space="preserve">ALTER TABLE t_inventory ADD CONSTRAINT uq_inventory_lot_loc UNIQUE (lot_id, location_id);</t>
  </si>
  <si>
    <t xml:space="preserve">ALTER TABLE t_inventory ADD CONSTRAINT ck_inventory_qty CHECK (on_hand_qty &gt;= 0 AND 0 &lt;= allocated_qty AND allocated_qty &lt;= on_hand_qty);</t>
  </si>
  <si>
    <t xml:space="preserve">CREATE INDEX ix_movement_lot_loc ON t_stock_movement (lot_id, location_id, moved_at);</t>
  </si>
  <si>
    <t xml:space="preserve">CREATE INDEX ix_movement_ref ON t_stock_movement (ref_type, ref_id);</t>
  </si>
  <si>
    <t xml:space="preserve">ALTER TABLE t_sales_order ADD CONSTRAINT uq_so_no UNIQUE (so_no);</t>
  </si>
  <si>
    <t xml:space="preserve">CREATE INDEX ix_so_customer_date ON t_sales_order (customer_id, order_date);</t>
  </si>
  <si>
    <t xml:space="preserve">ALTER TABLE t_sales_order_line ADD CONSTRAINT uq_so_line UNIQUE (sales_order_id, line_no);</t>
  </si>
  <si>
    <t xml:space="preserve">ALTER TABLE t_shipment ADD CONSTRAINT uq_shipment_no UNIQUE (shipment_no);</t>
  </si>
  <si>
    <t xml:space="preserve">CREATE INDEX ix_shipment_customer_date ON t_shipment (customer_id, shipped_on);</t>
  </si>
  <si>
    <t xml:space="preserve">CREATE INDEX ix_shipment_line_lot ON t_shipment_line (lot_id);</t>
  </si>
  <si>
    <t xml:space="preserve">ALTER TABLE t_shipment_line ADD CONSTRAINT ck_shipment_line_qty CHECK (quantity &gt; 0);</t>
  </si>
  <si>
    <t xml:space="preserve">ALTER TABLE t_return ADD CONSTRAINT uq_return_no UNIQUE (return_no);</t>
  </si>
  <si>
    <t xml:space="preserve">CREATE INDEX ix_return_shipment_line ON t_return (shipment_line_id);</t>
  </si>
  <si>
    <t xml:space="preserve">ALTER TABLE t_recall ADD CONSTRAINT uq_recall_no UNIQUE (recall_no);</t>
  </si>
  <si>
    <t xml:space="preserve">ALTER TABLE t_recall_lot ADD CONSTRAINT uq_recall_lot UNIQUE (recall_id, lot_id);</t>
  </si>
  <si>
    <t xml:space="preserve">ALTER TABLE t_recall_target ADD CONSTRAINT uq_recall_target UNIQUE (recall_id, customer_id, lot_id);</t>
  </si>
  <si>
    <t xml:space="preserve">CREATE INDEX ix_temp_location_time ON t_temperature_log (location_id, measured_at);</t>
  </si>
  <si>
    <t xml:space="preserve">CREATE INDEX ix_attachment_owner ON t_attachment (owner_type, owner_id);</t>
  </si>
  <si>
    <t xml:space="preserve">CREATE INDEX ix_audit_target ON t_audit_log (target_table, target_id, occurred_at);</t>
  </si>
  <si>
    <t xml:space="preserve">CREATE INDEX ix_audit_user_time ON t_audit_log (user_id, occurred_at);</t>
  </si>
  <si>
    <r>
      <rPr>
        <b val="true"/>
        <sz val="11"/>
        <color rgb="FF1F4E5F"/>
        <rFont val="WenQuanYi Zen Hei"/>
        <family val="2"/>
      </rPr>
      <t xml:space="preserve">主要</t>
    </r>
    <r>
      <rPr>
        <b val="true"/>
        <sz val="11"/>
        <color rgb="FF1F4E5F"/>
        <rFont val="Arial"/>
        <family val="0"/>
        <charset val="1"/>
      </rPr>
      <t xml:space="preserve">SQL</t>
    </r>
  </si>
  <si>
    <t xml:space="preserve">SQL ID</t>
  </si>
  <si>
    <t xml:space="preserve">用途</t>
  </si>
  <si>
    <t xml:space="preserve">SQL</t>
  </si>
  <si>
    <t xml:space="preserve">SQL-01</t>
  </si>
  <si>
    <t xml:space="preserve">ロット→出荷先顧客（前方追跡）</t>
  </si>
  <si>
    <t xml:space="preserve">SELECT c.customer_code, c.name AS customer_name, st.name AS ship_to_name, s.shipment_no, s.shipped_on,
       sl.quantity AS shipped_qty,
       COALESCE(SUM(r.quantity), 0) AS returned_qty,
       sl.quantity - COALESCE(SUM(r.quantity), 0) AS net_qty
FROM t_shipment_line sl
JOIN t_shipment s ON s.id = sl.shipment_id AND s.status = 'SHIPPED'
JOIN m_customer c ON c.id = s.customer_id
JOIN m_ship_to st ON st.id = s.ship_to_id
LEFT JOIN t_return r ON r.shipment_line_id = sl.id
WHERE sl.lot_id = :lot_id
GROUP BY c.customer_code, c.name, st.name, s.shipment_no, s.shipped_on, sl.id, sl.quantity
ORDER BY s.shipped_on;</t>
  </si>
  <si>
    <t xml:space="preserve">SQL-02</t>
  </si>
  <si>
    <t xml:space="preserve">顧客→購入ロット（後方追跡）</t>
  </si>
  <si>
    <t xml:space="preserve">SELECT s.shipped_on, p.product_code, p.name AS product_name, l.lot_no, l.supplier_lot_no,
       l.expires_on, l.status AS lot_status, sl.quantity
FROM t_shipment s
JOIN t_shipment_line sl ON sl.shipment_id = s.id
JOIN t_lot l ON l.id = sl.lot_id
JOIN m_product p ON p.id = sl.product_id
WHERE s.customer_id = :customer_id AND s.status = 'SHIPPED'
  AND s.shipped_on BETWEEN :from AND :to
ORDER BY s.shipped_on DESC;</t>
  </si>
  <si>
    <t xml:space="preserve">SQL-03</t>
  </si>
  <si>
    <t xml:space="preserve">INSERT INTO t_recall_target (recall_id, customer_id, lot_id, shipped_qty, recovered_qty, status, created_by, updated_by)
SELECT :recall_id, s.customer_id, sl.lot_id, SUM(sl.quantity) - COALESCE(SUM(rt.returned), 0), 0, 'NOT_CONTACTED', :user_id, :user_id
FROM t_recall_lot rl
JOIN t_shipment_line sl ON sl.lot_id = rl.lot_id
JOIN t_shipment s ON s.id = sl.shipment_id AND s.status = 'SHIPPED'
LEFT JOIN (SELECT shipment_line_id, SUM(quantity) AS returned FROM t_return GROUP BY shipment_line_id) rt
       ON rt.shipment_line_id = sl.id
WHERE rl.recall_id = :recall_id
GROUP BY s.customer_id, sl.lot_id
HAVING SUM(sl.quantity) - COALESCE(SUM(rt.returned), 0) &gt; 0
ON CONFLICT (recall_id, customer_id, lot_id) DO NOTHING;</t>
  </si>
  <si>
    <t xml:space="preserve">SQL-04</t>
  </si>
  <si>
    <t xml:space="preserve">在庫整合性チェック（日次バッチ）</t>
  </si>
  <si>
    <t xml:space="preserve">SELECT i.lot_id, i.location_id, i.on_hand_qty, COALESCE(SUM(m.quantity), 0) AS movement_total
FROM t_inventory i
LEFT JOIN t_stock_movement m ON m.lot_id = i.lot_id AND m.location_id = i.location_id
GROUP BY i.lot_id, i.location_id, i.on_hand_qty
HAVING i.on_hand_qty &lt;&gt; COALESCE(SUM(m.quantity), 0);</t>
  </si>
  <si>
    <r>
      <rPr>
        <i val="true"/>
        <sz val="9"/>
        <color rgb="FF595959"/>
        <rFont val="Arial"/>
        <family val="0"/>
        <charset val="1"/>
      </rPr>
      <t xml:space="preserve">DB</t>
    </r>
    <r>
      <rPr>
        <i val="true"/>
        <sz val="9"/>
        <color rgb="FF595959"/>
        <rFont val="WenQuanYi Zen Hei"/>
        <family val="2"/>
      </rPr>
      <t xml:space="preserve">にはコード（英字）を格納し、画面・帳票では名称を表示する</t>
    </r>
  </si>
  <si>
    <t xml:space="preserve">コード種別</t>
  </si>
  <si>
    <t xml:space="preserve">コード</t>
  </si>
  <si>
    <t xml:space="preserve">名称</t>
  </si>
  <si>
    <t xml:space="preserve">ADIPOSE</t>
  </si>
  <si>
    <t xml:space="preserve">ヒト脂肪由来幹細胞</t>
  </si>
  <si>
    <t xml:space="preserve">UMBILICAL</t>
  </si>
  <si>
    <t xml:space="preserve">ヒト臍帯由来</t>
  </si>
  <si>
    <t xml:space="preserve">DENTAL_PULP</t>
  </si>
  <si>
    <t xml:space="preserve">ヒト歯髄由来</t>
  </si>
  <si>
    <t xml:space="preserve">BONE_MARROW</t>
  </si>
  <si>
    <t xml:space="preserve">ヒト骨髄由来</t>
  </si>
  <si>
    <t xml:space="preserve">PLANT</t>
  </si>
  <si>
    <t xml:space="preserve">植物由来</t>
  </si>
  <si>
    <t xml:space="preserve">OTHER</t>
  </si>
  <si>
    <t xml:space="preserve">その他</t>
  </si>
  <si>
    <t xml:space="preserve">FROZEN</t>
  </si>
  <si>
    <t xml:space="preserve">凍結液</t>
  </si>
  <si>
    <t xml:space="preserve">LYOPHILIZED</t>
  </si>
  <si>
    <t xml:space="preserve">凍結乾燥</t>
  </si>
  <si>
    <t xml:space="preserve">LIQUID</t>
  </si>
  <si>
    <t xml:space="preserve">液体（冷蔵）</t>
  </si>
  <si>
    <t xml:space="preserve">管理者</t>
  </si>
  <si>
    <t xml:space="preserve">品質保証</t>
  </si>
  <si>
    <t xml:space="preserve">VIEWER</t>
  </si>
  <si>
    <t xml:space="preserve">閲覧者</t>
  </si>
  <si>
    <t xml:space="preserve">MEDICAL</t>
  </si>
  <si>
    <t xml:space="preserve">医療機関</t>
  </si>
  <si>
    <t xml:space="preserve">医療機関コード必須</t>
  </si>
  <si>
    <t xml:space="preserve">SALON</t>
  </si>
  <si>
    <t xml:space="preserve">サロン</t>
  </si>
  <si>
    <t xml:space="preserve">DISTRIBUTOR</t>
  </si>
  <si>
    <t xml:space="preserve">代理店</t>
  </si>
  <si>
    <t xml:space="preserve">代理店経由の最終販売先は代理店側の管理範囲（課題 参照）</t>
  </si>
  <si>
    <t xml:space="preserve">RESEARCH</t>
  </si>
  <si>
    <t xml:space="preserve">研究機関</t>
  </si>
  <si>
    <t xml:space="preserve">COSMETIC_RAW</t>
  </si>
  <si>
    <t xml:space="preserve">化粧品原料</t>
  </si>
  <si>
    <t xml:space="preserve">RESEARCH_USE</t>
  </si>
  <si>
    <t xml:space="preserve">研究用</t>
  </si>
  <si>
    <t xml:space="preserve">研究用途以外への販売不可</t>
  </si>
  <si>
    <t xml:space="preserve">MEDICAL_USE</t>
  </si>
  <si>
    <t xml:space="preserve">医療機関向け</t>
  </si>
  <si>
    <t xml:space="preserve">医療機関のみ販売可</t>
  </si>
  <si>
    <t xml:space="preserve">M80</t>
  </si>
  <si>
    <t xml:space="preserve">-80℃</t>
  </si>
  <si>
    <r>
      <rPr>
        <sz val="10"/>
        <rFont val="WenQuanYi Zen Hei"/>
        <family val="2"/>
      </rPr>
      <t xml:space="preserve">許容例：</t>
    </r>
    <r>
      <rPr>
        <sz val="10"/>
        <rFont val="Arial"/>
        <family val="0"/>
        <charset val="1"/>
      </rPr>
      <t xml:space="preserve">-90</t>
    </r>
    <r>
      <rPr>
        <sz val="10"/>
        <rFont val="WenQuanYi Zen Hei"/>
        <family val="2"/>
      </rPr>
      <t xml:space="preserve">〜</t>
    </r>
    <r>
      <rPr>
        <sz val="10"/>
        <rFont val="Arial"/>
        <family val="0"/>
        <charset val="1"/>
      </rPr>
      <t xml:space="preserve">-60℃</t>
    </r>
  </si>
  <si>
    <t xml:space="preserve">M20</t>
  </si>
  <si>
    <t xml:space="preserve">-20℃</t>
  </si>
  <si>
    <r>
      <rPr>
        <sz val="10"/>
        <rFont val="WenQuanYi Zen Hei"/>
        <family val="2"/>
      </rPr>
      <t xml:space="preserve">許容例：</t>
    </r>
    <r>
      <rPr>
        <sz val="10"/>
        <rFont val="Arial"/>
        <family val="0"/>
        <charset val="1"/>
      </rPr>
      <t xml:space="preserve">-30</t>
    </r>
    <r>
      <rPr>
        <sz val="10"/>
        <rFont val="WenQuanYi Zen Hei"/>
        <family val="2"/>
      </rPr>
      <t xml:space="preserve">〜</t>
    </r>
    <r>
      <rPr>
        <sz val="10"/>
        <rFont val="Arial"/>
        <family val="0"/>
        <charset val="1"/>
      </rPr>
      <t xml:space="preserve">-15℃</t>
    </r>
  </si>
  <si>
    <t xml:space="preserve">COLD</t>
  </si>
  <si>
    <t xml:space="preserve">2-8℃</t>
  </si>
  <si>
    <r>
      <rPr>
        <sz val="10"/>
        <rFont val="WenQuanYi Zen Hei"/>
        <family val="2"/>
      </rPr>
      <t xml:space="preserve">許容例：</t>
    </r>
    <r>
      <rPr>
        <sz val="10"/>
        <rFont val="Arial"/>
        <family val="0"/>
        <charset val="1"/>
      </rPr>
      <t xml:space="preserve">2</t>
    </r>
    <r>
      <rPr>
        <sz val="10"/>
        <rFont val="WenQuanYi Zen Hei"/>
        <family val="2"/>
      </rPr>
      <t xml:space="preserve">〜</t>
    </r>
    <r>
      <rPr>
        <sz val="10"/>
        <rFont val="Arial"/>
        <family val="0"/>
        <charset val="1"/>
      </rPr>
      <t xml:space="preserve">8℃</t>
    </r>
  </si>
  <si>
    <t xml:space="preserve">RT</t>
  </si>
  <si>
    <t xml:space="preserve">室温</t>
  </si>
  <si>
    <r>
      <rPr>
        <sz val="10"/>
        <rFont val="WenQuanYi Zen Hei"/>
        <family val="2"/>
      </rPr>
      <t xml:space="preserve">許容例：</t>
    </r>
    <r>
      <rPr>
        <sz val="10"/>
        <rFont val="Arial"/>
        <family val="0"/>
        <charset val="1"/>
      </rPr>
      <t xml:space="preserve">1</t>
    </r>
    <r>
      <rPr>
        <sz val="10"/>
        <rFont val="WenQuanYi Zen Hei"/>
        <family val="2"/>
      </rPr>
      <t xml:space="preserve">〜</t>
    </r>
    <r>
      <rPr>
        <sz val="10"/>
        <rFont val="Arial"/>
        <family val="0"/>
        <charset val="1"/>
      </rPr>
      <t xml:space="preserve">30℃</t>
    </r>
  </si>
  <si>
    <t xml:space="preserve">検品待ち</t>
  </si>
  <si>
    <t xml:space="preserve">引当不可</t>
  </si>
  <si>
    <t xml:space="preserve">RELEASED</t>
  </si>
  <si>
    <t xml:space="preserve">合格</t>
  </si>
  <si>
    <t xml:space="preserve">引当可</t>
  </si>
  <si>
    <t xml:space="preserve">HOLD</t>
  </si>
  <si>
    <t xml:space="preserve">REJECTED</t>
  </si>
  <si>
    <t xml:space="preserve">不合格</t>
  </si>
  <si>
    <t xml:space="preserve">RECALLED</t>
  </si>
  <si>
    <t xml:space="preserve">引当不可・出荷停止</t>
  </si>
  <si>
    <t xml:space="preserve">EXPIRED</t>
  </si>
  <si>
    <t xml:space="preserve">期限切れ</t>
  </si>
  <si>
    <t xml:space="preserve">RECEIPT</t>
  </si>
  <si>
    <t xml:space="preserve">＋</t>
  </si>
  <si>
    <t xml:space="preserve">SHIPMENT</t>
  </si>
  <si>
    <t xml:space="preserve">−</t>
  </si>
  <si>
    <t xml:space="preserve">TRANSFER_OUT</t>
  </si>
  <si>
    <t xml:space="preserve">移動出</t>
  </si>
  <si>
    <t xml:space="preserve">TRANSFER_IN</t>
  </si>
  <si>
    <t xml:space="preserve">移動入</t>
  </si>
  <si>
    <t xml:space="preserve">ADJUST</t>
  </si>
  <si>
    <t xml:space="preserve">棚卸調整</t>
  </si>
  <si>
    <r>
      <rPr>
        <sz val="10"/>
        <rFont val="Arial"/>
        <family val="0"/>
        <charset val="1"/>
      </rPr>
      <t xml:space="preserve">±</t>
    </r>
    <r>
      <rPr>
        <sz val="10"/>
        <rFont val="WenQuanYi Zen Hei"/>
        <family val="2"/>
      </rPr>
      <t xml:space="preserve">、理由必須</t>
    </r>
  </si>
  <si>
    <t xml:space="preserve">DISPOSE</t>
  </si>
  <si>
    <t xml:space="preserve">廃棄</t>
  </si>
  <si>
    <t xml:space="preserve">−、理由必須</t>
  </si>
  <si>
    <t xml:space="preserve">RETURN</t>
  </si>
  <si>
    <t xml:space="preserve">返品戻し</t>
  </si>
  <si>
    <t xml:space="preserve">CANCEL</t>
  </si>
  <si>
    <t xml:space="preserve">取消（赤伝）</t>
  </si>
  <si>
    <t xml:space="preserve">元伝票の逆符号</t>
  </si>
  <si>
    <r>
      <rPr>
        <i val="true"/>
        <sz val="9"/>
        <color rgb="FF595959"/>
        <rFont val="Arial"/>
        <family val="0"/>
        <charset val="1"/>
      </rPr>
      <t xml:space="preserve">C</t>
    </r>
    <r>
      <rPr>
        <i val="true"/>
        <sz val="9"/>
        <color rgb="FF595959"/>
        <rFont val="WenQuanYi Zen Hei"/>
        <family val="2"/>
      </rPr>
      <t xml:space="preserve">＝登録</t>
    </r>
    <r>
      <rPr>
        <i val="true"/>
        <sz val="9"/>
        <color rgb="FF595959"/>
        <rFont val="Arial"/>
        <family val="0"/>
        <charset val="1"/>
      </rPr>
      <t xml:space="preserve">/</t>
    </r>
    <r>
      <rPr>
        <i val="true"/>
        <sz val="9"/>
        <color rgb="FF595959"/>
        <rFont val="WenQuanYi Zen Hei"/>
        <family val="2"/>
      </rPr>
      <t xml:space="preserve">更新</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A</t>
    </r>
    <r>
      <rPr>
        <i val="true"/>
        <sz val="9"/>
        <color rgb="FF595959"/>
        <rFont val="WenQuanYi Zen Hei"/>
        <family val="2"/>
      </rPr>
      <t xml:space="preserve">＝承認・判定</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R</t>
    </r>
    <r>
      <rPr>
        <i val="true"/>
        <sz val="9"/>
        <color rgb="FF595959"/>
        <rFont val="WenQuanYi Zen Hei"/>
        <family val="2"/>
      </rPr>
      <t xml:space="preserve">＝参照のみ　</t>
    </r>
    <r>
      <rPr>
        <i val="true"/>
        <sz val="9"/>
        <color rgb="FF595959"/>
        <rFont val="Arial"/>
        <family val="0"/>
        <charset val="1"/>
      </rPr>
      <t xml:space="preserve">-</t>
    </r>
    <r>
      <rPr>
        <i val="true"/>
        <sz val="9"/>
        <color rgb="FF595959"/>
        <rFont val="WenQuanYi Zen Hei"/>
        <family val="2"/>
      </rPr>
      <t xml:space="preserve">＝利用不可</t>
    </r>
  </si>
  <si>
    <r>
      <rPr>
        <b val="true"/>
        <sz val="10"/>
        <color rgb="FFFFFFFF"/>
        <rFont val="WenQuanYi Zen Hei"/>
        <family val="2"/>
      </rPr>
      <t xml:space="preserve">管理者
</t>
    </r>
    <r>
      <rPr>
        <b val="true"/>
        <sz val="10"/>
        <color rgb="FFFFFFFF"/>
        <rFont val="Arial"/>
        <family val="0"/>
        <charset val="1"/>
      </rPr>
      <t xml:space="preserve">ADMIN</t>
    </r>
  </si>
  <si>
    <r>
      <rPr>
        <b val="true"/>
        <sz val="10"/>
        <color rgb="FFFFFFFF"/>
        <rFont val="WenQuanYi Zen Hei"/>
        <family val="2"/>
      </rPr>
      <t xml:space="preserve">仕入担当
</t>
    </r>
    <r>
      <rPr>
        <b val="true"/>
        <sz val="10"/>
        <color rgb="FFFFFFFF"/>
        <rFont val="Arial"/>
        <family val="0"/>
        <charset val="1"/>
      </rPr>
      <t xml:space="preserve">PURCHASE</t>
    </r>
  </si>
  <si>
    <r>
      <rPr>
        <b val="true"/>
        <sz val="10"/>
        <color rgb="FFFFFFFF"/>
        <rFont val="WenQuanYi Zen Hei"/>
        <family val="2"/>
      </rPr>
      <t xml:space="preserve">倉庫担当
</t>
    </r>
    <r>
      <rPr>
        <b val="true"/>
        <sz val="10"/>
        <color rgb="FFFFFFFF"/>
        <rFont val="Arial"/>
        <family val="0"/>
        <charset val="1"/>
      </rPr>
      <t xml:space="preserve">WAREHOUSE</t>
    </r>
  </si>
  <si>
    <r>
      <rPr>
        <b val="true"/>
        <sz val="10"/>
        <color rgb="FFFFFFFF"/>
        <rFont val="WenQuanYi Zen Hei"/>
        <family val="2"/>
      </rPr>
      <t xml:space="preserve">営業担当
</t>
    </r>
    <r>
      <rPr>
        <b val="true"/>
        <sz val="10"/>
        <color rgb="FFFFFFFF"/>
        <rFont val="Arial"/>
        <family val="0"/>
        <charset val="1"/>
      </rPr>
      <t xml:space="preserve">SALES</t>
    </r>
  </si>
  <si>
    <r>
      <rPr>
        <b val="true"/>
        <sz val="10"/>
        <color rgb="FFFFFFFF"/>
        <rFont val="WenQuanYi Zen Hei"/>
        <family val="2"/>
      </rPr>
      <t xml:space="preserve">品質保証
</t>
    </r>
    <r>
      <rPr>
        <b val="true"/>
        <sz val="10"/>
        <color rgb="FFFFFFFF"/>
        <rFont val="Arial"/>
        <family val="0"/>
        <charset val="1"/>
      </rPr>
      <t xml:space="preserve">QA</t>
    </r>
  </si>
  <si>
    <r>
      <rPr>
        <b val="true"/>
        <sz val="10"/>
        <color rgb="FFFFFFFF"/>
        <rFont val="WenQuanYi Zen Hei"/>
        <family val="2"/>
      </rPr>
      <t xml:space="preserve">閲覧者
</t>
    </r>
    <r>
      <rPr>
        <b val="true"/>
        <sz val="10"/>
        <color rgb="FFFFFFFF"/>
        <rFont val="Arial"/>
        <family val="0"/>
        <charset val="1"/>
      </rPr>
      <t xml:space="preserve">VIEWER</t>
    </r>
  </si>
  <si>
    <t xml:space="preserve">C</t>
  </si>
  <si>
    <t xml:space="preserve">R</t>
  </si>
  <si>
    <t xml:space="preserve">-</t>
  </si>
  <si>
    <t xml:space="preserve">A</t>
  </si>
  <si>
    <r>
      <rPr>
        <i val="true"/>
        <sz val="9"/>
        <color rgb="FF595959"/>
        <rFont val="Arial"/>
        <family val="0"/>
        <charset val="1"/>
      </rPr>
      <t xml:space="preserve">{xxx} </t>
    </r>
    <r>
      <rPr>
        <i val="true"/>
        <sz val="9"/>
        <color rgb="FF595959"/>
        <rFont val="WenQuanYi Zen Hei"/>
        <family val="2"/>
      </rPr>
      <t xml:space="preserve">は実行時に値を埋め込む</t>
    </r>
  </si>
  <si>
    <r>
      <rPr>
        <b val="true"/>
        <sz val="10"/>
        <color rgb="FFFFFFFF"/>
        <rFont val="WenQuanYi Zen Hei"/>
        <family val="2"/>
      </rPr>
      <t xml:space="preserve">メッセージ</t>
    </r>
    <r>
      <rPr>
        <b val="true"/>
        <sz val="10"/>
        <color rgb="FFFFFFFF"/>
        <rFont val="Arial"/>
        <family val="0"/>
        <charset val="1"/>
      </rPr>
      <t xml:space="preserve">ID</t>
    </r>
  </si>
  <si>
    <t xml:space="preserve">メッセージ</t>
  </si>
  <si>
    <t xml:space="preserve">発生条件</t>
  </si>
  <si>
    <t xml:space="preserve">エラー</t>
  </si>
  <si>
    <t xml:space="preserve">他のユーザーにより更新されたか、処理できない状態です。画面を再読込してください。</t>
  </si>
  <si>
    <t xml:space="preserve">ステータス不一致・楽観ロック競合</t>
  </si>
  <si>
    <r>
      <rPr>
        <sz val="10"/>
        <rFont val="WenQuanYi Zen Hei"/>
        <family val="2"/>
      </rPr>
      <t xml:space="preserve">同じ仕入先ロット番号のロットが既に登録されています（</t>
    </r>
    <r>
      <rPr>
        <sz val="10"/>
        <rFont val="Arial"/>
        <family val="0"/>
        <charset val="1"/>
      </rPr>
      <t xml:space="preserve">{lot_no}</t>
    </r>
    <r>
      <rPr>
        <sz val="10"/>
        <rFont val="WenQuanYi Zen Hei"/>
        <family val="2"/>
      </rPr>
      <t xml:space="preserve">）。</t>
    </r>
  </si>
  <si>
    <r>
      <rPr>
        <sz val="10"/>
        <rFont val="Arial"/>
        <family val="0"/>
        <charset val="1"/>
      </rPr>
      <t xml:space="preserve">BR-15 </t>
    </r>
    <r>
      <rPr>
        <sz val="10"/>
        <rFont val="WenQuanYi Zen Hei"/>
        <family val="2"/>
      </rPr>
      <t xml:space="preserve">重複</t>
    </r>
  </si>
  <si>
    <t xml:space="preserve">MSG-E06</t>
  </si>
  <si>
    <t xml:space="preserve">使用期限は入荷日より後の日付を入力してください。</t>
  </si>
  <si>
    <r>
      <rPr>
        <sz val="10"/>
        <rFont val="WenQuanYi Zen Hei"/>
        <family val="2"/>
      </rPr>
      <t xml:space="preserve">使用期限 </t>
    </r>
    <r>
      <rPr>
        <sz val="10"/>
        <rFont val="Arial"/>
        <family val="0"/>
        <charset val="1"/>
      </rPr>
      <t xml:space="preserve">&lt;= </t>
    </r>
    <r>
      <rPr>
        <sz val="10"/>
        <rFont val="WenQuanYi Zen Hei"/>
        <family val="2"/>
      </rPr>
      <t xml:space="preserve">入荷日</t>
    </r>
  </si>
  <si>
    <r>
      <rPr>
        <sz val="10"/>
        <rFont val="WenQuanYi Zen Hei"/>
        <family val="2"/>
      </rPr>
      <t xml:space="preserve">保管場所「</t>
    </r>
    <r>
      <rPr>
        <sz val="10"/>
        <rFont val="Arial"/>
        <family val="0"/>
        <charset val="1"/>
      </rPr>
      <t xml:space="preserve">{location}</t>
    </r>
    <r>
      <rPr>
        <sz val="10"/>
        <rFont val="WenQuanYi Zen Hei"/>
        <family val="2"/>
      </rPr>
      <t xml:space="preserve">」の温度区分（</t>
    </r>
    <r>
      <rPr>
        <sz val="10"/>
        <rFont val="Arial"/>
        <family val="0"/>
        <charset val="1"/>
      </rPr>
      <t xml:space="preserve">{class}</t>
    </r>
    <r>
      <rPr>
        <sz val="10"/>
        <rFont val="WenQuanYi Zen Hei"/>
        <family val="2"/>
      </rPr>
      <t xml:space="preserve">）は、商品の保管温度区分と一致しません。</t>
    </r>
  </si>
  <si>
    <r>
      <rPr>
        <sz val="10"/>
        <rFont val="Arial"/>
        <family val="0"/>
        <charset val="1"/>
      </rPr>
      <t xml:space="preserve">BR-06 </t>
    </r>
    <r>
      <rPr>
        <sz val="10"/>
        <rFont val="WenQuanYi Zen Hei"/>
        <family val="2"/>
      </rPr>
      <t xml:space="preserve">違反</t>
    </r>
  </si>
  <si>
    <r>
      <rPr>
        <sz val="10"/>
        <rFont val="WenQuanYi Zen Hei"/>
        <family val="2"/>
      </rPr>
      <t xml:space="preserve">合格判定には</t>
    </r>
    <r>
      <rPr>
        <sz val="10"/>
        <rFont val="Arial"/>
        <family val="0"/>
        <charset val="1"/>
      </rPr>
      <t xml:space="preserve">COA</t>
    </r>
    <r>
      <rPr>
        <sz val="10"/>
        <rFont val="WenQuanYi Zen Hei"/>
        <family val="2"/>
      </rPr>
      <t xml:space="preserve">（試験成績書）の添付が必要です。</t>
    </r>
  </si>
  <si>
    <r>
      <rPr>
        <sz val="10"/>
        <rFont val="Arial"/>
        <family val="0"/>
        <charset val="1"/>
      </rPr>
      <t xml:space="preserve">BR-08 </t>
    </r>
    <r>
      <rPr>
        <sz val="10"/>
        <rFont val="WenQuanYi Zen Hei"/>
        <family val="2"/>
      </rPr>
      <t xml:space="preserve">違反</t>
    </r>
  </si>
  <si>
    <t xml:space="preserve">判定理由を入力してください。</t>
  </si>
  <si>
    <t xml:space="preserve">不合格・保留で理由未入力</t>
  </si>
  <si>
    <r>
      <rPr>
        <sz val="10"/>
        <rFont val="WenQuanYi Zen Hei"/>
        <family val="2"/>
      </rPr>
      <t xml:space="preserve">商品「</t>
    </r>
    <r>
      <rPr>
        <sz val="10"/>
        <rFont val="Arial"/>
        <family val="0"/>
        <charset val="1"/>
      </rPr>
      <t xml:space="preserve">{product}</t>
    </r>
    <r>
      <rPr>
        <sz val="10"/>
        <rFont val="WenQuanYi Zen Hei"/>
        <family val="2"/>
      </rPr>
      <t xml:space="preserve">」（</t>
    </r>
    <r>
      <rPr>
        <sz val="10"/>
        <rFont val="Arial"/>
        <family val="0"/>
        <charset val="1"/>
      </rPr>
      <t xml:space="preserve">{regulatory_class}</t>
    </r>
    <r>
      <rPr>
        <sz val="10"/>
        <rFont val="WenQuanYi Zen Hei"/>
        <family val="2"/>
      </rPr>
      <t xml:space="preserve">）は顧客区分「</t>
    </r>
    <r>
      <rPr>
        <sz val="10"/>
        <rFont val="Arial"/>
        <family val="0"/>
        <charset val="1"/>
      </rPr>
      <t xml:space="preserve">{customer_type}</t>
    </r>
    <r>
      <rPr>
        <sz val="10"/>
        <rFont val="WenQuanYi Zen Hei"/>
        <family val="2"/>
      </rPr>
      <t xml:space="preserve">」に販売できません。</t>
    </r>
  </si>
  <si>
    <r>
      <rPr>
        <sz val="10"/>
        <rFont val="Arial"/>
        <family val="0"/>
        <charset val="1"/>
      </rPr>
      <t xml:space="preserve">BR-09 </t>
    </r>
    <r>
      <rPr>
        <sz val="10"/>
        <rFont val="WenQuanYi Zen Hei"/>
        <family val="2"/>
      </rPr>
      <t xml:space="preserve">違反</t>
    </r>
  </si>
  <si>
    <t xml:space="preserve">納品先が選択した顧客に属していません。</t>
  </si>
  <si>
    <t xml:space="preserve">納品先不整合</t>
  </si>
  <si>
    <r>
      <rPr>
        <sz val="10"/>
        <rFont val="WenQuanYi Zen Hei"/>
        <family val="2"/>
      </rPr>
      <t xml:space="preserve">ロット「</t>
    </r>
    <r>
      <rPr>
        <sz val="10"/>
        <rFont val="Arial"/>
        <family val="0"/>
        <charset val="1"/>
      </rPr>
      <t xml:space="preserve">{lot_no}</t>
    </r>
    <r>
      <rPr>
        <sz val="10"/>
        <rFont val="WenQuanYi Zen Hei"/>
        <family val="2"/>
      </rPr>
      <t xml:space="preserve">」の引当可能数（</t>
    </r>
    <r>
      <rPr>
        <sz val="10"/>
        <rFont val="Arial"/>
        <family val="0"/>
        <charset val="1"/>
      </rPr>
      <t xml:space="preserve">{available}</t>
    </r>
    <r>
      <rPr>
        <sz val="10"/>
        <rFont val="WenQuanYi Zen Hei"/>
        <family val="2"/>
      </rPr>
      <t xml:space="preserve">）を超えています。</t>
    </r>
  </si>
  <si>
    <t xml:space="preserve">在庫不足・同時更新</t>
  </si>
  <si>
    <r>
      <rPr>
        <sz val="10"/>
        <rFont val="WenQuanYi Zen Hei"/>
        <family val="2"/>
      </rPr>
      <t xml:space="preserve">ロット「</t>
    </r>
    <r>
      <rPr>
        <sz val="10"/>
        <rFont val="Arial"/>
        <family val="0"/>
        <charset val="1"/>
      </rPr>
      <t xml:space="preserve">{lot_no}</t>
    </r>
    <r>
      <rPr>
        <sz val="10"/>
        <rFont val="WenQuanYi Zen Hei"/>
        <family val="2"/>
      </rPr>
      <t xml:space="preserve">」は現在出荷できません（</t>
    </r>
    <r>
      <rPr>
        <sz val="10"/>
        <rFont val="Arial"/>
        <family val="0"/>
        <charset val="1"/>
      </rPr>
      <t xml:space="preserve">{status}</t>
    </r>
    <r>
      <rPr>
        <sz val="10"/>
        <rFont val="WenQuanYi Zen Hei"/>
        <family val="2"/>
      </rPr>
      <t xml:space="preserve">／残期間</t>
    </r>
    <r>
      <rPr>
        <sz val="10"/>
        <rFont val="Arial"/>
        <family val="0"/>
        <charset val="1"/>
      </rPr>
      <t xml:space="preserve">{days}</t>
    </r>
    <r>
      <rPr>
        <sz val="10"/>
        <rFont val="WenQuanYi Zen Hei"/>
        <family val="2"/>
      </rPr>
      <t xml:space="preserve">日）。引当をやり直してください。</t>
    </r>
  </si>
  <si>
    <r>
      <rPr>
        <sz val="10"/>
        <rFont val="WenQuanYi Zen Hei"/>
        <family val="2"/>
      </rPr>
      <t xml:space="preserve">出荷確定時の再検証</t>
    </r>
    <r>
      <rPr>
        <sz val="10"/>
        <rFont val="Arial"/>
        <family val="0"/>
        <charset val="1"/>
      </rPr>
      <t xml:space="preserve">NG</t>
    </r>
  </si>
  <si>
    <t xml:space="preserve">返品が登録されている出荷は取消できません。</t>
  </si>
  <si>
    <r>
      <rPr>
        <sz val="10"/>
        <rFont val="Arial"/>
        <family val="0"/>
        <charset val="1"/>
      </rPr>
      <t xml:space="preserve">P-06 </t>
    </r>
    <r>
      <rPr>
        <sz val="10"/>
        <rFont val="WenQuanYi Zen Hei"/>
        <family val="2"/>
      </rPr>
      <t xml:space="preserve">返品あり</t>
    </r>
  </si>
  <si>
    <r>
      <rPr>
        <sz val="10"/>
        <rFont val="WenQuanYi Zen Hei"/>
        <family val="2"/>
      </rPr>
      <t xml:space="preserve">返品数量が返品可能数（</t>
    </r>
    <r>
      <rPr>
        <sz val="10"/>
        <rFont val="Arial"/>
        <family val="0"/>
        <charset val="1"/>
      </rPr>
      <t xml:space="preserve">{available}</t>
    </r>
    <r>
      <rPr>
        <sz val="10"/>
        <rFont val="WenQuanYi Zen Hei"/>
        <family val="2"/>
      </rPr>
      <t xml:space="preserve">）を超えています。</t>
    </r>
  </si>
  <si>
    <r>
      <rPr>
        <sz val="10"/>
        <rFont val="Arial"/>
        <family val="0"/>
        <charset val="1"/>
      </rPr>
      <t xml:space="preserve">BR-12 </t>
    </r>
    <r>
      <rPr>
        <sz val="10"/>
        <rFont val="WenQuanYi Zen Hei"/>
        <family val="2"/>
      </rPr>
      <t xml:space="preserve">違反</t>
    </r>
  </si>
  <si>
    <t xml:space="preserve">ロットのステータスが合格ではないため在庫に戻せません。廃棄を選択してください。</t>
  </si>
  <si>
    <r>
      <rPr>
        <sz val="10"/>
        <rFont val="Arial"/>
        <family val="0"/>
        <charset val="1"/>
      </rPr>
      <t xml:space="preserve">P-07 RESTOCK</t>
    </r>
    <r>
      <rPr>
        <sz val="10"/>
        <rFont val="WenQuanYi Zen Hei"/>
        <family val="2"/>
      </rPr>
      <t xml:space="preserve">不可</t>
    </r>
  </si>
  <si>
    <t xml:space="preserve">警告</t>
  </si>
  <si>
    <r>
      <rPr>
        <sz val="10"/>
        <rFont val="WenQuanYi Zen Hei"/>
        <family val="2"/>
      </rPr>
      <t xml:space="preserve">温度逸脱を検知しました（</t>
    </r>
    <r>
      <rPr>
        <sz val="10"/>
        <rFont val="Arial"/>
        <family val="0"/>
        <charset val="1"/>
      </rPr>
      <t xml:space="preserve">{location}</t>
    </r>
    <r>
      <rPr>
        <sz val="10"/>
        <rFont val="WenQuanYi Zen Hei"/>
        <family val="2"/>
      </rPr>
      <t xml:space="preserve">：</t>
    </r>
    <r>
      <rPr>
        <sz val="10"/>
        <rFont val="Arial"/>
        <family val="0"/>
        <charset val="1"/>
      </rPr>
      <t xml:space="preserve">{temperature}℃</t>
    </r>
    <r>
      <rPr>
        <sz val="10"/>
        <rFont val="WenQuanYi Zen Hei"/>
        <family val="2"/>
      </rPr>
      <t xml:space="preserve">）。該当ロットを保留にしました。</t>
    </r>
  </si>
  <si>
    <t xml:space="preserve">調整後の在庫数が引当済数を下回ります。先に引当を解除してください。</t>
  </si>
  <si>
    <t xml:space="preserve">MSG-W01</t>
  </si>
  <si>
    <r>
      <rPr>
        <sz val="10"/>
        <rFont val="WenQuanYi Zen Hei"/>
        <family val="2"/>
      </rPr>
      <t xml:space="preserve">到着時温度が保管温度区分の許容範囲外です。</t>
    </r>
    <r>
      <rPr>
        <sz val="10"/>
        <rFont val="Arial"/>
        <family val="0"/>
        <charset val="1"/>
      </rPr>
      <t xml:space="preserve">QA</t>
    </r>
    <r>
      <rPr>
        <sz val="10"/>
        <rFont val="WenQuanYi Zen Hei"/>
        <family val="2"/>
      </rPr>
      <t xml:space="preserve">に通知されます。</t>
    </r>
  </si>
  <si>
    <t xml:space="preserve">入荷時温度逸脱</t>
  </si>
  <si>
    <t xml:space="preserve">MSG-W02</t>
  </si>
  <si>
    <t xml:space="preserve">入荷数量が発注残数を超えています。登録してよろしいですか？</t>
  </si>
  <si>
    <t xml:space="preserve">過剰入荷</t>
  </si>
  <si>
    <r>
      <rPr>
        <sz val="10"/>
        <rFont val="WenQuanYi Zen Hei"/>
        <family val="2"/>
      </rPr>
      <t xml:space="preserve">与信限度額を超えます（残高</t>
    </r>
    <r>
      <rPr>
        <sz val="10"/>
        <rFont val="Arial"/>
        <family val="0"/>
        <charset val="1"/>
      </rPr>
      <t xml:space="preserve">{balance}</t>
    </r>
    <r>
      <rPr>
        <sz val="10"/>
        <rFont val="WenQuanYi Zen Hei"/>
        <family val="2"/>
      </rPr>
      <t xml:space="preserve">円＋今回</t>
    </r>
    <r>
      <rPr>
        <sz val="10"/>
        <rFont val="Arial"/>
        <family val="0"/>
        <charset val="1"/>
      </rPr>
      <t xml:space="preserve">{amount}</t>
    </r>
    <r>
      <rPr>
        <sz val="10"/>
        <rFont val="WenQuanYi Zen Hei"/>
        <family val="2"/>
      </rPr>
      <t xml:space="preserve">円 ＞ 限度額</t>
    </r>
    <r>
      <rPr>
        <sz val="10"/>
        <rFont val="Arial"/>
        <family val="0"/>
        <charset val="1"/>
      </rPr>
      <t xml:space="preserve">{limit}</t>
    </r>
    <r>
      <rPr>
        <sz val="10"/>
        <rFont val="WenQuanYi Zen Hei"/>
        <family val="2"/>
      </rPr>
      <t xml:space="preserve">円）。管理者の承認が必要です。</t>
    </r>
  </si>
  <si>
    <r>
      <rPr>
        <sz val="10"/>
        <rFont val="WenQuanYi Zen Hei"/>
        <family val="2"/>
      </rPr>
      <t xml:space="preserve">引当可能な在庫が不足しています（不足数量：</t>
    </r>
    <r>
      <rPr>
        <sz val="10"/>
        <rFont val="Arial"/>
        <family val="0"/>
        <charset val="1"/>
      </rPr>
      <t xml:space="preserve">{shortage}</t>
    </r>
    <r>
      <rPr>
        <sz val="10"/>
        <rFont val="WenQuanYi Zen Hei"/>
        <family val="2"/>
      </rPr>
      <t xml:space="preserve">）。</t>
    </r>
  </si>
  <si>
    <r>
      <rPr>
        <sz val="10"/>
        <rFont val="Arial"/>
        <family val="0"/>
        <charset val="1"/>
      </rPr>
      <t xml:space="preserve">P-04 </t>
    </r>
    <r>
      <rPr>
        <sz val="10"/>
        <rFont val="WenQuanYi Zen Hei"/>
        <family val="2"/>
      </rPr>
      <t xml:space="preserve">一部引当</t>
    </r>
  </si>
  <si>
    <r>
      <rPr>
        <b val="true"/>
        <sz val="10"/>
        <color rgb="FFFFFFFF"/>
        <rFont val="WenQuanYi Zen Hei"/>
        <family val="2"/>
      </rPr>
      <t xml:space="preserve">帳票</t>
    </r>
    <r>
      <rPr>
        <b val="true"/>
        <sz val="10"/>
        <color rgb="FFFFFFFF"/>
        <rFont val="Arial"/>
        <family val="0"/>
        <charset val="1"/>
      </rPr>
      <t xml:space="preserve">ID</t>
    </r>
  </si>
  <si>
    <t xml:space="preserve">帳票名</t>
  </si>
  <si>
    <t xml:space="preserve">形式</t>
  </si>
  <si>
    <t xml:space="preserve">抽出条件</t>
  </si>
  <si>
    <t xml:space="preserve">主な出力項目</t>
  </si>
  <si>
    <t xml:space="preserve">RP-01</t>
  </si>
  <si>
    <t xml:space="preserve">発注書</t>
  </si>
  <si>
    <t xml:space="preserve">PDF</t>
  </si>
  <si>
    <t xml:space="preserve">発注番号・仕入先・商品・数量・単価・納期</t>
  </si>
  <si>
    <t xml:space="preserve">RP-02</t>
  </si>
  <si>
    <t xml:space="preserve">納品書</t>
  </si>
  <si>
    <t xml:space="preserve">出荷番号・顧客・納品先・商品・ロット番号・使用期限・数量・保管温度</t>
  </si>
  <si>
    <t xml:space="preserve">RP-03</t>
  </si>
  <si>
    <r>
      <rPr>
        <sz val="10"/>
        <rFont val="WenQuanYi Zen Hei"/>
        <family val="2"/>
      </rPr>
      <t xml:space="preserve">画面</t>
    </r>
    <r>
      <rPr>
        <sz val="10"/>
        <rFont val="Arial"/>
        <family val="0"/>
        <charset val="1"/>
      </rPr>
      <t xml:space="preserve">/CSV</t>
    </r>
  </si>
  <si>
    <t xml:space="preserve">期間・仕入先・商品</t>
  </si>
  <si>
    <t xml:space="preserve">数量・金額</t>
  </si>
  <si>
    <t xml:space="preserve">RP-04</t>
  </si>
  <si>
    <t xml:space="preserve">期間・顧客・商品・営業担当</t>
  </si>
  <si>
    <t xml:space="preserve">数量・売上・原価・粗利・粗利率</t>
  </si>
  <si>
    <t xml:space="preserve">RP-05</t>
  </si>
  <si>
    <t xml:space="preserve">期間・商品・ロット</t>
  </si>
  <si>
    <t xml:space="preserve">期首在庫・入庫・出庫・調整・期末在庫</t>
  </si>
  <si>
    <t xml:space="preserve">RP-06</t>
  </si>
  <si>
    <t xml:space="preserve">PDF/CSV</t>
  </si>
  <si>
    <r>
      <rPr>
        <sz val="10"/>
        <rFont val="WenQuanYi Zen Hei"/>
        <family val="2"/>
      </rPr>
      <t xml:space="preserve">ロット番号 </t>
    </r>
    <r>
      <rPr>
        <sz val="10"/>
        <rFont val="Arial"/>
        <family val="0"/>
        <charset val="1"/>
      </rPr>
      <t xml:space="preserve">or </t>
    </r>
    <r>
      <rPr>
        <sz val="10"/>
        <rFont val="WenQuanYi Zen Hei"/>
        <family val="2"/>
      </rPr>
      <t xml:space="preserve">顧客</t>
    </r>
  </si>
  <si>
    <t xml:space="preserve">入荷情報・検品結果・出荷先・出荷日・数量・返品・回収状況</t>
  </si>
  <si>
    <t xml:space="preserve">RP-07</t>
  </si>
  <si>
    <t xml:space="preserve">回収対象顧客リスト</t>
  </si>
  <si>
    <t xml:space="preserve">顧客・連絡先・ロット・出荷数量・連絡状況・回収数量</t>
  </si>
  <si>
    <t xml:space="preserve">RP-08</t>
  </si>
  <si>
    <t xml:space="preserve">CSV</t>
  </si>
  <si>
    <r>
      <rPr>
        <sz val="10"/>
        <rFont val="WenQuanYi Zen Hei"/>
        <family val="2"/>
      </rPr>
      <t xml:space="preserve">期間・種別（売上</t>
    </r>
    <r>
      <rPr>
        <sz val="10"/>
        <rFont val="Arial"/>
        <family val="0"/>
        <charset val="1"/>
      </rPr>
      <t xml:space="preserve">/</t>
    </r>
    <r>
      <rPr>
        <sz val="10"/>
        <rFont val="WenQuanYi Zen Hei"/>
        <family val="2"/>
      </rPr>
      <t xml:space="preserve">仕入）</t>
    </r>
  </si>
  <si>
    <t xml:space="preserve">日付・取引先・勘定科目・金額・税区分・伝票番号</t>
  </si>
  <si>
    <r>
      <rPr>
        <b val="true"/>
        <sz val="10"/>
        <color rgb="FFFFFFFF"/>
        <rFont val="WenQuanYi Zen Hei"/>
        <family val="2"/>
      </rPr>
      <t xml:space="preserve">バッチ</t>
    </r>
    <r>
      <rPr>
        <b val="true"/>
        <sz val="10"/>
        <color rgb="FFFFFFFF"/>
        <rFont val="Arial"/>
        <family val="0"/>
        <charset val="1"/>
      </rPr>
      <t xml:space="preserve">ID</t>
    </r>
  </si>
  <si>
    <t xml:space="preserve">バッチ名</t>
  </si>
  <si>
    <t xml:space="preserve">実行タイミング</t>
  </si>
  <si>
    <t xml:space="preserve">処理内容</t>
  </si>
  <si>
    <t xml:space="preserve">失敗時対応</t>
  </si>
  <si>
    <t xml:space="preserve">B-01</t>
  </si>
  <si>
    <t xml:space="preserve">期限切れ判定</t>
  </si>
  <si>
    <r>
      <rPr>
        <sz val="10"/>
        <rFont val="WenQuanYi Zen Hei"/>
        <family val="2"/>
      </rPr>
      <t xml:space="preserve">毎日 </t>
    </r>
    <r>
      <rPr>
        <sz val="10"/>
        <rFont val="Arial"/>
        <family val="0"/>
        <charset val="1"/>
      </rPr>
      <t xml:space="preserve">1:00</t>
    </r>
  </si>
  <si>
    <r>
      <rPr>
        <sz val="10"/>
        <rFont val="Arial"/>
        <family val="0"/>
        <charset val="1"/>
      </rPr>
      <t xml:space="preserve">expires_on &lt; </t>
    </r>
    <r>
      <rPr>
        <sz val="10"/>
        <rFont val="WenQuanYi Zen Hei"/>
        <family val="2"/>
      </rPr>
      <t xml:space="preserve">当日 の </t>
    </r>
    <r>
      <rPr>
        <sz val="10"/>
        <rFont val="Arial"/>
        <family val="0"/>
        <charset val="1"/>
      </rPr>
      <t xml:space="preserve">RELEASED/HOLD </t>
    </r>
    <r>
      <rPr>
        <sz val="10"/>
        <rFont val="WenQuanYi Zen Hei"/>
        <family val="2"/>
      </rPr>
      <t xml:space="preserve">ロットを </t>
    </r>
    <r>
      <rPr>
        <sz val="10"/>
        <rFont val="Arial"/>
        <family val="0"/>
        <charset val="1"/>
      </rPr>
      <t xml:space="preserve">EXPIRED </t>
    </r>
    <r>
      <rPr>
        <sz val="10"/>
        <rFont val="WenQuanYi Zen Hei"/>
        <family val="2"/>
      </rPr>
      <t xml:space="preserve">に更新し、引当中の出荷明細を一覧化して通知</t>
    </r>
  </si>
  <si>
    <t xml:space="preserve">管理者へメール。翌日再実行で冪等に処理</t>
  </si>
  <si>
    <t xml:space="preserve">B-02</t>
  </si>
  <si>
    <t xml:space="preserve">アラート生成</t>
  </si>
  <si>
    <r>
      <rPr>
        <sz val="10"/>
        <rFont val="WenQuanYi Zen Hei"/>
        <family val="2"/>
      </rPr>
      <t xml:space="preserve">毎日 </t>
    </r>
    <r>
      <rPr>
        <sz val="10"/>
        <rFont val="Arial"/>
        <family val="0"/>
        <charset val="1"/>
      </rPr>
      <t xml:space="preserve">1:10</t>
    </r>
  </si>
  <si>
    <r>
      <rPr>
        <sz val="10"/>
        <rFont val="Arial"/>
        <family val="0"/>
        <charset val="1"/>
      </rPr>
      <t xml:space="preserve">BR-16 </t>
    </r>
    <r>
      <rPr>
        <sz val="10"/>
        <rFont val="WenQuanYi Zen Hei"/>
        <family val="2"/>
      </rPr>
      <t xml:space="preserve">の条件（期限</t>
    </r>
    <r>
      <rPr>
        <sz val="10"/>
        <rFont val="Arial"/>
        <family val="0"/>
        <charset val="1"/>
      </rPr>
      <t xml:space="preserve">90/30</t>
    </r>
    <r>
      <rPr>
        <sz val="10"/>
        <rFont val="WenQuanYi Zen Hei"/>
        <family val="2"/>
      </rPr>
      <t xml:space="preserve">日・発注点・回収未対応</t>
    </r>
    <r>
      <rPr>
        <sz val="10"/>
        <rFont val="Arial"/>
        <family val="0"/>
        <charset val="1"/>
      </rPr>
      <t xml:space="preserve">7</t>
    </r>
    <r>
      <rPr>
        <sz val="10"/>
        <rFont val="WenQuanYi Zen Hei"/>
        <family val="2"/>
      </rPr>
      <t xml:space="preserve">日超）でアラートを生成しメール送信</t>
    </r>
  </si>
  <si>
    <t xml:space="preserve">同上</t>
  </si>
  <si>
    <t xml:space="preserve">B-03</t>
  </si>
  <si>
    <t xml:space="preserve">在庫整合性チェック</t>
  </si>
  <si>
    <r>
      <rPr>
        <sz val="10"/>
        <rFont val="WenQuanYi Zen Hei"/>
        <family val="2"/>
      </rPr>
      <t xml:space="preserve">毎日 </t>
    </r>
    <r>
      <rPr>
        <sz val="10"/>
        <rFont val="Arial"/>
        <family val="0"/>
        <charset val="1"/>
      </rPr>
      <t xml:space="preserve">1:30</t>
    </r>
  </si>
  <si>
    <r>
      <rPr>
        <sz val="10"/>
        <rFont val="Arial"/>
        <family val="0"/>
        <charset val="1"/>
      </rPr>
      <t xml:space="preserve">SQL-04 </t>
    </r>
    <r>
      <rPr>
        <sz val="10"/>
        <rFont val="WenQuanYi Zen Hei"/>
        <family val="2"/>
      </rPr>
      <t xml:space="preserve">を実行し不一致があれば管理者へ通知（自動補正はしない）</t>
    </r>
  </si>
  <si>
    <t xml:space="preserve">不一致内容を監査ログに記録</t>
  </si>
  <si>
    <t xml:space="preserve">B-04</t>
  </si>
  <si>
    <r>
      <rPr>
        <sz val="10"/>
        <rFont val="WenQuanYi Zen Hei"/>
        <family val="2"/>
      </rPr>
      <t xml:space="preserve">温度</t>
    </r>
    <r>
      <rPr>
        <sz val="10"/>
        <rFont val="Arial"/>
        <family val="0"/>
        <charset val="1"/>
      </rPr>
      <t xml:space="preserve">CSV</t>
    </r>
    <r>
      <rPr>
        <sz val="10"/>
        <rFont val="WenQuanYi Zen Hei"/>
        <family val="2"/>
      </rPr>
      <t xml:space="preserve">取込</t>
    </r>
  </si>
  <si>
    <r>
      <rPr>
        <sz val="10"/>
        <rFont val="WenQuanYi Zen Hei"/>
        <family val="2"/>
      </rPr>
      <t xml:space="preserve">毎時 </t>
    </r>
    <r>
      <rPr>
        <sz val="10"/>
        <rFont val="Arial"/>
        <family val="0"/>
        <charset val="1"/>
      </rPr>
      <t xml:space="preserve">0</t>
    </r>
    <r>
      <rPr>
        <sz val="10"/>
        <rFont val="WenQuanYi Zen Hei"/>
        <family val="2"/>
      </rPr>
      <t xml:space="preserve">分</t>
    </r>
  </si>
  <si>
    <r>
      <rPr>
        <sz val="10"/>
        <rFont val="WenQuanYi Zen Hei"/>
        <family val="2"/>
      </rPr>
      <t xml:space="preserve">所定フォルダの温度ロガー</t>
    </r>
    <r>
      <rPr>
        <sz val="10"/>
        <rFont val="Arial"/>
        <family val="0"/>
        <charset val="1"/>
      </rPr>
      <t xml:space="preserve">CSV</t>
    </r>
    <r>
      <rPr>
        <sz val="10"/>
        <rFont val="WenQuanYi Zen Hei"/>
        <family val="2"/>
      </rPr>
      <t xml:space="preserve">を取込み </t>
    </r>
    <r>
      <rPr>
        <sz val="10"/>
        <rFont val="Arial"/>
        <family val="0"/>
        <charset val="1"/>
      </rPr>
      <t xml:space="preserve">P-09 </t>
    </r>
    <r>
      <rPr>
        <sz val="10"/>
        <rFont val="WenQuanYi Zen Hei"/>
        <family val="2"/>
      </rPr>
      <t xml:space="preserve">を実行</t>
    </r>
  </si>
  <si>
    <t xml:space="preserve">取込エラー行を管理者へ通知</t>
  </si>
  <si>
    <t xml:space="preserve">B-05</t>
  </si>
  <si>
    <t xml:space="preserve">バックアップ確認</t>
  </si>
  <si>
    <r>
      <rPr>
        <sz val="10"/>
        <rFont val="WenQuanYi Zen Hei"/>
        <family val="2"/>
      </rPr>
      <t xml:space="preserve">毎日 </t>
    </r>
    <r>
      <rPr>
        <sz val="10"/>
        <rFont val="Arial"/>
        <family val="0"/>
        <charset val="1"/>
      </rPr>
      <t xml:space="preserve">6:00</t>
    </r>
  </si>
  <si>
    <t xml:space="preserve">前日バックアップの成否を確認</t>
  </si>
  <si>
    <t xml:space="preserve">失敗時は管理者へ通知</t>
  </si>
  <si>
    <t xml:space="preserve">要件</t>
  </si>
  <si>
    <t xml:space="preserve">性能</t>
  </si>
  <si>
    <t xml:space="preserve">画面応答</t>
  </si>
  <si>
    <r>
      <rPr>
        <sz val="10"/>
        <rFont val="WenQuanYi Zen Hei"/>
        <family val="2"/>
      </rPr>
      <t xml:space="preserve">通常の画面表示・検索は</t>
    </r>
    <r>
      <rPr>
        <sz val="10"/>
        <rFont val="Arial"/>
        <family val="0"/>
        <charset val="1"/>
      </rPr>
      <t xml:space="preserve">3</t>
    </r>
    <r>
      <rPr>
        <sz val="10"/>
        <rFont val="WenQuanYi Zen Hei"/>
        <family val="2"/>
      </rPr>
      <t xml:space="preserve">秒以内（データ量：想定規模の</t>
    </r>
    <r>
      <rPr>
        <sz val="10"/>
        <rFont val="Arial"/>
        <family val="0"/>
        <charset val="1"/>
      </rPr>
      <t xml:space="preserve">5</t>
    </r>
    <r>
      <rPr>
        <sz val="10"/>
        <rFont val="WenQuanYi Zen Hei"/>
        <family val="2"/>
      </rPr>
      <t xml:space="preserve">年分）</t>
    </r>
  </si>
  <si>
    <t xml:space="preserve">トレース検索</t>
  </si>
  <si>
    <r>
      <rPr>
        <sz val="10"/>
        <rFont val="WenQuanYi Zen Hei"/>
        <family val="2"/>
      </rPr>
      <t xml:space="preserve">ロット→顧客／顧客→ロットの追跡結果を</t>
    </r>
    <r>
      <rPr>
        <sz val="10"/>
        <rFont val="Arial"/>
        <family val="0"/>
        <charset val="1"/>
      </rPr>
      <t xml:space="preserve">2</t>
    </r>
    <r>
      <rPr>
        <sz val="10"/>
        <rFont val="WenQuanYi Zen Hei"/>
        <family val="2"/>
      </rPr>
      <t xml:space="preserve">秒以内に表示</t>
    </r>
  </si>
  <si>
    <t xml:space="preserve">可用性</t>
  </si>
  <si>
    <t xml:space="preserve">稼働時間</t>
  </si>
  <si>
    <r>
      <rPr>
        <sz val="10"/>
        <rFont val="WenQuanYi Zen Hei"/>
        <family val="2"/>
      </rPr>
      <t xml:space="preserve">平日 </t>
    </r>
    <r>
      <rPr>
        <sz val="10"/>
        <rFont val="Arial"/>
        <family val="0"/>
        <charset val="1"/>
      </rPr>
      <t xml:space="preserve">8:00</t>
    </r>
    <r>
      <rPr>
        <sz val="10"/>
        <rFont val="WenQuanYi Zen Hei"/>
        <family val="2"/>
      </rPr>
      <t xml:space="preserve">〜</t>
    </r>
    <r>
      <rPr>
        <sz val="10"/>
        <rFont val="Arial"/>
        <family val="0"/>
        <charset val="1"/>
      </rPr>
      <t xml:space="preserve">20:00 </t>
    </r>
    <r>
      <rPr>
        <sz val="10"/>
        <rFont val="WenQuanYi Zen Hei"/>
        <family val="2"/>
      </rPr>
      <t xml:space="preserve">の稼働率 </t>
    </r>
    <r>
      <rPr>
        <sz val="10"/>
        <rFont val="Arial"/>
        <family val="0"/>
        <charset val="1"/>
      </rPr>
      <t xml:space="preserve">99.5%</t>
    </r>
    <r>
      <rPr>
        <sz val="10"/>
        <rFont val="WenQuanYi Zen Hei"/>
        <family val="2"/>
      </rPr>
      <t xml:space="preserve">以上。計画停止は事前通知</t>
    </r>
  </si>
  <si>
    <t xml:space="preserve">データ保全</t>
  </si>
  <si>
    <t xml:space="preserve">バックアップ</t>
  </si>
  <si>
    <r>
      <rPr>
        <sz val="10"/>
        <rFont val="Arial"/>
        <family val="0"/>
        <charset val="1"/>
      </rPr>
      <t xml:space="preserve">DB</t>
    </r>
    <r>
      <rPr>
        <sz val="10"/>
        <rFont val="WenQuanYi Zen Hei"/>
        <family val="2"/>
      </rPr>
      <t xml:space="preserve">は日次フルバックアップ＋</t>
    </r>
    <r>
      <rPr>
        <sz val="10"/>
        <rFont val="Arial"/>
        <family val="0"/>
        <charset val="1"/>
      </rPr>
      <t xml:space="preserve">PITR</t>
    </r>
    <r>
      <rPr>
        <sz val="10"/>
        <rFont val="WenQuanYi Zen Hei"/>
        <family val="2"/>
      </rPr>
      <t xml:space="preserve">（</t>
    </r>
    <r>
      <rPr>
        <sz val="10"/>
        <rFont val="Arial"/>
        <family val="0"/>
        <charset val="1"/>
      </rPr>
      <t xml:space="preserve">7</t>
    </r>
    <r>
      <rPr>
        <sz val="10"/>
        <rFont val="WenQuanYi Zen Hei"/>
        <family val="2"/>
      </rPr>
      <t xml:space="preserve">日）。バックアップは別リージョンへ保管</t>
    </r>
  </si>
  <si>
    <t xml:space="preserve">保存期間</t>
  </si>
  <si>
    <r>
      <rPr>
        <sz val="10"/>
        <rFont val="WenQuanYi Zen Hei"/>
        <family val="2"/>
      </rPr>
      <t xml:space="preserve">トレーサビリティ関連データ（ロット・入出荷・回収・監査ログ）は最低</t>
    </r>
    <r>
      <rPr>
        <sz val="10"/>
        <rFont val="Arial"/>
        <family val="0"/>
        <charset val="1"/>
      </rPr>
      <t xml:space="preserve">10</t>
    </r>
    <r>
      <rPr>
        <sz val="10"/>
        <rFont val="WenQuanYi Zen Hei"/>
        <family val="2"/>
      </rPr>
      <t xml:space="preserve">年保存。法令・契約要件を確認の上確定</t>
    </r>
  </si>
  <si>
    <t xml:space="preserve">セキュリティ</t>
  </si>
  <si>
    <t xml:space="preserve">認証</t>
  </si>
  <si>
    <r>
      <rPr>
        <sz val="10"/>
        <rFont val="WenQuanYi Zen Hei"/>
        <family val="2"/>
      </rPr>
      <t xml:space="preserve">パスワード</t>
    </r>
    <r>
      <rPr>
        <sz val="10"/>
        <rFont val="Arial"/>
        <family val="0"/>
        <charset val="1"/>
      </rPr>
      <t xml:space="preserve">12</t>
    </r>
    <r>
      <rPr>
        <sz val="10"/>
        <rFont val="WenQuanYi Zen Hei"/>
        <family val="2"/>
      </rPr>
      <t xml:space="preserve">文字以上＋</t>
    </r>
    <r>
      <rPr>
        <sz val="10"/>
        <rFont val="Arial"/>
        <family val="0"/>
        <charset val="1"/>
      </rPr>
      <t xml:space="preserve">2</t>
    </r>
    <r>
      <rPr>
        <sz val="10"/>
        <rFont val="WenQuanYi Zen Hei"/>
        <family val="2"/>
      </rPr>
      <t xml:space="preserve">要素認証。</t>
    </r>
    <r>
      <rPr>
        <sz val="10"/>
        <rFont val="Arial"/>
        <family val="0"/>
        <charset val="1"/>
      </rPr>
      <t xml:space="preserve">5</t>
    </r>
    <r>
      <rPr>
        <sz val="10"/>
        <rFont val="WenQuanYi Zen Hei"/>
        <family val="2"/>
      </rPr>
      <t xml:space="preserve">回失敗でロック。セッション</t>
    </r>
    <r>
      <rPr>
        <sz val="10"/>
        <rFont val="Arial"/>
        <family val="0"/>
        <charset val="1"/>
      </rPr>
      <t xml:space="preserve">30</t>
    </r>
    <r>
      <rPr>
        <sz val="10"/>
        <rFont val="WenQuanYi Zen Hei"/>
        <family val="2"/>
      </rPr>
      <t xml:space="preserve">分無操作でタイムアウト</t>
    </r>
  </si>
  <si>
    <t xml:space="preserve">認可</t>
  </si>
  <si>
    <r>
      <rPr>
        <sz val="10"/>
        <rFont val="WenQuanYi Zen Hei"/>
        <family val="2"/>
      </rPr>
      <t xml:space="preserve">ロールベースアクセス制御（権限マトリクス 参照）。</t>
    </r>
    <r>
      <rPr>
        <sz val="10"/>
        <rFont val="Arial"/>
        <family val="0"/>
        <charset val="1"/>
      </rPr>
      <t xml:space="preserve">API</t>
    </r>
    <r>
      <rPr>
        <sz val="10"/>
        <rFont val="WenQuanYi Zen Hei"/>
        <family val="2"/>
      </rPr>
      <t xml:space="preserve">でもサーバー側で権限検証</t>
    </r>
  </si>
  <si>
    <t xml:space="preserve">通信・保存</t>
  </si>
  <si>
    <r>
      <rPr>
        <sz val="10"/>
        <rFont val="WenQuanYi Zen Hei"/>
        <family val="2"/>
      </rPr>
      <t xml:space="preserve">通信は</t>
    </r>
    <r>
      <rPr>
        <sz val="10"/>
        <rFont val="Arial"/>
        <family val="0"/>
        <charset val="1"/>
      </rPr>
      <t xml:space="preserve">TLS1.2</t>
    </r>
    <r>
      <rPr>
        <sz val="10"/>
        <rFont val="WenQuanYi Zen Hei"/>
        <family val="2"/>
      </rPr>
      <t xml:space="preserve">以上。</t>
    </r>
    <r>
      <rPr>
        <sz val="10"/>
        <rFont val="Arial"/>
        <family val="0"/>
        <charset val="1"/>
      </rPr>
      <t xml:space="preserve">DB</t>
    </r>
    <r>
      <rPr>
        <sz val="10"/>
        <rFont val="WenQuanYi Zen Hei"/>
        <family val="2"/>
      </rPr>
      <t xml:space="preserve">・ファイルストレージは保存時暗号化</t>
    </r>
  </si>
  <si>
    <t xml:space="preserve">個人情報</t>
  </si>
  <si>
    <t xml:space="preserve">顧客担当者の氏名・連絡先は個人情報として扱い、出力操作は監査ログに記録</t>
  </si>
  <si>
    <t xml:space="preserve">監査性</t>
  </si>
  <si>
    <r>
      <rPr>
        <sz val="10"/>
        <rFont val="WenQuanYi Zen Hei"/>
        <family val="2"/>
      </rPr>
      <t xml:space="preserve">登録・更新・取消・ステータス変更・</t>
    </r>
    <r>
      <rPr>
        <sz val="10"/>
        <rFont val="Arial"/>
        <family val="0"/>
        <charset val="1"/>
      </rPr>
      <t xml:space="preserve">CSV/PDF</t>
    </r>
    <r>
      <rPr>
        <sz val="10"/>
        <rFont val="WenQuanYi Zen Hei"/>
        <family val="2"/>
      </rPr>
      <t xml:space="preserve">出力・ログインを記録。ログは追記のみで改変不可</t>
    </r>
  </si>
  <si>
    <t xml:space="preserve">電子記録</t>
  </si>
  <si>
    <r>
      <rPr>
        <sz val="10"/>
        <rFont val="WenQuanYi Zen Hei"/>
        <family val="2"/>
      </rPr>
      <t xml:space="preserve">確定済伝票の変更履歴（誰が・いつ・何を）を保持（</t>
    </r>
    <r>
      <rPr>
        <sz val="10"/>
        <rFont val="Arial"/>
        <family val="0"/>
        <charset val="1"/>
      </rPr>
      <t xml:space="preserve">ER/ES</t>
    </r>
    <r>
      <rPr>
        <sz val="10"/>
        <rFont val="WenQuanYi Zen Hei"/>
        <family val="2"/>
      </rPr>
      <t xml:space="preserve">指針等の要否は課題として確認）</t>
    </r>
  </si>
  <si>
    <t xml:space="preserve">運用</t>
  </si>
  <si>
    <t xml:space="preserve">日次バッチ</t>
  </si>
  <si>
    <r>
      <rPr>
        <sz val="10"/>
        <rFont val="WenQuanYi Zen Hei"/>
        <family val="2"/>
      </rPr>
      <t xml:space="preserve">毎日 </t>
    </r>
    <r>
      <rPr>
        <sz val="10"/>
        <rFont val="Arial"/>
        <family val="0"/>
        <charset val="1"/>
      </rPr>
      <t xml:space="preserve">1:00 </t>
    </r>
    <r>
      <rPr>
        <sz val="10"/>
        <rFont val="WenQuanYi Zen Hei"/>
        <family val="2"/>
      </rPr>
      <t xml:space="preserve">に期限切れ判定・アラート生成・在庫整合性チェック（在庫＝移動履歴合計）を実行</t>
    </r>
  </si>
  <si>
    <t xml:space="preserve">マスタ移行</t>
  </si>
  <si>
    <r>
      <rPr>
        <sz val="10"/>
        <rFont val="WenQuanYi Zen Hei"/>
        <family val="2"/>
      </rPr>
      <t xml:space="preserve">初期データ（仕入先・商品・顧客・現在庫ロット）は</t>
    </r>
    <r>
      <rPr>
        <sz val="10"/>
        <rFont val="Arial"/>
        <family val="0"/>
        <charset val="1"/>
      </rPr>
      <t xml:space="preserve">CSV</t>
    </r>
    <r>
      <rPr>
        <sz val="10"/>
        <rFont val="WenQuanYi Zen Hei"/>
        <family val="2"/>
      </rPr>
      <t xml:space="preserve">テンプレートで一括取込</t>
    </r>
  </si>
  <si>
    <t xml:space="preserve">UI</t>
  </si>
  <si>
    <t xml:space="preserve">対応端末</t>
  </si>
  <si>
    <r>
      <rPr>
        <sz val="10"/>
        <rFont val="Arial"/>
        <family val="0"/>
        <charset val="1"/>
      </rPr>
      <t xml:space="preserve">PC</t>
    </r>
    <r>
      <rPr>
        <sz val="10"/>
        <rFont val="WenQuanYi Zen Hei"/>
        <family val="2"/>
      </rPr>
      <t xml:space="preserve">ブラウザ（</t>
    </r>
    <r>
      <rPr>
        <sz val="10"/>
        <rFont val="Arial"/>
        <family val="0"/>
        <charset val="1"/>
      </rPr>
      <t xml:space="preserve">Chrome/Edge</t>
    </r>
    <r>
      <rPr>
        <sz val="10"/>
        <rFont val="WenQuanYi Zen Hei"/>
        <family val="2"/>
      </rPr>
      <t xml:space="preserve">最新）。在庫照会・入出荷はタブレット表示に対応</t>
    </r>
  </si>
  <si>
    <t xml:space="preserve">バーコード</t>
  </si>
  <si>
    <r>
      <rPr>
        <sz val="10"/>
        <rFont val="WenQuanYi Zen Hei"/>
        <family val="2"/>
      </rPr>
      <t xml:space="preserve">（将来）ロットラベルのバーコード</t>
    </r>
    <r>
      <rPr>
        <sz val="10"/>
        <rFont val="Arial"/>
        <family val="0"/>
        <charset val="1"/>
      </rPr>
      <t xml:space="preserve">/QR</t>
    </r>
    <r>
      <rPr>
        <sz val="10"/>
        <rFont val="WenQuanYi Zen Hei"/>
        <family val="2"/>
      </rPr>
      <t xml:space="preserve">印字・読取に対応できるようロット番号体系を固定長で設計</t>
    </r>
  </si>
  <si>
    <t xml:space="preserve">拡張性</t>
  </si>
  <si>
    <t xml:space="preserve">簡易版（段階導入）</t>
  </si>
  <si>
    <r>
      <rPr>
        <sz val="10"/>
        <rFont val="WenQuanYi Zen Hei"/>
        <family val="2"/>
      </rPr>
      <t xml:space="preserve">第</t>
    </r>
    <r>
      <rPr>
        <sz val="10"/>
        <rFont val="Arial"/>
        <family val="0"/>
        <charset val="1"/>
      </rPr>
      <t xml:space="preserve">1</t>
    </r>
    <r>
      <rPr>
        <sz val="10"/>
        <rFont val="WenQuanYi Zen Hei"/>
        <family val="2"/>
      </rPr>
      <t xml:space="preserve">段階として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で本設計のテーブル構造をシート化して運用し、件数・利用者増加時に</t>
    </r>
    <r>
      <rPr>
        <sz val="10"/>
        <rFont val="Arial"/>
        <family val="0"/>
        <charset val="1"/>
      </rPr>
      <t xml:space="preserve">Web</t>
    </r>
    <r>
      <rPr>
        <sz val="10"/>
        <rFont val="WenQuanYi Zen Hei"/>
        <family val="2"/>
      </rPr>
      <t xml:space="preserve">アプリへ移行可能とする（テーブル・コード値は共通）</t>
    </r>
  </si>
  <si>
    <r>
      <rPr>
        <i val="true"/>
        <sz val="9"/>
        <color rgb="FF595959"/>
        <rFont val="WenQuanYi Zen Hei"/>
        <family val="2"/>
      </rPr>
      <t xml:space="preserve">黄色セル（ステータス・回答欄）に記入してください。例：ステータス</t>
    </r>
    <r>
      <rPr>
        <i val="true"/>
        <sz val="9"/>
        <color rgb="FF595959"/>
        <rFont val="Arial"/>
        <family val="0"/>
        <charset val="1"/>
      </rPr>
      <t xml:space="preserve">=</t>
    </r>
    <r>
      <rPr>
        <i val="true"/>
        <sz val="9"/>
        <color rgb="FF595959"/>
        <rFont val="WenQuanYi Zen Hei"/>
        <family val="2"/>
      </rPr>
      <t xml:space="preserve">回答済、回答</t>
    </r>
    <r>
      <rPr>
        <i val="true"/>
        <sz val="9"/>
        <color rgb="FF595959"/>
        <rFont val="Arial"/>
        <family val="0"/>
        <charset val="1"/>
      </rPr>
      <t xml:space="preserve">=</t>
    </r>
    <r>
      <rPr>
        <i val="true"/>
        <sz val="9"/>
        <color rgb="FF595959"/>
        <rFont val="WenQuanYi Zen Hei"/>
        <family val="2"/>
      </rPr>
      <t xml:space="preserve">「化粧品原料のみ取扱い」</t>
    </r>
  </si>
  <si>
    <t xml:space="preserve">対応方針</t>
  </si>
  <si>
    <t xml:space="preserve">期限</t>
  </si>
  <si>
    <t xml:space="preserve">回答・決定事項（記入欄）</t>
  </si>
  <si>
    <t xml:space="preserve">Q-01</t>
  </si>
  <si>
    <t xml:space="preserve">法規制</t>
  </si>
  <si>
    <t xml:space="preserve">取り扱うエクソソーム製品の法的区分（化粧品原料・研究用・医療用途等）と、販売可能な顧客区分の確定。再生医療等安全性確保法の改正等による規制対象化の動向確認。</t>
  </si>
  <si>
    <t xml:space="preserve">薬事専門家・行政書士へ確認し、販売可否ルール初期値を確定</t>
  </si>
  <si>
    <t xml:space="preserve">要件定義完了まで</t>
  </si>
  <si>
    <t xml:space="preserve">未対応</t>
  </si>
  <si>
    <t xml:space="preserve">Q-02</t>
  </si>
  <si>
    <t xml:space="preserve">トレーサビリティ記録の法定保存期間の確認。</t>
  </si>
  <si>
    <t xml:space="preserve">確認結果で非機能要件『保存期間』を確定</t>
  </si>
  <si>
    <t xml:space="preserve">Q-03</t>
  </si>
  <si>
    <t xml:space="preserve">代理店経由で販売した場合、最終販売先（代理店の顧客）まで管理するか。</t>
  </si>
  <si>
    <r>
      <rPr>
        <sz val="10"/>
        <rFont val="WenQuanYi Zen Hei"/>
        <family val="2"/>
      </rPr>
      <t xml:space="preserve">代理店に販売報告をもらい</t>
    </r>
    <r>
      <rPr>
        <sz val="10"/>
        <rFont val="Arial"/>
        <family val="0"/>
        <charset val="1"/>
      </rPr>
      <t xml:space="preserve">CSV</t>
    </r>
    <r>
      <rPr>
        <sz val="10"/>
        <rFont val="WenQuanYi Zen Hei"/>
        <family val="2"/>
      </rPr>
      <t xml:space="preserve">取込する案を検討</t>
    </r>
  </si>
  <si>
    <t xml:space="preserve">基本設計完了まで</t>
  </si>
  <si>
    <t xml:space="preserve">Q-04</t>
  </si>
  <si>
    <r>
      <rPr>
        <sz val="10"/>
        <rFont val="Arial"/>
        <family val="0"/>
        <charset val="1"/>
      </rPr>
      <t xml:space="preserve">1</t>
    </r>
    <r>
      <rPr>
        <sz val="10"/>
        <rFont val="WenQuanYi Zen Hei"/>
        <family val="2"/>
      </rPr>
      <t xml:space="preserve">ロットを小分け（リパック）して販売するケースの有無。</t>
    </r>
  </si>
  <si>
    <r>
      <rPr>
        <sz val="10"/>
        <rFont val="WenQuanYi Zen Hei"/>
        <family val="2"/>
      </rPr>
      <t xml:space="preserve">有りの場合は親子ロット（</t>
    </r>
    <r>
      <rPr>
        <sz val="10"/>
        <rFont val="Arial"/>
        <family val="0"/>
        <charset val="1"/>
      </rPr>
      <t xml:space="preserve">t_lot </t>
    </r>
    <r>
      <rPr>
        <sz val="10"/>
        <rFont val="WenQuanYi Zen Hei"/>
        <family val="2"/>
      </rPr>
      <t xml:space="preserve">に </t>
    </r>
    <r>
      <rPr>
        <sz val="10"/>
        <rFont val="Arial"/>
        <family val="0"/>
        <charset val="1"/>
      </rPr>
      <t xml:space="preserve">parent_lot_id</t>
    </r>
    <r>
      <rPr>
        <sz val="10"/>
        <rFont val="WenQuanYi Zen Hei"/>
        <family val="2"/>
      </rPr>
      <t xml:space="preserve">）を追加</t>
    </r>
  </si>
  <si>
    <t xml:space="preserve">Q-05</t>
  </si>
  <si>
    <t xml:space="preserve">サンプル（無償出荷）もトレース対象とするか。</t>
  </si>
  <si>
    <t xml:space="preserve">対象とする前提で、受注に『無償』区分を追加する案</t>
  </si>
  <si>
    <t xml:space="preserve">Q-06</t>
  </si>
  <si>
    <r>
      <rPr>
        <sz val="10"/>
        <rFont val="WenQuanYi Zen Hei"/>
        <family val="2"/>
      </rPr>
      <t xml:space="preserve">温度ロガー機器からの自動取込（</t>
    </r>
    <r>
      <rPr>
        <sz val="10"/>
        <rFont val="Arial"/>
        <family val="0"/>
        <charset val="1"/>
      </rPr>
      <t xml:space="preserve">API/CSV</t>
    </r>
    <r>
      <rPr>
        <sz val="10"/>
        <rFont val="WenQuanYi Zen Hei"/>
        <family val="2"/>
      </rPr>
      <t xml:space="preserve">）の要否と機種。</t>
    </r>
  </si>
  <si>
    <r>
      <rPr>
        <sz val="10"/>
        <rFont val="WenQuanYi Zen Hei"/>
        <family val="2"/>
      </rPr>
      <t xml:space="preserve">当面は</t>
    </r>
    <r>
      <rPr>
        <sz val="10"/>
        <rFont val="Arial"/>
        <family val="0"/>
        <charset val="1"/>
      </rPr>
      <t xml:space="preserve">CSV</t>
    </r>
    <r>
      <rPr>
        <sz val="10"/>
        <rFont val="WenQuanYi Zen Hei"/>
        <family val="2"/>
      </rPr>
      <t xml:space="preserve">取込で対応</t>
    </r>
  </si>
  <si>
    <t xml:space="preserve">詳細設計まで</t>
  </si>
  <si>
    <t xml:space="preserve">Q-07</t>
  </si>
  <si>
    <r>
      <rPr>
        <sz val="10"/>
        <rFont val="WenQuanYi Zen Hei"/>
        <family val="2"/>
      </rPr>
      <t xml:space="preserve">会計ソフト（</t>
    </r>
    <r>
      <rPr>
        <sz val="10"/>
        <rFont val="Arial"/>
        <family val="0"/>
        <charset val="1"/>
      </rPr>
      <t xml:space="preserve">freee/</t>
    </r>
    <r>
      <rPr>
        <sz val="10"/>
        <rFont val="WenQuanYi Zen Hei"/>
        <family val="2"/>
      </rPr>
      <t xml:space="preserve">マネーフォワード</t>
    </r>
    <r>
      <rPr>
        <sz val="10"/>
        <rFont val="Arial"/>
        <family val="0"/>
        <charset val="1"/>
      </rPr>
      <t xml:space="preserve">/</t>
    </r>
    <r>
      <rPr>
        <sz val="10"/>
        <rFont val="WenQuanYi Zen Hei"/>
        <family val="2"/>
      </rPr>
      <t xml:space="preserve">弥生 等）の機種と取込形式。</t>
    </r>
  </si>
  <si>
    <r>
      <rPr>
        <sz val="10"/>
        <rFont val="WenQuanYi Zen Hei"/>
        <family val="2"/>
      </rPr>
      <t xml:space="preserve">機種確定後に</t>
    </r>
    <r>
      <rPr>
        <sz val="10"/>
        <rFont val="Arial"/>
        <family val="0"/>
        <charset val="1"/>
      </rPr>
      <t xml:space="preserve">RP-08</t>
    </r>
    <r>
      <rPr>
        <sz val="10"/>
        <rFont val="WenQuanYi Zen Hei"/>
        <family val="2"/>
      </rPr>
      <t xml:space="preserve">の項目確定</t>
    </r>
  </si>
  <si>
    <t xml:space="preserve">Q-08</t>
  </si>
  <si>
    <r>
      <rPr>
        <sz val="10"/>
        <rFont val="WenQuanYi Zen Hei"/>
        <family val="2"/>
      </rPr>
      <t xml:space="preserve">第</t>
    </r>
    <r>
      <rPr>
        <sz val="10"/>
        <rFont val="Arial"/>
        <family val="0"/>
        <charset val="1"/>
      </rPr>
      <t xml:space="preserve">1</t>
    </r>
    <r>
      <rPr>
        <sz val="10"/>
        <rFont val="WenQuanYi Zen Hei"/>
        <family val="2"/>
      </rPr>
      <t xml:space="preserve">段階をスプレッドシート＋</t>
    </r>
    <r>
      <rPr>
        <sz val="10"/>
        <rFont val="Arial"/>
        <family val="0"/>
        <charset val="1"/>
      </rPr>
      <t xml:space="preserve">AppSheet </t>
    </r>
    <r>
      <rPr>
        <sz val="10"/>
        <rFont val="WenQuanYi Zen Hei"/>
        <family val="2"/>
      </rPr>
      <t xml:space="preserve">で始めるか、</t>
    </r>
    <r>
      <rPr>
        <sz val="10"/>
        <rFont val="Arial"/>
        <family val="0"/>
        <charset val="1"/>
      </rPr>
      <t xml:space="preserve">Web</t>
    </r>
    <r>
      <rPr>
        <sz val="10"/>
        <rFont val="WenQuanYi Zen Hei"/>
        <family val="2"/>
      </rPr>
      <t xml:space="preserve">アプリで始めるか。</t>
    </r>
  </si>
  <si>
    <t xml:space="preserve">件数・予算・開始時期で判断</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</si>
</sst>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F4E5F"/>
      <name val="WenQuanYi Zen Hei"/>
      <family val="2"/>
    </font>
    <font>
      <b val="true"/>
      <sz val="16"/>
      <color rgb="FF1F4E5F"/>
      <name val="Arial"/>
      <family val="0"/>
      <charset val="1"/>
    </font>
    <font>
      <b val="true"/>
      <sz val="14"/>
      <name val="WenQuanYi Zen Hei"/>
      <family val="2"/>
    </font>
    <font>
      <b val="true"/>
      <sz val="10"/>
      <name val="WenQuanYi Zen Hei"/>
      <family val="2"/>
    </font>
    <font>
      <sz val="10"/>
      <name val="Arial"/>
      <family val="0"/>
      <charset val="1"/>
    </font>
    <font>
      <sz val="10"/>
      <name val="WenQuanYi Zen Hei"/>
      <family val="2"/>
    </font>
    <font>
      <b val="true"/>
      <sz val="11"/>
      <color rgb="FF1F4E5F"/>
      <name val="WenQuanYi Zen Hei"/>
      <family val="2"/>
    </font>
    <font>
      <b val="true"/>
      <sz val="10"/>
      <color rgb="FFFFFFFF"/>
      <name val="Arial"/>
      <family val="0"/>
      <charset val="1"/>
    </font>
    <font>
      <b val="true"/>
      <sz val="10"/>
      <color rgb="FFFFFFFF"/>
      <name val="WenQuanYi Zen Hei"/>
      <family val="2"/>
    </font>
    <font>
      <u val="single"/>
      <sz val="10"/>
      <color rgb="FF0563C1"/>
      <name val="WenQuanYi Zen Hei"/>
      <family val="2"/>
    </font>
    <font>
      <u val="single"/>
      <sz val="10"/>
      <color rgb="FF0563C1"/>
      <name val="Arial"/>
      <family val="0"/>
      <charset val="1"/>
    </font>
    <font>
      <i val="true"/>
      <sz val="9"/>
      <color rgb="FF595959"/>
      <name val="WenQuanYi Zen Hei"/>
      <family val="2"/>
    </font>
    <font>
      <i val="true"/>
      <sz val="9"/>
      <color rgb="FF595959"/>
      <name val="Arial"/>
      <family val="0"/>
      <charset val="1"/>
    </font>
    <font>
      <b val="true"/>
      <sz val="11"/>
      <color rgb="FF1F4E5F"/>
      <name val="Arial"/>
      <family val="0"/>
      <charset val="1"/>
    </font>
    <font>
      <b val="true"/>
      <sz val="10"/>
      <name val="Arial"/>
      <family val="0"/>
      <charset val="1"/>
    </font>
    <font>
      <sz val="9"/>
      <name val="Courier New"/>
      <family val="0"/>
      <charset val="1"/>
    </font>
    <font>
      <sz val="9"/>
      <name val="WenQuanYi Zen Hei"/>
      <family val="2"/>
    </font>
    <font>
      <sz val="10"/>
      <color rgb="FFA6A6A6"/>
      <name val="Arial"/>
      <family val="0"/>
      <charset val="1"/>
    </font>
    <font>
      <sz val="10"/>
      <name val="Arial"/>
      <family val="2"/>
    </font>
  </fonts>
  <fills count="7">
    <fill>
      <patternFill patternType="none"/>
    </fill>
    <fill>
      <patternFill patternType="gray125"/>
    </fill>
    <fill>
      <patternFill patternType="solid">
        <fgColor rgb="FF1F4E5F"/>
        <bgColor rgb="FF333333"/>
      </patternFill>
    </fill>
    <fill>
      <patternFill patternType="solid">
        <fgColor rgb="FFD9E7EC"/>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7E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12"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8"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9E7EC"/>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E2EFDA"/>
          <bgColor rgb="FF000000"/>
        </patternFill>
      </fill>
    </dxf>
    <dxf>
      <fill>
        <patternFill patternType="solid">
          <fgColor rgb="FFA6A6A6"/>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9E7EC"/>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
</Relationships>
</file>

<file path=xl/worksheets/_rels/sheet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Relationship Id="rId24" Type="http://schemas.openxmlformats.org/officeDocument/2006/relationships/hyperlink" Target="EXO-TRACE_&#35443;&#32048;&#35373;&#35336;&#26360;.xlsx" TargetMode="External"/><Relationship Id="rId25" Type="http://schemas.openxmlformats.org/officeDocument/2006/relationships/hyperlink" Target="EXO-TRACE_&#35443;&#32048;&#35373;&#35336;&#26360;.xlsx" TargetMode="External"/><Relationship Id="rId26" Type="http://schemas.openxmlformats.org/officeDocument/2006/relationships/hyperlink" Target="EXO-TRACE_&#35443;&#32048;&#35373;&#35336;&#26360;.xlsx" TargetMode="External"/><Relationship Id="rId27"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hyperlink" Target="EXO-TRACE_&#35443;&#32048;&#35373;&#35336;&#26360;.xlsx" TargetMode="External"/>
</Relationships>
</file>

<file path=xl/worksheets/_rels/sheet1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EXO-TRACE_&#35443;&#32048;&#35373;&#35336;&#26360;.xlsx" TargetMode="External"/><Relationship Id="rId3" Type="http://schemas.openxmlformats.org/officeDocument/2006/relationships/drawing" Target="../drawings/drawing22.xml"/><Relationship Id="rId4"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60"/>
  </cols>
  <sheetData>
    <row r="1" customFormat="false" ht="20.85" hidden="false" customHeight="false" outlineLevel="0" collapsed="false">
      <c r="A1" s="1" t="s">
        <v>0</v>
      </c>
    </row>
    <row r="2" customFormat="false" ht="17.3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5</v>
      </c>
    </row>
    <row r="7" customFormat="false" ht="15" hidden="false" customHeight="false" outlineLevel="0" collapsed="false">
      <c r="A7" s="3" t="s">
        <v>7</v>
      </c>
      <c r="B7" s="4" t="s">
        <v>8</v>
      </c>
    </row>
    <row r="8" customFormat="false" ht="15" hidden="false" customHeight="false" outlineLevel="0" collapsed="false">
      <c r="A8" s="3" t="s">
        <v>9</v>
      </c>
      <c r="B8" s="4" t="s">
        <v>10</v>
      </c>
    </row>
    <row r="10" customFormat="false" ht="15" hidden="false" customHeight="false" outlineLevel="0" collapsed="false">
      <c r="A10" s="5" t="s">
        <v>11</v>
      </c>
    </row>
    <row r="11" customFormat="false" ht="15" hidden="false" customHeight="false" outlineLevel="0" collapsed="false">
      <c r="A11" s="6" t="s">
        <v>12</v>
      </c>
      <c r="B11" s="7" t="n">
        <f aca="false">COUNTA(機能一覧!A4:A2000)</f>
        <v>34</v>
      </c>
    </row>
    <row r="12" customFormat="false" ht="15" hidden="false" customHeight="false" outlineLevel="0" collapsed="false">
      <c r="A12" s="6" t="s">
        <v>13</v>
      </c>
      <c r="B12" s="7" t="n">
        <f aca="false">COUNTIF(機能一覧!E:E,"MUST")</f>
        <v>27</v>
      </c>
    </row>
    <row r="13" customFormat="false" ht="15" hidden="false" customHeight="false" outlineLevel="0" collapsed="false">
      <c r="A13" s="6" t="s">
        <v>14</v>
      </c>
      <c r="B13" s="7" t="n">
        <f aca="false">COUNTA(画面一覧!A4:A2000)</f>
        <v>24</v>
      </c>
    </row>
    <row r="14" customFormat="false" ht="15" hidden="false" customHeight="false" outlineLevel="0" collapsed="false">
      <c r="A14" s="6" t="s">
        <v>15</v>
      </c>
      <c r="B14" s="7" t="n">
        <f aca="false">COUNTA(画面項目定義!A4:A2000)</f>
        <v>62</v>
      </c>
    </row>
    <row r="15" customFormat="false" ht="15" hidden="false" customHeight="false" outlineLevel="0" collapsed="false">
      <c r="A15" s="8" t="s">
        <v>16</v>
      </c>
      <c r="B15" s="7" t="n">
        <f aca="false">COUNTA(API一覧!A4:A2000)</f>
        <v>43</v>
      </c>
    </row>
    <row r="16" customFormat="false" ht="15" hidden="false" customHeight="false" outlineLevel="0" collapsed="false">
      <c r="A16" s="6" t="s">
        <v>17</v>
      </c>
      <c r="B16" s="7" t="n">
        <f aca="false">COUNTA(テーブル一覧!A4:A2000)</f>
        <v>25</v>
      </c>
    </row>
    <row r="17" customFormat="false" ht="15" hidden="false" customHeight="false" outlineLevel="0" collapsed="false">
      <c r="A17" s="6" t="s">
        <v>18</v>
      </c>
      <c r="B17" s="7" t="n">
        <f aca="false">SUM(テーブル一覧!E:E)</f>
        <v>325</v>
      </c>
    </row>
    <row r="18" customFormat="false" ht="15" hidden="false" customHeight="false" outlineLevel="0" collapsed="false">
      <c r="A18" s="6" t="s">
        <v>19</v>
      </c>
      <c r="B18" s="7" t="n">
        <f aca="false">COUNTA(業務ルール!A4:A2000)</f>
        <v>16</v>
      </c>
    </row>
    <row r="19" customFormat="false" ht="15" hidden="false" customHeight="false" outlineLevel="0" collapsed="false">
      <c r="A19" s="6" t="s">
        <v>20</v>
      </c>
      <c r="B19" s="7" t="n">
        <f aca="false">COUNTIF(課題一覧!F:F,"未対応")</f>
        <v>8</v>
      </c>
    </row>
    <row r="20" customFormat="false" ht="15" hidden="false" customHeight="false" outlineLevel="0" collapsed="false">
      <c r="A20" s="6" t="s">
        <v>21</v>
      </c>
      <c r="B20" s="7" t="n">
        <f aca="false">COUNTA(レビュー記録!A4:A2000)</f>
        <v>0</v>
      </c>
    </row>
    <row r="21" customFormat="false" ht="15" hidden="false" customHeight="false" outlineLevel="0" collapsed="false">
      <c r="A21" s="6" t="s">
        <v>22</v>
      </c>
      <c r="B21" s="7" t="n">
        <f aca="false">COUNTIF(レビュー記録!F:F,"対応済")</f>
        <v>0</v>
      </c>
    </row>
    <row r="23" customFormat="false" ht="15" hidden="false" customHeight="false" outlineLevel="0" collapsed="false">
      <c r="A23" s="5" t="s">
        <v>23</v>
      </c>
    </row>
    <row r="24" customFormat="false" ht="15" hidden="false" customHeight="false" outlineLevel="0" collapsed="false">
      <c r="A24" s="9" t="s">
        <v>24</v>
      </c>
      <c r="B24" s="10" t="s">
        <v>25</v>
      </c>
      <c r="C24" s="10" t="s">
        <v>26</v>
      </c>
    </row>
    <row r="25" customFormat="false" ht="15" hidden="false" customHeight="false" outlineLevel="0" collapsed="false">
      <c r="A25" s="11" t="n">
        <v>1</v>
      </c>
      <c r="B25" s="12" t="s">
        <v>27</v>
      </c>
      <c r="C25" s="6" t="s">
        <v>28</v>
      </c>
    </row>
    <row r="26" customFormat="false" ht="15" hidden="false" customHeight="false" outlineLevel="0" collapsed="false">
      <c r="A26" s="11" t="n">
        <v>2</v>
      </c>
      <c r="B26" s="12" t="s">
        <v>29</v>
      </c>
      <c r="C26" s="6" t="s">
        <v>30</v>
      </c>
    </row>
    <row r="27" customFormat="false" ht="15" hidden="false" customHeight="false" outlineLevel="0" collapsed="false">
      <c r="A27" s="11" t="n">
        <v>3</v>
      </c>
      <c r="B27" s="12" t="s">
        <v>31</v>
      </c>
      <c r="C27" s="6" t="s">
        <v>32</v>
      </c>
    </row>
    <row r="28" customFormat="false" ht="15" hidden="false" customHeight="false" outlineLevel="0" collapsed="false">
      <c r="A28" s="11" t="n">
        <v>4</v>
      </c>
      <c r="B28" s="12" t="s">
        <v>33</v>
      </c>
      <c r="C28" s="6" t="s">
        <v>34</v>
      </c>
    </row>
    <row r="29" customFormat="false" ht="15" hidden="false" customHeight="false" outlineLevel="0" collapsed="false">
      <c r="A29" s="11" t="n">
        <v>5</v>
      </c>
      <c r="B29" s="12" t="s">
        <v>35</v>
      </c>
      <c r="C29" s="6" t="s">
        <v>36</v>
      </c>
    </row>
    <row r="30" customFormat="false" ht="15" hidden="false" customHeight="false" outlineLevel="0" collapsed="false">
      <c r="A30" s="11" t="n">
        <v>6</v>
      </c>
      <c r="B30" s="12" t="s">
        <v>37</v>
      </c>
      <c r="C30" s="6" t="s">
        <v>38</v>
      </c>
    </row>
    <row r="31" customFormat="false" ht="15" hidden="false" customHeight="false" outlineLevel="0" collapsed="false">
      <c r="A31" s="11" t="n">
        <v>7</v>
      </c>
      <c r="B31" s="12" t="s">
        <v>39</v>
      </c>
      <c r="C31" s="6" t="s">
        <v>40</v>
      </c>
    </row>
    <row r="32" customFormat="false" ht="15" hidden="false" customHeight="false" outlineLevel="0" collapsed="false">
      <c r="A32" s="11" t="n">
        <v>8</v>
      </c>
      <c r="B32" s="13" t="s">
        <v>41</v>
      </c>
      <c r="C32" s="8" t="s">
        <v>42</v>
      </c>
    </row>
    <row r="33" customFormat="false" ht="15" hidden="false" customHeight="false" outlineLevel="0" collapsed="false">
      <c r="A33" s="11" t="n">
        <v>9</v>
      </c>
      <c r="B33" s="12" t="s">
        <v>43</v>
      </c>
      <c r="C33" s="6" t="s">
        <v>44</v>
      </c>
    </row>
    <row r="34" customFormat="false" ht="15" hidden="false" customHeight="false" outlineLevel="0" collapsed="false">
      <c r="A34" s="11" t="n">
        <v>10</v>
      </c>
      <c r="B34" s="12" t="s">
        <v>45</v>
      </c>
      <c r="C34" s="6" t="s">
        <v>46</v>
      </c>
    </row>
    <row r="35" customFormat="false" ht="15" hidden="false" customHeight="false" outlineLevel="0" collapsed="false">
      <c r="A35" s="11" t="n">
        <v>11</v>
      </c>
      <c r="B35" s="12" t="s">
        <v>47</v>
      </c>
      <c r="C35" s="6" t="s">
        <v>48</v>
      </c>
    </row>
    <row r="36" customFormat="false" ht="15" hidden="false" customHeight="false" outlineLevel="0" collapsed="false">
      <c r="A36" s="11" t="n">
        <v>12</v>
      </c>
      <c r="B36" s="12" t="s">
        <v>49</v>
      </c>
      <c r="C36" s="6" t="s">
        <v>50</v>
      </c>
    </row>
    <row r="37" customFormat="false" ht="15" hidden="false" customHeight="false" outlineLevel="0" collapsed="false">
      <c r="A37" s="11" t="n">
        <v>13</v>
      </c>
      <c r="B37" s="12" t="s">
        <v>51</v>
      </c>
      <c r="C37" s="6" t="s">
        <v>52</v>
      </c>
    </row>
    <row r="38" customFormat="false" ht="15" hidden="false" customHeight="false" outlineLevel="0" collapsed="false">
      <c r="A38" s="11" t="n">
        <v>14</v>
      </c>
      <c r="B38" s="12" t="s">
        <v>53</v>
      </c>
      <c r="C38" s="6" t="s">
        <v>54</v>
      </c>
    </row>
    <row r="39" customFormat="false" ht="15" hidden="false" customHeight="false" outlineLevel="0" collapsed="false">
      <c r="A39" s="11" t="n">
        <v>15</v>
      </c>
      <c r="B39" s="13" t="s">
        <v>55</v>
      </c>
      <c r="C39" s="8" t="s">
        <v>56</v>
      </c>
    </row>
    <row r="40" customFormat="false" ht="15" hidden="false" customHeight="false" outlineLevel="0" collapsed="false">
      <c r="A40" s="11" t="n">
        <v>16</v>
      </c>
      <c r="B40" s="12" t="s">
        <v>57</v>
      </c>
      <c r="C40" s="6" t="s">
        <v>58</v>
      </c>
    </row>
    <row r="41" customFormat="false" ht="15" hidden="false" customHeight="false" outlineLevel="0" collapsed="false">
      <c r="A41" s="11" t="n">
        <v>17</v>
      </c>
      <c r="B41" s="12" t="s">
        <v>59</v>
      </c>
      <c r="C41" s="6" t="s">
        <v>60</v>
      </c>
    </row>
    <row r="42" customFormat="false" ht="15" hidden="false" customHeight="false" outlineLevel="0" collapsed="false">
      <c r="A42" s="11" t="n">
        <v>18</v>
      </c>
      <c r="B42" s="12" t="s">
        <v>61</v>
      </c>
      <c r="C42" s="6" t="s">
        <v>62</v>
      </c>
    </row>
    <row r="43" customFormat="false" ht="15" hidden="false" customHeight="false" outlineLevel="0" collapsed="false">
      <c r="A43" s="11" t="n">
        <v>19</v>
      </c>
      <c r="B43" s="12" t="s">
        <v>63</v>
      </c>
      <c r="C43" s="6" t="s">
        <v>64</v>
      </c>
    </row>
    <row r="44" customFormat="false" ht="15" hidden="false" customHeight="false" outlineLevel="0" collapsed="false">
      <c r="A44" s="11" t="n">
        <v>20</v>
      </c>
      <c r="B44" s="12" t="s">
        <v>65</v>
      </c>
      <c r="C44" s="6" t="s">
        <v>66</v>
      </c>
    </row>
    <row r="45" customFormat="false" ht="15" hidden="false" customHeight="false" outlineLevel="0" collapsed="false">
      <c r="A45" s="11" t="n">
        <v>21</v>
      </c>
      <c r="B45" s="12" t="s">
        <v>67</v>
      </c>
      <c r="C45" s="6" t="s">
        <v>68</v>
      </c>
    </row>
    <row r="46" customFormat="false" ht="15" hidden="false" customHeight="false" outlineLevel="0" collapsed="false">
      <c r="A46" s="11" t="n">
        <v>22</v>
      </c>
      <c r="B46" s="12" t="s">
        <v>69</v>
      </c>
      <c r="C46" s="6" t="s">
        <v>70</v>
      </c>
    </row>
    <row r="47" customFormat="false" ht="15" hidden="false" customHeight="false" outlineLevel="0" collapsed="false">
      <c r="A47" s="11" t="n">
        <v>23</v>
      </c>
      <c r="B47" s="12" t="s">
        <v>71</v>
      </c>
      <c r="C47" s="6" t="s">
        <v>72</v>
      </c>
    </row>
    <row r="49" customFormat="false" ht="15" hidden="false" customHeight="false" outlineLevel="0" collapsed="false">
      <c r="A49" s="5" t="s">
        <v>73</v>
      </c>
    </row>
    <row r="50" customFormat="false" ht="15" hidden="false" customHeight="false" outlineLevel="0" collapsed="false">
      <c r="A50" s="14"/>
      <c r="B50" s="15" t="s">
        <v>74</v>
      </c>
    </row>
    <row r="51" customFormat="false" ht="15" hidden="false" customHeight="false" outlineLevel="0" collapsed="false">
      <c r="A51" s="16"/>
      <c r="B51" s="15" t="s">
        <v>75</v>
      </c>
    </row>
    <row r="52" customFormat="false" ht="15" hidden="false" customHeight="false" outlineLevel="0" collapsed="false">
      <c r="A52" s="17"/>
      <c r="B52" s="15" t="s">
        <v>76</v>
      </c>
    </row>
    <row r="53" customFormat="false" ht="15" hidden="false" customHeight="false" outlineLevel="0" collapsed="false">
      <c r="A53" s="18"/>
      <c r="B53" s="15" t="s">
        <v>77</v>
      </c>
    </row>
  </sheetData>
  <hyperlinks>
    <hyperlink ref="B25" r:id="rId1" location="'改訂履歴'!A1" display="改訂履歴"/>
    <hyperlink ref="B26" r:id="rId2" location="'レビュー記録'!A1" display="レビュー記録"/>
    <hyperlink ref="B27" r:id="rId3" location="'システム概要'!A1" display="システム概要"/>
    <hyperlink ref="B28" r:id="rId4" location="'業務フロー'!A1" display="業務フロー"/>
    <hyperlink ref="B29" r:id="rId5" location="'機能一覧'!A1" display="機能一覧"/>
    <hyperlink ref="B30" r:id="rId6" location="'画面一覧'!A1" display="画面一覧"/>
    <hyperlink ref="B31" r:id="rId7" location="'画面項目定義'!A1" display="画面項目定義"/>
    <hyperlink ref="B32" r:id="rId8" location="'API一覧'!A1" display="API一覧"/>
    <hyperlink ref="B33" r:id="rId9" location="'処理詳細'!A1" display="処理詳細"/>
    <hyperlink ref="B34" r:id="rId10" location="'業務ルール'!A1" display="業務ルール"/>
    <hyperlink ref="B35" r:id="rId11" location="'状態遷移'!A1" display="状態遷移"/>
    <hyperlink ref="B36" r:id="rId12" location="'テーブル一覧'!A1" display="テーブル一覧"/>
    <hyperlink ref="B37" r:id="rId13" location="'項目定義'!A1" display="項目定義"/>
    <hyperlink ref="B38" r:id="rId14" location="'インデックス・制約'!A1" display="インデックス・制約"/>
    <hyperlink ref="B39" r:id="rId15" location="'DDL'!A1" display="DDL"/>
    <hyperlink ref="B40" r:id="rId16" location="'主要SQL'!A1" display="主要SQL"/>
    <hyperlink ref="B41" r:id="rId17" location="'コード定義'!A1" display="コード定義"/>
    <hyperlink ref="B42" r:id="rId18" location="'権限マトリクス'!A1" display="権限マトリクス"/>
    <hyperlink ref="B43" r:id="rId19" location="'メッセージ一覧'!A1" display="メッセージ一覧"/>
    <hyperlink ref="B44" r:id="rId20" location="'帳票一覧'!A1" display="帳票一覧"/>
    <hyperlink ref="B45" r:id="rId21" location="'バッチ一覧'!A1" display="バッチ一覧"/>
    <hyperlink ref="B46" r:id="rId22" location="'非機能要件'!A1" display="非機能要件"/>
    <hyperlink ref="B47" r:id="rId23" location="'課題一覧'!A1" display="課題一覧"/>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10"/>
    <col collapsed="false" customWidth="true" hidden="false" outlineLevel="0" max="4" min="4" style="0" width="90"/>
    <col collapsed="false" customWidth="true" hidden="false" outlineLevel="0" max="5" min="5" style="0" width="14"/>
  </cols>
  <sheetData>
    <row r="1" customFormat="false" ht="15" hidden="false" customHeight="false" outlineLevel="0" collapsed="false">
      <c r="A1" s="5" t="s">
        <v>27</v>
      </c>
      <c r="E1" s="19" t="s">
        <v>78</v>
      </c>
    </row>
    <row r="3" customFormat="false" ht="15" hidden="false" customHeight="false" outlineLevel="0" collapsed="false">
      <c r="A3" s="10" t="s">
        <v>79</v>
      </c>
      <c r="B3" s="10" t="s">
        <v>80</v>
      </c>
      <c r="C3" s="10" t="s">
        <v>81</v>
      </c>
      <c r="D3" s="10" t="s">
        <v>26</v>
      </c>
      <c r="E3" s="10" t="s">
        <v>82</v>
      </c>
    </row>
    <row r="4" customFormat="false" ht="15" hidden="false" customHeight="false" outlineLevel="0" collapsed="false">
      <c r="A4" s="11" t="s">
        <v>83</v>
      </c>
      <c r="B4" s="11" t="s">
        <v>5</v>
      </c>
      <c r="C4" s="20" t="s">
        <v>84</v>
      </c>
      <c r="D4" s="21" t="s">
        <v>85</v>
      </c>
      <c r="E4" s="22" t="s">
        <v>86</v>
      </c>
    </row>
  </sheetData>
  <autoFilter ref="A3:E4"/>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18"/>
    <col collapsed="false" customWidth="true" hidden="false" outlineLevel="0" max="5" min="4" style="0" width="60"/>
    <col collapsed="false" customWidth="true" hidden="false" outlineLevel="0" max="6" min="6" style="0" width="9"/>
    <col collapsed="false" customWidth="true" hidden="false" outlineLevel="0" max="7" min="7" style="0" width="8"/>
  </cols>
  <sheetData>
    <row r="1" customFormat="false" ht="15" hidden="false" customHeight="false" outlineLevel="0" collapsed="false">
      <c r="A1" s="5" t="s">
        <v>87</v>
      </c>
      <c r="G1" s="19" t="s">
        <v>78</v>
      </c>
    </row>
    <row r="2" customFormat="false" ht="15" hidden="false" customHeight="false" outlineLevel="0" collapsed="false">
      <c r="A2" s="23" t="s">
        <v>88</v>
      </c>
    </row>
    <row r="3" customFormat="false" ht="15" hidden="false" customHeight="false" outlineLevel="0" collapsed="false">
      <c r="A3" s="9" t="s">
        <v>24</v>
      </c>
      <c r="B3" s="10" t="s">
        <v>89</v>
      </c>
      <c r="C3" s="10" t="s">
        <v>90</v>
      </c>
      <c r="D3" s="10" t="s">
        <v>91</v>
      </c>
      <c r="E3" s="10" t="s">
        <v>92</v>
      </c>
      <c r="F3" s="10" t="s">
        <v>93</v>
      </c>
      <c r="G3" s="10" t="s">
        <v>94</v>
      </c>
    </row>
  </sheetData>
  <autoFilter ref="A3:G4"/>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5" hidden="false" customHeight="false" outlineLevel="0" collapsed="false">
      <c r="A1" s="5" t="s">
        <v>31</v>
      </c>
      <c r="B1" s="19" t="s">
        <v>78</v>
      </c>
    </row>
    <row r="3" customFormat="false" ht="15" hidden="false" customHeight="false" outlineLevel="0" collapsed="false">
      <c r="A3" s="10" t="s">
        <v>95</v>
      </c>
      <c r="B3" s="10" t="s">
        <v>26</v>
      </c>
    </row>
    <row r="4" customFormat="false" ht="26.85" hidden="false" customHeight="false" outlineLevel="0" collapsed="false">
      <c r="A4" s="24" t="s">
        <v>96</v>
      </c>
      <c r="B4" s="21" t="s">
        <v>97</v>
      </c>
    </row>
    <row r="5" customFormat="false" ht="26.85" hidden="false" customHeight="false" outlineLevel="0" collapsed="false">
      <c r="A5" s="24" t="s">
        <v>98</v>
      </c>
      <c r="B5" s="21" t="s">
        <v>99</v>
      </c>
    </row>
    <row r="6" customFormat="false" ht="26.85" hidden="false" customHeight="false" outlineLevel="0" collapsed="false">
      <c r="A6" s="24" t="s">
        <v>100</v>
      </c>
      <c r="B6" s="21" t="s">
        <v>101</v>
      </c>
    </row>
    <row r="7" customFormat="false" ht="15" hidden="false" customHeight="false" outlineLevel="0" collapsed="false">
      <c r="A7" s="24" t="s">
        <v>102</v>
      </c>
      <c r="B7" s="21" t="s">
        <v>103</v>
      </c>
    </row>
    <row r="8" customFormat="false" ht="15" hidden="false" customHeight="false" outlineLevel="0" collapsed="false">
      <c r="A8" s="24" t="s">
        <v>104</v>
      </c>
      <c r="B8" s="21" t="s">
        <v>105</v>
      </c>
    </row>
    <row r="9" customFormat="false" ht="15" hidden="false" customHeight="false" outlineLevel="0" collapsed="false">
      <c r="A9" s="24" t="s">
        <v>106</v>
      </c>
      <c r="B9" s="21" t="s">
        <v>107</v>
      </c>
    </row>
    <row r="10" customFormat="false" ht="26.85" hidden="false" customHeight="false" outlineLevel="0" collapsed="false">
      <c r="A10" s="24" t="s">
        <v>108</v>
      </c>
      <c r="B10" s="21" t="s">
        <v>109</v>
      </c>
    </row>
    <row r="11" customFormat="false" ht="26.85" hidden="false" customHeight="false" outlineLevel="0" collapsed="false">
      <c r="A11" s="24" t="s">
        <v>110</v>
      </c>
      <c r="B11" s="21" t="s">
        <v>111</v>
      </c>
    </row>
    <row r="12" customFormat="false" ht="26.85" hidden="false" customHeight="false" outlineLevel="0" collapsed="false">
      <c r="A12" s="24" t="s">
        <v>112</v>
      </c>
      <c r="B12" s="22" t="s">
        <v>113</v>
      </c>
    </row>
  </sheetData>
  <autoFilter ref="A3:B12"/>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6"/>
    <col collapsed="false" customWidth="true" hidden="false" outlineLevel="0" max="4" min="4" style="0" width="11"/>
    <col collapsed="false" customWidth="true" hidden="false" outlineLevel="0" max="5" min="5" style="0" width="70"/>
    <col collapsed="false" customWidth="true" hidden="false" outlineLevel="0" max="6" min="6" style="0" width="16"/>
    <col collapsed="false" customWidth="true" hidden="false" outlineLevel="0" max="7" min="7" style="0" width="40"/>
  </cols>
  <sheetData>
    <row r="1" customFormat="false" ht="15" hidden="false" customHeight="false" outlineLevel="0" collapsed="false">
      <c r="A1" s="5" t="s">
        <v>33</v>
      </c>
      <c r="G1" s="19" t="s">
        <v>78</v>
      </c>
    </row>
    <row r="2" customFormat="false" ht="15" hidden="false" customHeight="false" outlineLevel="0" collapsed="false">
      <c r="A2" s="23" t="s">
        <v>114</v>
      </c>
    </row>
    <row r="3" customFormat="false" ht="15" hidden="false" customHeight="false" outlineLevel="0" collapsed="false">
      <c r="A3" s="9" t="s">
        <v>24</v>
      </c>
      <c r="B3" s="10" t="s">
        <v>115</v>
      </c>
      <c r="C3" s="10" t="s">
        <v>116</v>
      </c>
      <c r="D3" s="10" t="s">
        <v>117</v>
      </c>
      <c r="E3" s="10" t="s">
        <v>26</v>
      </c>
      <c r="F3" s="10" t="s">
        <v>118</v>
      </c>
      <c r="G3" s="10" t="s">
        <v>119</v>
      </c>
    </row>
    <row r="4" customFormat="false" ht="15" hidden="false" customHeight="false" outlineLevel="0" collapsed="false">
      <c r="A4" s="11" t="s">
        <v>120</v>
      </c>
      <c r="B4" s="20" t="s">
        <v>121</v>
      </c>
      <c r="C4" s="21" t="s">
        <v>122</v>
      </c>
      <c r="D4" s="20" t="s">
        <v>123</v>
      </c>
      <c r="E4" s="21" t="s">
        <v>124</v>
      </c>
      <c r="F4" s="22" t="s">
        <v>125</v>
      </c>
      <c r="G4" s="22" t="s">
        <v>126</v>
      </c>
    </row>
    <row r="5" customFormat="false" ht="26.85" hidden="false" customHeight="false" outlineLevel="0" collapsed="false">
      <c r="A5" s="11" t="s">
        <v>127</v>
      </c>
      <c r="B5" s="20" t="s">
        <v>121</v>
      </c>
      <c r="C5" s="21" t="s">
        <v>128</v>
      </c>
      <c r="D5" s="20" t="s">
        <v>129</v>
      </c>
      <c r="E5" s="21" t="s">
        <v>130</v>
      </c>
      <c r="F5" s="22" t="s">
        <v>131</v>
      </c>
      <c r="G5" s="22" t="s">
        <v>132</v>
      </c>
    </row>
    <row r="6" customFormat="false" ht="26.85" hidden="false" customHeight="false" outlineLevel="0" collapsed="false">
      <c r="A6" s="11" t="s">
        <v>133</v>
      </c>
      <c r="B6" s="20" t="s">
        <v>121</v>
      </c>
      <c r="C6" s="21" t="s">
        <v>134</v>
      </c>
      <c r="D6" s="11" t="s">
        <v>135</v>
      </c>
      <c r="E6" s="22" t="s">
        <v>136</v>
      </c>
      <c r="F6" s="22" t="s">
        <v>137</v>
      </c>
      <c r="G6" s="22" t="s">
        <v>138</v>
      </c>
    </row>
    <row r="7" customFormat="false" ht="26.85" hidden="false" customHeight="false" outlineLevel="0" collapsed="false">
      <c r="A7" s="11" t="s">
        <v>139</v>
      </c>
      <c r="B7" s="20" t="s">
        <v>140</v>
      </c>
      <c r="C7" s="21" t="s">
        <v>141</v>
      </c>
      <c r="D7" s="20" t="s">
        <v>129</v>
      </c>
      <c r="E7" s="21" t="s">
        <v>142</v>
      </c>
      <c r="F7" s="22" t="s">
        <v>143</v>
      </c>
      <c r="G7" s="22" t="s">
        <v>144</v>
      </c>
    </row>
    <row r="8" customFormat="false" ht="26.85" hidden="false" customHeight="false" outlineLevel="0" collapsed="false">
      <c r="A8" s="11" t="s">
        <v>145</v>
      </c>
      <c r="B8" s="20" t="s">
        <v>146</v>
      </c>
      <c r="C8" s="21" t="s">
        <v>147</v>
      </c>
      <c r="D8" s="20" t="s">
        <v>148</v>
      </c>
      <c r="E8" s="21" t="s">
        <v>149</v>
      </c>
      <c r="F8" s="22" t="s">
        <v>150</v>
      </c>
      <c r="G8" s="22" t="s">
        <v>151</v>
      </c>
    </row>
    <row r="9" customFormat="false" ht="26.85" hidden="false" customHeight="false" outlineLevel="0" collapsed="false">
      <c r="A9" s="11" t="s">
        <v>152</v>
      </c>
      <c r="B9" s="20" t="s">
        <v>146</v>
      </c>
      <c r="C9" s="21" t="s">
        <v>153</v>
      </c>
      <c r="D9" s="20" t="s">
        <v>129</v>
      </c>
      <c r="E9" s="21" t="s">
        <v>154</v>
      </c>
      <c r="F9" s="22" t="s">
        <v>155</v>
      </c>
      <c r="G9" s="22" t="s">
        <v>156</v>
      </c>
    </row>
    <row r="10" customFormat="false" ht="15" hidden="false" customHeight="false" outlineLevel="0" collapsed="false">
      <c r="A10" s="11" t="s">
        <v>157</v>
      </c>
      <c r="B10" s="20" t="s">
        <v>146</v>
      </c>
      <c r="C10" s="21" t="s">
        <v>158</v>
      </c>
      <c r="D10" s="20" t="s">
        <v>148</v>
      </c>
      <c r="E10" s="21" t="s">
        <v>159</v>
      </c>
      <c r="F10" s="22" t="s">
        <v>160</v>
      </c>
      <c r="G10" s="22" t="s">
        <v>161</v>
      </c>
    </row>
    <row r="11" customFormat="false" ht="15" hidden="false" customHeight="false" outlineLevel="0" collapsed="false">
      <c r="A11" s="11" t="s">
        <v>162</v>
      </c>
      <c r="B11" s="20" t="s">
        <v>146</v>
      </c>
      <c r="C11" s="21" t="s">
        <v>163</v>
      </c>
      <c r="D11" s="20" t="s">
        <v>129</v>
      </c>
      <c r="E11" s="21" t="s">
        <v>164</v>
      </c>
      <c r="F11" s="22" t="s">
        <v>165</v>
      </c>
      <c r="G11" s="22" t="s">
        <v>166</v>
      </c>
    </row>
    <row r="12" customFormat="false" ht="26.85" hidden="false" customHeight="false" outlineLevel="0" collapsed="false">
      <c r="A12" s="11" t="s">
        <v>167</v>
      </c>
      <c r="B12" s="20" t="s">
        <v>168</v>
      </c>
      <c r="C12" s="21" t="s">
        <v>169</v>
      </c>
      <c r="D12" s="11" t="s">
        <v>135</v>
      </c>
      <c r="E12" s="21" t="s">
        <v>170</v>
      </c>
      <c r="F12" s="22" t="s">
        <v>171</v>
      </c>
      <c r="G12" s="22" t="s">
        <v>172</v>
      </c>
    </row>
    <row r="13" customFormat="false" ht="15" hidden="false" customHeight="false" outlineLevel="0" collapsed="false">
      <c r="A13" s="11" t="s">
        <v>173</v>
      </c>
      <c r="B13" s="20" t="s">
        <v>174</v>
      </c>
      <c r="C13" s="21" t="s">
        <v>175</v>
      </c>
      <c r="D13" s="20" t="s">
        <v>129</v>
      </c>
      <c r="E13" s="21" t="s">
        <v>176</v>
      </c>
      <c r="F13" s="22" t="s">
        <v>177</v>
      </c>
      <c r="G13" s="22" t="s">
        <v>178</v>
      </c>
    </row>
  </sheetData>
  <autoFilter ref="A3:G13"/>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22"/>
    <col collapsed="false" customWidth="true" hidden="false" outlineLevel="0" max="4" min="4" style="0" width="70"/>
    <col collapsed="false" customWidth="true" hidden="false" outlineLevel="0" max="5" min="5" style="0" width="9"/>
    <col collapsed="false" customWidth="true" hidden="false" outlineLevel="0" max="6" min="6" style="0" width="14"/>
  </cols>
  <sheetData>
    <row r="1" customFormat="false" ht="15" hidden="false" customHeight="false" outlineLevel="0" collapsed="false">
      <c r="A1" s="5" t="s">
        <v>35</v>
      </c>
      <c r="F1" s="19" t="s">
        <v>78</v>
      </c>
    </row>
    <row r="2" customFormat="false" ht="15" hidden="false" customHeight="false" outlineLevel="0" collapsed="false">
      <c r="A2" s="23" t="s">
        <v>179</v>
      </c>
    </row>
    <row r="3" customFormat="false" ht="15" hidden="false" customHeight="false" outlineLevel="0" collapsed="false">
      <c r="A3" s="10" t="s">
        <v>180</v>
      </c>
      <c r="B3" s="10" t="s">
        <v>181</v>
      </c>
      <c r="C3" s="10" t="s">
        <v>182</v>
      </c>
      <c r="D3" s="10" t="s">
        <v>183</v>
      </c>
      <c r="E3" s="10" t="s">
        <v>184</v>
      </c>
      <c r="F3" s="10" t="s">
        <v>185</v>
      </c>
    </row>
    <row r="4" customFormat="false" ht="15" hidden="false" customHeight="false" outlineLevel="0" collapsed="false">
      <c r="A4" s="11" t="s">
        <v>186</v>
      </c>
      <c r="B4" s="20" t="s">
        <v>187</v>
      </c>
      <c r="C4" s="21" t="s">
        <v>188</v>
      </c>
      <c r="D4" s="21" t="s">
        <v>189</v>
      </c>
      <c r="E4" s="11" t="s">
        <v>190</v>
      </c>
      <c r="F4" s="11" t="s">
        <v>191</v>
      </c>
    </row>
    <row r="5" customFormat="false" ht="15" hidden="false" customHeight="false" outlineLevel="0" collapsed="false">
      <c r="A5" s="11" t="s">
        <v>192</v>
      </c>
      <c r="B5" s="20" t="s">
        <v>187</v>
      </c>
      <c r="C5" s="21" t="s">
        <v>193</v>
      </c>
      <c r="D5" s="21" t="s">
        <v>194</v>
      </c>
      <c r="E5" s="11" t="s">
        <v>190</v>
      </c>
      <c r="F5" s="11" t="s">
        <v>195</v>
      </c>
    </row>
    <row r="6" customFormat="false" ht="26.85" hidden="false" customHeight="false" outlineLevel="0" collapsed="false">
      <c r="A6" s="11" t="s">
        <v>196</v>
      </c>
      <c r="B6" s="20" t="s">
        <v>187</v>
      </c>
      <c r="C6" s="21" t="s">
        <v>197</v>
      </c>
      <c r="D6" s="21" t="s">
        <v>198</v>
      </c>
      <c r="E6" s="11" t="s">
        <v>190</v>
      </c>
      <c r="F6" s="11" t="s">
        <v>199</v>
      </c>
    </row>
    <row r="7" customFormat="false" ht="15" hidden="false" customHeight="false" outlineLevel="0" collapsed="false">
      <c r="A7" s="11" t="s">
        <v>200</v>
      </c>
      <c r="B7" s="20" t="s">
        <v>187</v>
      </c>
      <c r="C7" s="21" t="s">
        <v>201</v>
      </c>
      <c r="D7" s="21" t="s">
        <v>202</v>
      </c>
      <c r="E7" s="11" t="s">
        <v>190</v>
      </c>
      <c r="F7" s="11" t="s">
        <v>203</v>
      </c>
    </row>
    <row r="8" customFormat="false" ht="15" hidden="false" customHeight="false" outlineLevel="0" collapsed="false">
      <c r="A8" s="11" t="s">
        <v>204</v>
      </c>
      <c r="B8" s="20" t="s">
        <v>187</v>
      </c>
      <c r="C8" s="21" t="s">
        <v>205</v>
      </c>
      <c r="D8" s="21" t="s">
        <v>206</v>
      </c>
      <c r="E8" s="11" t="s">
        <v>190</v>
      </c>
      <c r="F8" s="11" t="s">
        <v>207</v>
      </c>
    </row>
    <row r="9" customFormat="false" ht="15" hidden="false" customHeight="false" outlineLevel="0" collapsed="false">
      <c r="A9" s="11" t="s">
        <v>208</v>
      </c>
      <c r="B9" s="20" t="s">
        <v>187</v>
      </c>
      <c r="C9" s="21" t="s">
        <v>209</v>
      </c>
      <c r="D9" s="21" t="s">
        <v>210</v>
      </c>
      <c r="E9" s="11" t="s">
        <v>190</v>
      </c>
      <c r="F9" s="11" t="s">
        <v>211</v>
      </c>
    </row>
    <row r="10" customFormat="false" ht="15" hidden="false" customHeight="false" outlineLevel="0" collapsed="false">
      <c r="A10" s="11" t="s">
        <v>212</v>
      </c>
      <c r="B10" s="20" t="s">
        <v>121</v>
      </c>
      <c r="C10" s="21" t="s">
        <v>213</v>
      </c>
      <c r="D10" s="21" t="s">
        <v>214</v>
      </c>
      <c r="E10" s="11" t="s">
        <v>215</v>
      </c>
      <c r="F10" s="11" t="s">
        <v>216</v>
      </c>
    </row>
    <row r="11" customFormat="false" ht="15" hidden="false" customHeight="false" outlineLevel="0" collapsed="false">
      <c r="A11" s="11" t="s">
        <v>217</v>
      </c>
      <c r="B11" s="20" t="s">
        <v>121</v>
      </c>
      <c r="C11" s="21" t="s">
        <v>218</v>
      </c>
      <c r="D11" s="21" t="s">
        <v>219</v>
      </c>
      <c r="E11" s="11" t="s">
        <v>215</v>
      </c>
      <c r="F11" s="11" t="s">
        <v>216</v>
      </c>
    </row>
    <row r="12" customFormat="false" ht="15" hidden="false" customHeight="false" outlineLevel="0" collapsed="false">
      <c r="A12" s="11" t="s">
        <v>131</v>
      </c>
      <c r="B12" s="20" t="s">
        <v>121</v>
      </c>
      <c r="C12" s="21" t="s">
        <v>128</v>
      </c>
      <c r="D12" s="21" t="s">
        <v>220</v>
      </c>
      <c r="E12" s="11" t="s">
        <v>190</v>
      </c>
      <c r="F12" s="11" t="s">
        <v>221</v>
      </c>
    </row>
    <row r="13" customFormat="false" ht="15" hidden="false" customHeight="false" outlineLevel="0" collapsed="false">
      <c r="A13" s="11" t="s">
        <v>222</v>
      </c>
      <c r="B13" s="20" t="s">
        <v>121</v>
      </c>
      <c r="C13" s="21" t="s">
        <v>134</v>
      </c>
      <c r="D13" s="22" t="s">
        <v>223</v>
      </c>
      <c r="E13" s="11" t="s">
        <v>190</v>
      </c>
      <c r="F13" s="11" t="s">
        <v>224</v>
      </c>
    </row>
    <row r="14" customFormat="false" ht="15" hidden="false" customHeight="false" outlineLevel="0" collapsed="false">
      <c r="A14" s="11" t="s">
        <v>225</v>
      </c>
      <c r="B14" s="20" t="s">
        <v>226</v>
      </c>
      <c r="C14" s="21" t="s">
        <v>227</v>
      </c>
      <c r="D14" s="21" t="s">
        <v>228</v>
      </c>
      <c r="E14" s="11" t="s">
        <v>190</v>
      </c>
      <c r="F14" s="11" t="s">
        <v>229</v>
      </c>
    </row>
    <row r="15" customFormat="false" ht="15" hidden="false" customHeight="false" outlineLevel="0" collapsed="false">
      <c r="A15" s="11" t="s">
        <v>230</v>
      </c>
      <c r="B15" s="20" t="s">
        <v>226</v>
      </c>
      <c r="C15" s="21" t="s">
        <v>231</v>
      </c>
      <c r="D15" s="21" t="s">
        <v>232</v>
      </c>
      <c r="E15" s="11" t="s">
        <v>190</v>
      </c>
      <c r="F15" s="11" t="s">
        <v>233</v>
      </c>
    </row>
    <row r="16" customFormat="false" ht="15" hidden="false" customHeight="false" outlineLevel="0" collapsed="false">
      <c r="A16" s="11" t="s">
        <v>234</v>
      </c>
      <c r="B16" s="20" t="s">
        <v>140</v>
      </c>
      <c r="C16" s="21" t="s">
        <v>235</v>
      </c>
      <c r="D16" s="21" t="s">
        <v>236</v>
      </c>
      <c r="E16" s="11" t="s">
        <v>190</v>
      </c>
      <c r="F16" s="11" t="s">
        <v>237</v>
      </c>
    </row>
    <row r="17" customFormat="false" ht="15" hidden="false" customHeight="false" outlineLevel="0" collapsed="false">
      <c r="A17" s="11" t="s">
        <v>238</v>
      </c>
      <c r="B17" s="20" t="s">
        <v>140</v>
      </c>
      <c r="C17" s="21" t="s">
        <v>239</v>
      </c>
      <c r="D17" s="21" t="s">
        <v>240</v>
      </c>
      <c r="E17" s="11" t="s">
        <v>215</v>
      </c>
      <c r="F17" s="11" t="s">
        <v>241</v>
      </c>
    </row>
    <row r="18" customFormat="false" ht="15" hidden="false" customHeight="false" outlineLevel="0" collapsed="false">
      <c r="A18" s="11" t="s">
        <v>177</v>
      </c>
      <c r="B18" s="20" t="s">
        <v>140</v>
      </c>
      <c r="C18" s="21" t="s">
        <v>242</v>
      </c>
      <c r="D18" s="21" t="s">
        <v>243</v>
      </c>
      <c r="E18" s="11" t="s">
        <v>190</v>
      </c>
      <c r="F18" s="11" t="s">
        <v>241</v>
      </c>
    </row>
    <row r="19" customFormat="false" ht="15" hidden="false" customHeight="false" outlineLevel="0" collapsed="false">
      <c r="A19" s="11" t="s">
        <v>143</v>
      </c>
      <c r="B19" s="20" t="s">
        <v>140</v>
      </c>
      <c r="C19" s="21" t="s">
        <v>244</v>
      </c>
      <c r="D19" s="21" t="s">
        <v>245</v>
      </c>
      <c r="E19" s="11" t="s">
        <v>215</v>
      </c>
      <c r="F19" s="11" t="s">
        <v>246</v>
      </c>
    </row>
    <row r="20" customFormat="false" ht="15" hidden="false" customHeight="false" outlineLevel="0" collapsed="false">
      <c r="A20" s="11" t="s">
        <v>247</v>
      </c>
      <c r="B20" s="20" t="s">
        <v>140</v>
      </c>
      <c r="C20" s="21" t="s">
        <v>248</v>
      </c>
      <c r="D20" s="21" t="s">
        <v>249</v>
      </c>
      <c r="E20" s="11" t="s">
        <v>190</v>
      </c>
      <c r="F20" s="11" t="s">
        <v>250</v>
      </c>
    </row>
    <row r="21" customFormat="false" ht="15" hidden="false" customHeight="false" outlineLevel="0" collapsed="false">
      <c r="A21" s="11" t="s">
        <v>150</v>
      </c>
      <c r="B21" s="20" t="s">
        <v>146</v>
      </c>
      <c r="C21" s="21" t="s">
        <v>251</v>
      </c>
      <c r="D21" s="21" t="s">
        <v>252</v>
      </c>
      <c r="E21" s="11" t="s">
        <v>190</v>
      </c>
      <c r="F21" s="11" t="s">
        <v>253</v>
      </c>
    </row>
    <row r="22" customFormat="false" ht="15" hidden="false" customHeight="false" outlineLevel="0" collapsed="false">
      <c r="A22" s="11" t="s">
        <v>254</v>
      </c>
      <c r="B22" s="20" t="s">
        <v>146</v>
      </c>
      <c r="C22" s="21" t="s">
        <v>255</v>
      </c>
      <c r="D22" s="21" t="s">
        <v>256</v>
      </c>
      <c r="E22" s="11" t="s">
        <v>190</v>
      </c>
      <c r="F22" s="11" t="s">
        <v>257</v>
      </c>
    </row>
    <row r="23" customFormat="false" ht="15" hidden="false" customHeight="false" outlineLevel="0" collapsed="false">
      <c r="A23" s="11" t="s">
        <v>258</v>
      </c>
      <c r="B23" s="20" t="s">
        <v>146</v>
      </c>
      <c r="C23" s="21" t="s">
        <v>259</v>
      </c>
      <c r="D23" s="21" t="s">
        <v>260</v>
      </c>
      <c r="E23" s="11" t="s">
        <v>190</v>
      </c>
      <c r="F23" s="11" t="s">
        <v>257</v>
      </c>
    </row>
    <row r="24" customFormat="false" ht="15" hidden="false" customHeight="false" outlineLevel="0" collapsed="false">
      <c r="A24" s="11" t="s">
        <v>261</v>
      </c>
      <c r="B24" s="20" t="s">
        <v>146</v>
      </c>
      <c r="C24" s="21" t="s">
        <v>262</v>
      </c>
      <c r="D24" s="21" t="s">
        <v>263</v>
      </c>
      <c r="E24" s="11" t="s">
        <v>190</v>
      </c>
      <c r="F24" s="11" t="s">
        <v>257</v>
      </c>
    </row>
    <row r="25" customFormat="false" ht="15" hidden="false" customHeight="false" outlineLevel="0" collapsed="false">
      <c r="A25" s="11" t="s">
        <v>165</v>
      </c>
      <c r="B25" s="20" t="s">
        <v>146</v>
      </c>
      <c r="C25" s="21" t="s">
        <v>264</v>
      </c>
      <c r="D25" s="21" t="s">
        <v>265</v>
      </c>
      <c r="E25" s="11" t="s">
        <v>215</v>
      </c>
      <c r="F25" s="11" t="s">
        <v>266</v>
      </c>
    </row>
    <row r="26" customFormat="false" ht="15" hidden="false" customHeight="false" outlineLevel="0" collapsed="false">
      <c r="A26" s="11" t="s">
        <v>267</v>
      </c>
      <c r="B26" s="20" t="s">
        <v>268</v>
      </c>
      <c r="C26" s="21" t="s">
        <v>269</v>
      </c>
      <c r="D26" s="21" t="s">
        <v>270</v>
      </c>
      <c r="E26" s="11" t="s">
        <v>190</v>
      </c>
      <c r="F26" s="11" t="s">
        <v>271</v>
      </c>
    </row>
    <row r="27" customFormat="false" ht="15" hidden="false" customHeight="false" outlineLevel="0" collapsed="false">
      <c r="A27" s="11" t="s">
        <v>272</v>
      </c>
      <c r="B27" s="20" t="s">
        <v>268</v>
      </c>
      <c r="C27" s="21" t="s">
        <v>273</v>
      </c>
      <c r="D27" s="21" t="s">
        <v>274</v>
      </c>
      <c r="E27" s="11" t="s">
        <v>190</v>
      </c>
      <c r="F27" s="11" t="s">
        <v>275</v>
      </c>
    </row>
    <row r="28" customFormat="false" ht="15" hidden="false" customHeight="false" outlineLevel="0" collapsed="false">
      <c r="A28" s="11" t="s">
        <v>276</v>
      </c>
      <c r="B28" s="20" t="s">
        <v>168</v>
      </c>
      <c r="C28" s="21" t="s">
        <v>277</v>
      </c>
      <c r="D28" s="21" t="s">
        <v>278</v>
      </c>
      <c r="E28" s="11" t="s">
        <v>190</v>
      </c>
      <c r="F28" s="11" t="s">
        <v>279</v>
      </c>
    </row>
    <row r="29" customFormat="false" ht="15" hidden="false" customHeight="false" outlineLevel="0" collapsed="false">
      <c r="A29" s="11" t="s">
        <v>280</v>
      </c>
      <c r="B29" s="20" t="s">
        <v>168</v>
      </c>
      <c r="C29" s="21" t="s">
        <v>281</v>
      </c>
      <c r="D29" s="21" t="s">
        <v>282</v>
      </c>
      <c r="E29" s="11" t="s">
        <v>190</v>
      </c>
      <c r="F29" s="11" t="s">
        <v>279</v>
      </c>
    </row>
    <row r="30" customFormat="false" ht="15" hidden="false" customHeight="false" outlineLevel="0" collapsed="false">
      <c r="A30" s="11" t="s">
        <v>283</v>
      </c>
      <c r="B30" s="20" t="s">
        <v>284</v>
      </c>
      <c r="C30" s="21" t="s">
        <v>285</v>
      </c>
      <c r="D30" s="21" t="s">
        <v>286</v>
      </c>
      <c r="E30" s="11" t="s">
        <v>215</v>
      </c>
      <c r="F30" s="11" t="s">
        <v>287</v>
      </c>
    </row>
    <row r="31" customFormat="false" ht="15" hidden="false" customHeight="false" outlineLevel="0" collapsed="false">
      <c r="A31" s="11" t="s">
        <v>288</v>
      </c>
      <c r="B31" s="20" t="s">
        <v>284</v>
      </c>
      <c r="C31" s="21" t="s">
        <v>289</v>
      </c>
      <c r="D31" s="21" t="s">
        <v>290</v>
      </c>
      <c r="E31" s="11" t="s">
        <v>190</v>
      </c>
      <c r="F31" s="11" t="s">
        <v>287</v>
      </c>
    </row>
    <row r="32" customFormat="false" ht="15" hidden="false" customHeight="false" outlineLevel="0" collapsed="false">
      <c r="A32" s="11" t="s">
        <v>291</v>
      </c>
      <c r="B32" s="20" t="s">
        <v>284</v>
      </c>
      <c r="C32" s="21" t="s">
        <v>292</v>
      </c>
      <c r="D32" s="21" t="s">
        <v>293</v>
      </c>
      <c r="E32" s="11" t="s">
        <v>190</v>
      </c>
      <c r="F32" s="11" t="s">
        <v>287</v>
      </c>
    </row>
    <row r="33" customFormat="false" ht="15" hidden="false" customHeight="false" outlineLevel="0" collapsed="false">
      <c r="A33" s="11" t="s">
        <v>294</v>
      </c>
      <c r="B33" s="20" t="s">
        <v>284</v>
      </c>
      <c r="C33" s="21" t="s">
        <v>295</v>
      </c>
      <c r="D33" s="21" t="s">
        <v>296</v>
      </c>
      <c r="E33" s="11" t="s">
        <v>190</v>
      </c>
      <c r="F33" s="11" t="s">
        <v>287</v>
      </c>
    </row>
    <row r="34" customFormat="false" ht="15" hidden="false" customHeight="false" outlineLevel="0" collapsed="false">
      <c r="A34" s="11" t="s">
        <v>297</v>
      </c>
      <c r="B34" s="20" t="s">
        <v>284</v>
      </c>
      <c r="C34" s="21" t="s">
        <v>298</v>
      </c>
      <c r="D34" s="21" t="s">
        <v>299</v>
      </c>
      <c r="E34" s="11" t="s">
        <v>215</v>
      </c>
      <c r="F34" s="11" t="s">
        <v>287</v>
      </c>
    </row>
    <row r="35" customFormat="false" ht="15" hidden="false" customHeight="false" outlineLevel="0" collapsed="false">
      <c r="A35" s="11" t="s">
        <v>300</v>
      </c>
      <c r="B35" s="20" t="s">
        <v>301</v>
      </c>
      <c r="C35" s="21" t="s">
        <v>302</v>
      </c>
      <c r="D35" s="21" t="s">
        <v>303</v>
      </c>
      <c r="E35" s="11" t="s">
        <v>190</v>
      </c>
      <c r="F35" s="11" t="s">
        <v>304</v>
      </c>
    </row>
    <row r="36" customFormat="false" ht="15" hidden="false" customHeight="false" outlineLevel="0" collapsed="false">
      <c r="A36" s="11" t="s">
        <v>305</v>
      </c>
      <c r="B36" s="20" t="s">
        <v>301</v>
      </c>
      <c r="C36" s="21" t="s">
        <v>306</v>
      </c>
      <c r="D36" s="21" t="s">
        <v>307</v>
      </c>
      <c r="E36" s="11" t="s">
        <v>190</v>
      </c>
      <c r="F36" s="11" t="s">
        <v>308</v>
      </c>
    </row>
    <row r="37" customFormat="false" ht="15" hidden="false" customHeight="false" outlineLevel="0" collapsed="false">
      <c r="A37" s="11" t="s">
        <v>309</v>
      </c>
      <c r="B37" s="20" t="s">
        <v>301</v>
      </c>
      <c r="C37" s="21" t="s">
        <v>310</v>
      </c>
      <c r="D37" s="21" t="s">
        <v>311</v>
      </c>
      <c r="E37" s="11" t="s">
        <v>190</v>
      </c>
      <c r="F37" s="11" t="s">
        <v>250</v>
      </c>
    </row>
  </sheetData>
  <autoFilter ref="A3:F37"/>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9"/>
    <col collapsed="false" customWidth="true" hidden="false" outlineLevel="0" max="5" min="4" style="0" width="50"/>
  </cols>
  <sheetData>
    <row r="1" customFormat="false" ht="15" hidden="false" customHeight="false" outlineLevel="0" collapsed="false">
      <c r="A1" s="5" t="s">
        <v>37</v>
      </c>
      <c r="E1" s="19" t="s">
        <v>78</v>
      </c>
    </row>
    <row r="3" customFormat="false" ht="15" hidden="false" customHeight="false" outlineLevel="0" collapsed="false">
      <c r="A3" s="10" t="s">
        <v>312</v>
      </c>
      <c r="B3" s="10" t="s">
        <v>313</v>
      </c>
      <c r="C3" s="10" t="s">
        <v>81</v>
      </c>
      <c r="D3" s="10" t="s">
        <v>183</v>
      </c>
      <c r="E3" s="10" t="s">
        <v>314</v>
      </c>
    </row>
    <row r="4" customFormat="false" ht="15" hidden="false" customHeight="false" outlineLevel="0" collapsed="false">
      <c r="A4" s="11" t="s">
        <v>304</v>
      </c>
      <c r="B4" s="21" t="s">
        <v>315</v>
      </c>
      <c r="C4" s="20" t="s">
        <v>301</v>
      </c>
      <c r="D4" s="21" t="s">
        <v>316</v>
      </c>
      <c r="E4" s="21" t="s">
        <v>317</v>
      </c>
    </row>
    <row r="5" customFormat="false" ht="15" hidden="false" customHeight="false" outlineLevel="0" collapsed="false">
      <c r="A5" s="11" t="s">
        <v>250</v>
      </c>
      <c r="B5" s="21" t="s">
        <v>310</v>
      </c>
      <c r="C5" s="20" t="s">
        <v>301</v>
      </c>
      <c r="D5" s="21" t="s">
        <v>318</v>
      </c>
      <c r="E5" s="21" t="s">
        <v>319</v>
      </c>
    </row>
    <row r="6" customFormat="false" ht="15" hidden="false" customHeight="false" outlineLevel="0" collapsed="false">
      <c r="A6" s="11" t="s">
        <v>191</v>
      </c>
      <c r="B6" s="21" t="s">
        <v>320</v>
      </c>
      <c r="C6" s="20" t="s">
        <v>187</v>
      </c>
      <c r="D6" s="21" t="s">
        <v>321</v>
      </c>
      <c r="E6" s="21" t="s">
        <v>322</v>
      </c>
    </row>
    <row r="7" customFormat="false" ht="15" hidden="false" customHeight="false" outlineLevel="0" collapsed="false">
      <c r="A7" s="11" t="s">
        <v>195</v>
      </c>
      <c r="B7" s="21" t="s">
        <v>323</v>
      </c>
      <c r="C7" s="20" t="s">
        <v>187</v>
      </c>
      <c r="D7" s="21" t="s">
        <v>324</v>
      </c>
      <c r="E7" s="21" t="s">
        <v>322</v>
      </c>
    </row>
    <row r="8" customFormat="false" ht="15" hidden="false" customHeight="false" outlineLevel="0" collapsed="false">
      <c r="A8" s="11" t="s">
        <v>199</v>
      </c>
      <c r="B8" s="21" t="s">
        <v>325</v>
      </c>
      <c r="C8" s="20" t="s">
        <v>187</v>
      </c>
      <c r="D8" s="21" t="s">
        <v>326</v>
      </c>
      <c r="E8" s="21" t="s">
        <v>327</v>
      </c>
    </row>
    <row r="9" customFormat="false" ht="15" hidden="false" customHeight="false" outlineLevel="0" collapsed="false">
      <c r="A9" s="11" t="s">
        <v>203</v>
      </c>
      <c r="B9" s="21" t="s">
        <v>328</v>
      </c>
      <c r="C9" s="20" t="s">
        <v>187</v>
      </c>
      <c r="D9" s="21" t="s">
        <v>329</v>
      </c>
      <c r="E9" s="21" t="s">
        <v>330</v>
      </c>
    </row>
    <row r="10" customFormat="false" ht="15" hidden="false" customHeight="false" outlineLevel="0" collapsed="false">
      <c r="A10" s="11" t="s">
        <v>207</v>
      </c>
      <c r="B10" s="21" t="s">
        <v>331</v>
      </c>
      <c r="C10" s="20" t="s">
        <v>187</v>
      </c>
      <c r="D10" s="21" t="s">
        <v>332</v>
      </c>
      <c r="E10" s="21" t="s">
        <v>333</v>
      </c>
    </row>
    <row r="11" customFormat="false" ht="15" hidden="false" customHeight="false" outlineLevel="0" collapsed="false">
      <c r="A11" s="11" t="s">
        <v>211</v>
      </c>
      <c r="B11" s="21" t="s">
        <v>334</v>
      </c>
      <c r="C11" s="20" t="s">
        <v>187</v>
      </c>
      <c r="D11" s="21" t="s">
        <v>335</v>
      </c>
      <c r="E11" s="21" t="s">
        <v>336</v>
      </c>
    </row>
    <row r="12" customFormat="false" ht="15" hidden="false" customHeight="false" outlineLevel="0" collapsed="false">
      <c r="A12" s="11" t="s">
        <v>216</v>
      </c>
      <c r="B12" s="21" t="s">
        <v>337</v>
      </c>
      <c r="C12" s="20" t="s">
        <v>121</v>
      </c>
      <c r="D12" s="21" t="s">
        <v>338</v>
      </c>
      <c r="E12" s="21" t="s">
        <v>339</v>
      </c>
    </row>
    <row r="13" customFormat="false" ht="15" hidden="false" customHeight="false" outlineLevel="0" collapsed="false">
      <c r="A13" s="11" t="s">
        <v>221</v>
      </c>
      <c r="B13" s="21" t="s">
        <v>128</v>
      </c>
      <c r="C13" s="20" t="s">
        <v>121</v>
      </c>
      <c r="D13" s="21" t="s">
        <v>340</v>
      </c>
      <c r="E13" s="21" t="s">
        <v>341</v>
      </c>
    </row>
    <row r="14" customFormat="false" ht="15" hidden="false" customHeight="false" outlineLevel="0" collapsed="false">
      <c r="A14" s="11" t="s">
        <v>224</v>
      </c>
      <c r="B14" s="21" t="s">
        <v>134</v>
      </c>
      <c r="C14" s="20" t="s">
        <v>121</v>
      </c>
      <c r="D14" s="21" t="s">
        <v>342</v>
      </c>
      <c r="E14" s="22" t="s">
        <v>343</v>
      </c>
    </row>
    <row r="15" customFormat="false" ht="15" hidden="false" customHeight="false" outlineLevel="0" collapsed="false">
      <c r="A15" s="11" t="s">
        <v>344</v>
      </c>
      <c r="B15" s="21" t="s">
        <v>345</v>
      </c>
      <c r="C15" s="20" t="s">
        <v>226</v>
      </c>
      <c r="D15" s="21" t="s">
        <v>346</v>
      </c>
      <c r="E15" s="21" t="s">
        <v>347</v>
      </c>
    </row>
    <row r="16" customFormat="false" ht="15" hidden="false" customHeight="false" outlineLevel="0" collapsed="false">
      <c r="A16" s="11" t="s">
        <v>233</v>
      </c>
      <c r="B16" s="21" t="s">
        <v>348</v>
      </c>
      <c r="C16" s="20" t="s">
        <v>226</v>
      </c>
      <c r="D16" s="21" t="s">
        <v>349</v>
      </c>
      <c r="E16" s="21" t="s">
        <v>350</v>
      </c>
    </row>
    <row r="17" customFormat="false" ht="15" hidden="false" customHeight="false" outlineLevel="0" collapsed="false">
      <c r="A17" s="11" t="s">
        <v>237</v>
      </c>
      <c r="B17" s="21" t="s">
        <v>235</v>
      </c>
      <c r="C17" s="20" t="s">
        <v>140</v>
      </c>
      <c r="D17" s="21" t="s">
        <v>351</v>
      </c>
      <c r="E17" s="21" t="s">
        <v>347</v>
      </c>
    </row>
    <row r="18" customFormat="false" ht="15" hidden="false" customHeight="false" outlineLevel="0" collapsed="false">
      <c r="A18" s="11" t="s">
        <v>241</v>
      </c>
      <c r="B18" s="21" t="s">
        <v>352</v>
      </c>
      <c r="C18" s="20" t="s">
        <v>140</v>
      </c>
      <c r="D18" s="21" t="s">
        <v>353</v>
      </c>
      <c r="E18" s="21" t="s">
        <v>354</v>
      </c>
    </row>
    <row r="19" customFormat="false" ht="15" hidden="false" customHeight="false" outlineLevel="0" collapsed="false">
      <c r="A19" s="11" t="s">
        <v>246</v>
      </c>
      <c r="B19" s="21" t="s">
        <v>244</v>
      </c>
      <c r="C19" s="20" t="s">
        <v>140</v>
      </c>
      <c r="D19" s="21" t="s">
        <v>355</v>
      </c>
      <c r="E19" s="21" t="s">
        <v>356</v>
      </c>
    </row>
    <row r="20" customFormat="false" ht="15" hidden="false" customHeight="false" outlineLevel="0" collapsed="false">
      <c r="A20" s="11" t="s">
        <v>253</v>
      </c>
      <c r="B20" s="21" t="s">
        <v>357</v>
      </c>
      <c r="C20" s="20" t="s">
        <v>146</v>
      </c>
      <c r="D20" s="21" t="s">
        <v>358</v>
      </c>
      <c r="E20" s="21" t="s">
        <v>359</v>
      </c>
    </row>
    <row r="21" customFormat="false" ht="15" hidden="false" customHeight="false" outlineLevel="0" collapsed="false">
      <c r="A21" s="11" t="s">
        <v>257</v>
      </c>
      <c r="B21" s="21" t="s">
        <v>360</v>
      </c>
      <c r="C21" s="20" t="s">
        <v>146</v>
      </c>
      <c r="D21" s="21" t="s">
        <v>361</v>
      </c>
      <c r="E21" s="21" t="s">
        <v>362</v>
      </c>
    </row>
    <row r="22" customFormat="false" ht="15" hidden="false" customHeight="false" outlineLevel="0" collapsed="false">
      <c r="A22" s="11" t="s">
        <v>266</v>
      </c>
      <c r="B22" s="21" t="s">
        <v>264</v>
      </c>
      <c r="C22" s="20" t="s">
        <v>146</v>
      </c>
      <c r="D22" s="21" t="s">
        <v>363</v>
      </c>
      <c r="E22" s="21" t="s">
        <v>364</v>
      </c>
    </row>
    <row r="23" customFormat="false" ht="15" hidden="false" customHeight="false" outlineLevel="0" collapsed="false">
      <c r="A23" s="11" t="s">
        <v>271</v>
      </c>
      <c r="B23" s="21" t="s">
        <v>365</v>
      </c>
      <c r="C23" s="20" t="s">
        <v>268</v>
      </c>
      <c r="D23" s="21" t="s">
        <v>366</v>
      </c>
      <c r="E23" s="21" t="s">
        <v>367</v>
      </c>
    </row>
    <row r="24" customFormat="false" ht="15" hidden="false" customHeight="false" outlineLevel="0" collapsed="false">
      <c r="A24" s="11" t="s">
        <v>275</v>
      </c>
      <c r="B24" s="21" t="s">
        <v>368</v>
      </c>
      <c r="C24" s="20" t="s">
        <v>268</v>
      </c>
      <c r="D24" s="21" t="s">
        <v>369</v>
      </c>
      <c r="E24" s="21" t="s">
        <v>367</v>
      </c>
    </row>
    <row r="25" customFormat="false" ht="15" hidden="false" customHeight="false" outlineLevel="0" collapsed="false">
      <c r="A25" s="11" t="s">
        <v>279</v>
      </c>
      <c r="B25" s="21" t="s">
        <v>370</v>
      </c>
      <c r="C25" s="20" t="s">
        <v>168</v>
      </c>
      <c r="D25" s="21" t="s">
        <v>371</v>
      </c>
      <c r="E25" s="21" t="s">
        <v>372</v>
      </c>
    </row>
    <row r="26" customFormat="false" ht="15" hidden="false" customHeight="false" outlineLevel="0" collapsed="false">
      <c r="A26" s="11" t="s">
        <v>287</v>
      </c>
      <c r="B26" s="21" t="s">
        <v>373</v>
      </c>
      <c r="C26" s="20" t="s">
        <v>284</v>
      </c>
      <c r="D26" s="21" t="s">
        <v>374</v>
      </c>
      <c r="E26" s="21" t="s">
        <v>375</v>
      </c>
    </row>
    <row r="27" customFormat="false" ht="15" hidden="false" customHeight="false" outlineLevel="0" collapsed="false">
      <c r="A27" s="11" t="s">
        <v>308</v>
      </c>
      <c r="B27" s="21" t="s">
        <v>376</v>
      </c>
      <c r="C27" s="20" t="s">
        <v>301</v>
      </c>
      <c r="D27" s="21" t="s">
        <v>377</v>
      </c>
      <c r="E27" s="21" t="s">
        <v>347</v>
      </c>
    </row>
  </sheetData>
  <autoFilter ref="A3:E27"/>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5"/>
    <col collapsed="false" customWidth="true" hidden="false" outlineLevel="0" max="4" min="4" style="0" width="20"/>
    <col collapsed="false" customWidth="true" hidden="false" outlineLevel="0" max="5" min="5" style="0" width="12"/>
    <col collapsed="false" customWidth="true" hidden="false" outlineLevel="0" max="6" min="6" style="0" width="8"/>
    <col collapsed="false" customWidth="true" hidden="false" outlineLevel="0" max="7" min="7" style="0" width="9"/>
    <col collapsed="false" customWidth="true" hidden="false" outlineLevel="0" max="8" min="8" style="0" width="16"/>
    <col collapsed="false" customWidth="true" hidden="false" outlineLevel="0" max="9" min="9" style="0" width="34"/>
    <col collapsed="false" customWidth="true" hidden="false" outlineLevel="0" max="10" min="10" style="0" width="16"/>
    <col collapsed="false" customWidth="true" hidden="false" outlineLevel="0" max="11" min="11" style="0" width="50"/>
  </cols>
  <sheetData>
    <row r="1" customFormat="false" ht="15" hidden="false" customHeight="false" outlineLevel="0" collapsed="false">
      <c r="A1" s="5" t="s">
        <v>39</v>
      </c>
      <c r="K1" s="19" t="s">
        <v>78</v>
      </c>
    </row>
    <row r="2" customFormat="false" ht="15" hidden="false" customHeight="false" outlineLevel="0" collapsed="false">
      <c r="A2" s="23" t="s">
        <v>378</v>
      </c>
    </row>
    <row r="3" customFormat="false" ht="15" hidden="false" customHeight="false" outlineLevel="0" collapsed="false">
      <c r="A3" s="10" t="s">
        <v>312</v>
      </c>
      <c r="B3" s="10" t="s">
        <v>313</v>
      </c>
      <c r="C3" s="9" t="s">
        <v>24</v>
      </c>
      <c r="D3" s="10" t="s">
        <v>379</v>
      </c>
      <c r="E3" s="10" t="s">
        <v>380</v>
      </c>
      <c r="F3" s="10" t="s">
        <v>381</v>
      </c>
      <c r="G3" s="10" t="s">
        <v>382</v>
      </c>
      <c r="H3" s="10" t="s">
        <v>383</v>
      </c>
      <c r="I3" s="10" t="s">
        <v>384</v>
      </c>
      <c r="J3" s="10" t="s">
        <v>385</v>
      </c>
      <c r="K3" s="10" t="s">
        <v>386</v>
      </c>
    </row>
    <row r="4" customFormat="false" ht="15" hidden="false" customHeight="false" outlineLevel="0" collapsed="false">
      <c r="A4" s="11" t="s">
        <v>221</v>
      </c>
      <c r="B4" s="21" t="s">
        <v>128</v>
      </c>
      <c r="C4" s="11" t="n">
        <v>1</v>
      </c>
      <c r="D4" s="21" t="s">
        <v>387</v>
      </c>
      <c r="E4" s="21" t="s">
        <v>388</v>
      </c>
      <c r="F4" s="20" t="s">
        <v>389</v>
      </c>
      <c r="G4" s="11"/>
      <c r="H4" s="22"/>
      <c r="I4" s="22" t="s">
        <v>390</v>
      </c>
      <c r="J4" s="22"/>
      <c r="K4" s="22" t="s">
        <v>391</v>
      </c>
    </row>
    <row r="5" customFormat="false" ht="15" hidden="false" customHeight="false" outlineLevel="0" collapsed="false">
      <c r="A5" s="11" t="s">
        <v>221</v>
      </c>
      <c r="B5" s="21" t="s">
        <v>128</v>
      </c>
      <c r="C5" s="11" t="n">
        <v>2</v>
      </c>
      <c r="D5" s="21" t="s">
        <v>392</v>
      </c>
      <c r="E5" s="21" t="s">
        <v>393</v>
      </c>
      <c r="F5" s="20" t="s">
        <v>389</v>
      </c>
      <c r="G5" s="11" t="s">
        <v>394</v>
      </c>
      <c r="H5" s="22"/>
      <c r="I5" s="22" t="s">
        <v>395</v>
      </c>
      <c r="J5" s="21" t="s">
        <v>396</v>
      </c>
      <c r="K5" s="21" t="s">
        <v>397</v>
      </c>
    </row>
    <row r="6" customFormat="false" ht="15" hidden="false" customHeight="false" outlineLevel="0" collapsed="false">
      <c r="A6" s="11" t="s">
        <v>221</v>
      </c>
      <c r="B6" s="21" t="s">
        <v>128</v>
      </c>
      <c r="C6" s="11" t="n">
        <v>3</v>
      </c>
      <c r="D6" s="21" t="s">
        <v>398</v>
      </c>
      <c r="E6" s="21" t="s">
        <v>80</v>
      </c>
      <c r="F6" s="20" t="s">
        <v>389</v>
      </c>
      <c r="G6" s="11" t="s">
        <v>394</v>
      </c>
      <c r="H6" s="22" t="s">
        <v>399</v>
      </c>
      <c r="I6" s="22" t="s">
        <v>400</v>
      </c>
      <c r="J6" s="21" t="s">
        <v>401</v>
      </c>
      <c r="K6" s="21" t="s">
        <v>402</v>
      </c>
    </row>
    <row r="7" customFormat="false" ht="15" hidden="false" customHeight="false" outlineLevel="0" collapsed="false">
      <c r="A7" s="11" t="s">
        <v>221</v>
      </c>
      <c r="B7" s="21" t="s">
        <v>128</v>
      </c>
      <c r="C7" s="11" t="n">
        <v>4</v>
      </c>
      <c r="D7" s="21" t="s">
        <v>403</v>
      </c>
      <c r="E7" s="21" t="s">
        <v>404</v>
      </c>
      <c r="F7" s="20" t="s">
        <v>389</v>
      </c>
      <c r="G7" s="11"/>
      <c r="H7" s="22" t="s">
        <v>405</v>
      </c>
      <c r="I7" s="22" t="s">
        <v>406</v>
      </c>
      <c r="J7" s="22"/>
      <c r="K7" s="21" t="s">
        <v>407</v>
      </c>
    </row>
    <row r="8" customFormat="false" ht="15" hidden="false" customHeight="false" outlineLevel="0" collapsed="false">
      <c r="A8" s="11" t="s">
        <v>221</v>
      </c>
      <c r="B8" s="21" t="s">
        <v>128</v>
      </c>
      <c r="C8" s="11" t="n">
        <v>5</v>
      </c>
      <c r="D8" s="21" t="s">
        <v>408</v>
      </c>
      <c r="E8" s="21" t="s">
        <v>393</v>
      </c>
      <c r="F8" s="20" t="s">
        <v>389</v>
      </c>
      <c r="G8" s="11" t="s">
        <v>394</v>
      </c>
      <c r="H8" s="22"/>
      <c r="I8" s="22" t="s">
        <v>409</v>
      </c>
      <c r="J8" s="21" t="s">
        <v>410</v>
      </c>
      <c r="K8" s="21" t="s">
        <v>411</v>
      </c>
    </row>
    <row r="9" customFormat="false" ht="15" hidden="false" customHeight="false" outlineLevel="0" collapsed="false">
      <c r="A9" s="11" t="s">
        <v>221</v>
      </c>
      <c r="B9" s="21" t="s">
        <v>128</v>
      </c>
      <c r="C9" s="11" t="n">
        <v>6</v>
      </c>
      <c r="D9" s="21" t="s">
        <v>412</v>
      </c>
      <c r="E9" s="21" t="s">
        <v>413</v>
      </c>
      <c r="F9" s="20" t="s">
        <v>389</v>
      </c>
      <c r="G9" s="11" t="s">
        <v>394</v>
      </c>
      <c r="H9" s="22" t="s">
        <v>414</v>
      </c>
      <c r="I9" s="22" t="s">
        <v>415</v>
      </c>
      <c r="J9" s="22"/>
      <c r="K9" s="22" t="s">
        <v>416</v>
      </c>
    </row>
    <row r="10" customFormat="false" ht="15" hidden="false" customHeight="false" outlineLevel="0" collapsed="false">
      <c r="A10" s="11" t="s">
        <v>221</v>
      </c>
      <c r="B10" s="21" t="s">
        <v>128</v>
      </c>
      <c r="C10" s="11" t="n">
        <v>7</v>
      </c>
      <c r="D10" s="21" t="s">
        <v>417</v>
      </c>
      <c r="E10" s="21" t="s">
        <v>80</v>
      </c>
      <c r="F10" s="20" t="s">
        <v>389</v>
      </c>
      <c r="G10" s="11"/>
      <c r="H10" s="22" t="s">
        <v>399</v>
      </c>
      <c r="I10" s="22" t="s">
        <v>418</v>
      </c>
      <c r="J10" s="22"/>
      <c r="K10" s="21" t="s">
        <v>419</v>
      </c>
    </row>
    <row r="11" customFormat="false" ht="15" hidden="false" customHeight="false" outlineLevel="0" collapsed="false">
      <c r="A11" s="11" t="s">
        <v>221</v>
      </c>
      <c r="B11" s="21" t="s">
        <v>128</v>
      </c>
      <c r="C11" s="11" t="n">
        <v>8</v>
      </c>
      <c r="D11" s="21" t="s">
        <v>420</v>
      </c>
      <c r="E11" s="21" t="s">
        <v>80</v>
      </c>
      <c r="F11" s="20" t="s">
        <v>389</v>
      </c>
      <c r="G11" s="11" t="s">
        <v>394</v>
      </c>
      <c r="H11" s="22" t="s">
        <v>399</v>
      </c>
      <c r="I11" s="22" t="s">
        <v>421</v>
      </c>
      <c r="J11" s="21" t="s">
        <v>422</v>
      </c>
      <c r="K11" s="21" t="s">
        <v>423</v>
      </c>
    </row>
    <row r="12" customFormat="false" ht="15" hidden="false" customHeight="false" outlineLevel="0" collapsed="false">
      <c r="A12" s="11" t="s">
        <v>221</v>
      </c>
      <c r="B12" s="21" t="s">
        <v>128</v>
      </c>
      <c r="C12" s="11" t="n">
        <v>9</v>
      </c>
      <c r="D12" s="21" t="s">
        <v>424</v>
      </c>
      <c r="E12" s="21" t="s">
        <v>404</v>
      </c>
      <c r="F12" s="20" t="s">
        <v>389</v>
      </c>
      <c r="G12" s="11" t="s">
        <v>394</v>
      </c>
      <c r="H12" s="21" t="s">
        <v>425</v>
      </c>
      <c r="I12" s="22" t="s">
        <v>426</v>
      </c>
      <c r="J12" s="21" t="s">
        <v>427</v>
      </c>
      <c r="K12" s="22" t="s">
        <v>428</v>
      </c>
    </row>
    <row r="13" customFormat="false" ht="15" hidden="false" customHeight="false" outlineLevel="0" collapsed="false">
      <c r="A13" s="11" t="s">
        <v>221</v>
      </c>
      <c r="B13" s="21" t="s">
        <v>128</v>
      </c>
      <c r="C13" s="11" t="n">
        <v>10</v>
      </c>
      <c r="D13" s="21" t="s">
        <v>429</v>
      </c>
      <c r="E13" s="21" t="s">
        <v>404</v>
      </c>
      <c r="F13" s="20" t="s">
        <v>389</v>
      </c>
      <c r="G13" s="11" t="s">
        <v>394</v>
      </c>
      <c r="H13" s="22" t="s">
        <v>430</v>
      </c>
      <c r="I13" s="22" t="s">
        <v>431</v>
      </c>
      <c r="J13" s="21" t="s">
        <v>432</v>
      </c>
      <c r="K13" s="22" t="s">
        <v>433</v>
      </c>
    </row>
    <row r="14" customFormat="false" ht="15" hidden="false" customHeight="false" outlineLevel="0" collapsed="false">
      <c r="A14" s="11" t="s">
        <v>221</v>
      </c>
      <c r="B14" s="21" t="s">
        <v>128</v>
      </c>
      <c r="C14" s="11" t="n">
        <v>11</v>
      </c>
      <c r="D14" s="21" t="s">
        <v>434</v>
      </c>
      <c r="E14" s="21" t="s">
        <v>393</v>
      </c>
      <c r="F14" s="20" t="s">
        <v>389</v>
      </c>
      <c r="G14" s="11" t="s">
        <v>394</v>
      </c>
      <c r="H14" s="22"/>
      <c r="I14" s="22" t="s">
        <v>435</v>
      </c>
      <c r="J14" s="22"/>
      <c r="K14" s="21" t="s">
        <v>436</v>
      </c>
    </row>
    <row r="15" customFormat="false" ht="15" hidden="false" customHeight="false" outlineLevel="0" collapsed="false">
      <c r="A15" s="11" t="s">
        <v>221</v>
      </c>
      <c r="B15" s="21" t="s">
        <v>128</v>
      </c>
      <c r="C15" s="11" t="n">
        <v>12</v>
      </c>
      <c r="D15" s="21" t="s">
        <v>437</v>
      </c>
      <c r="E15" s="21" t="s">
        <v>438</v>
      </c>
      <c r="F15" s="20" t="s">
        <v>439</v>
      </c>
      <c r="G15" s="11"/>
      <c r="H15" s="22"/>
      <c r="I15" s="22" t="s">
        <v>440</v>
      </c>
      <c r="J15" s="22"/>
      <c r="K15" s="21" t="s">
        <v>441</v>
      </c>
    </row>
    <row r="16" customFormat="false" ht="15" hidden="false" customHeight="false" outlineLevel="0" collapsed="false">
      <c r="A16" s="11" t="s">
        <v>221</v>
      </c>
      <c r="B16" s="21" t="s">
        <v>128</v>
      </c>
      <c r="C16" s="11" t="n">
        <v>13</v>
      </c>
      <c r="D16" s="21" t="s">
        <v>442</v>
      </c>
      <c r="E16" s="21" t="s">
        <v>443</v>
      </c>
      <c r="F16" s="11" t="s">
        <v>161</v>
      </c>
      <c r="G16" s="11"/>
      <c r="H16" s="22"/>
      <c r="I16" s="22"/>
      <c r="J16" s="22"/>
      <c r="K16" s="21" t="s">
        <v>444</v>
      </c>
    </row>
    <row r="17" customFormat="false" ht="15" hidden="false" customHeight="false" outlineLevel="0" collapsed="false">
      <c r="A17" s="11" t="s">
        <v>224</v>
      </c>
      <c r="B17" s="21" t="s">
        <v>134</v>
      </c>
      <c r="C17" s="11" t="n">
        <v>1</v>
      </c>
      <c r="D17" s="21" t="s">
        <v>445</v>
      </c>
      <c r="E17" s="21" t="s">
        <v>446</v>
      </c>
      <c r="F17" s="20" t="s">
        <v>439</v>
      </c>
      <c r="G17" s="11"/>
      <c r="H17" s="22"/>
      <c r="I17" s="22" t="s">
        <v>447</v>
      </c>
      <c r="J17" s="22"/>
      <c r="K17" s="21" t="s">
        <v>448</v>
      </c>
    </row>
    <row r="18" customFormat="false" ht="15" hidden="false" customHeight="false" outlineLevel="0" collapsed="false">
      <c r="A18" s="11" t="s">
        <v>224</v>
      </c>
      <c r="B18" s="21" t="s">
        <v>134</v>
      </c>
      <c r="C18" s="11" t="n">
        <v>2</v>
      </c>
      <c r="D18" s="22" t="s">
        <v>449</v>
      </c>
      <c r="E18" s="21" t="s">
        <v>450</v>
      </c>
      <c r="F18" s="20" t="s">
        <v>389</v>
      </c>
      <c r="G18" s="20" t="s">
        <v>451</v>
      </c>
      <c r="H18" s="22" t="s">
        <v>452</v>
      </c>
      <c r="I18" s="22" t="s">
        <v>453</v>
      </c>
      <c r="J18" s="22"/>
      <c r="K18" s="22" t="s">
        <v>454</v>
      </c>
    </row>
    <row r="19" customFormat="false" ht="15" hidden="false" customHeight="false" outlineLevel="0" collapsed="false">
      <c r="A19" s="11" t="s">
        <v>224</v>
      </c>
      <c r="B19" s="21" t="s">
        <v>134</v>
      </c>
      <c r="C19" s="11" t="n">
        <v>3</v>
      </c>
      <c r="D19" s="21" t="s">
        <v>455</v>
      </c>
      <c r="E19" s="21" t="s">
        <v>404</v>
      </c>
      <c r="F19" s="20" t="s">
        <v>389</v>
      </c>
      <c r="G19" s="11"/>
      <c r="H19" s="22" t="s">
        <v>456</v>
      </c>
      <c r="I19" s="22" t="s">
        <v>457</v>
      </c>
      <c r="J19" s="22"/>
      <c r="K19" s="22" t="s">
        <v>458</v>
      </c>
    </row>
    <row r="20" customFormat="false" ht="15" hidden="false" customHeight="false" outlineLevel="0" collapsed="false">
      <c r="A20" s="11" t="s">
        <v>224</v>
      </c>
      <c r="B20" s="21" t="s">
        <v>134</v>
      </c>
      <c r="C20" s="11" t="n">
        <v>4</v>
      </c>
      <c r="D20" s="21" t="s">
        <v>459</v>
      </c>
      <c r="E20" s="21" t="s">
        <v>460</v>
      </c>
      <c r="F20" s="20" t="s">
        <v>389</v>
      </c>
      <c r="G20" s="11" t="s">
        <v>394</v>
      </c>
      <c r="H20" s="21" t="s">
        <v>461</v>
      </c>
      <c r="I20" s="22" t="s">
        <v>462</v>
      </c>
      <c r="J20" s="22"/>
      <c r="K20" s="22"/>
    </row>
    <row r="21" customFormat="false" ht="26.85" hidden="false" customHeight="false" outlineLevel="0" collapsed="false">
      <c r="A21" s="11" t="s">
        <v>224</v>
      </c>
      <c r="B21" s="21" t="s">
        <v>134</v>
      </c>
      <c r="C21" s="11" t="n">
        <v>5</v>
      </c>
      <c r="D21" s="21" t="s">
        <v>463</v>
      </c>
      <c r="E21" s="21" t="s">
        <v>464</v>
      </c>
      <c r="F21" s="20" t="s">
        <v>389</v>
      </c>
      <c r="G21" s="20" t="s">
        <v>465</v>
      </c>
      <c r="H21" s="22" t="s">
        <v>466</v>
      </c>
      <c r="I21" s="22" t="s">
        <v>467</v>
      </c>
      <c r="J21" s="22"/>
      <c r="K21" s="22"/>
    </row>
    <row r="22" customFormat="false" ht="15" hidden="false" customHeight="false" outlineLevel="0" collapsed="false">
      <c r="A22" s="11" t="s">
        <v>224</v>
      </c>
      <c r="B22" s="21" t="s">
        <v>134</v>
      </c>
      <c r="C22" s="11" t="n">
        <v>6</v>
      </c>
      <c r="D22" s="21" t="s">
        <v>468</v>
      </c>
      <c r="E22" s="21" t="s">
        <v>443</v>
      </c>
      <c r="F22" s="11" t="s">
        <v>161</v>
      </c>
      <c r="G22" s="11"/>
      <c r="H22" s="22"/>
      <c r="I22" s="22"/>
      <c r="J22" s="22"/>
      <c r="K22" s="21" t="s">
        <v>469</v>
      </c>
    </row>
    <row r="23" customFormat="false" ht="15" hidden="false" customHeight="false" outlineLevel="0" collapsed="false">
      <c r="A23" s="11" t="s">
        <v>253</v>
      </c>
      <c r="B23" s="21" t="s">
        <v>357</v>
      </c>
      <c r="C23" s="11" t="n">
        <v>1</v>
      </c>
      <c r="D23" s="21" t="s">
        <v>470</v>
      </c>
      <c r="E23" s="21" t="s">
        <v>438</v>
      </c>
      <c r="F23" s="20" t="s">
        <v>439</v>
      </c>
      <c r="G23" s="11"/>
      <c r="H23" s="22"/>
      <c r="I23" s="22" t="s">
        <v>471</v>
      </c>
      <c r="J23" s="22"/>
      <c r="K23" s="21" t="s">
        <v>472</v>
      </c>
    </row>
    <row r="24" customFormat="false" ht="15" hidden="false" customHeight="false" outlineLevel="0" collapsed="false">
      <c r="A24" s="11" t="s">
        <v>253</v>
      </c>
      <c r="B24" s="21" t="s">
        <v>357</v>
      </c>
      <c r="C24" s="11" t="n">
        <v>2</v>
      </c>
      <c r="D24" s="21" t="s">
        <v>473</v>
      </c>
      <c r="E24" s="21" t="s">
        <v>388</v>
      </c>
      <c r="F24" s="20" t="s">
        <v>389</v>
      </c>
      <c r="G24" s="11" t="s">
        <v>394</v>
      </c>
      <c r="H24" s="22"/>
      <c r="I24" s="22" t="s">
        <v>474</v>
      </c>
      <c r="J24" s="22"/>
      <c r="K24" s="21" t="s">
        <v>475</v>
      </c>
    </row>
    <row r="25" customFormat="false" ht="15" hidden="false" customHeight="false" outlineLevel="0" collapsed="false">
      <c r="A25" s="11" t="s">
        <v>253</v>
      </c>
      <c r="B25" s="21" t="s">
        <v>357</v>
      </c>
      <c r="C25" s="11" t="n">
        <v>3</v>
      </c>
      <c r="D25" s="21" t="s">
        <v>476</v>
      </c>
      <c r="E25" s="21" t="s">
        <v>393</v>
      </c>
      <c r="F25" s="20" t="s">
        <v>389</v>
      </c>
      <c r="G25" s="11" t="s">
        <v>394</v>
      </c>
      <c r="H25" s="22"/>
      <c r="I25" s="22" t="s">
        <v>477</v>
      </c>
      <c r="J25" s="21" t="s">
        <v>478</v>
      </c>
      <c r="K25" s="21" t="s">
        <v>479</v>
      </c>
    </row>
    <row r="26" customFormat="false" ht="15" hidden="false" customHeight="false" outlineLevel="0" collapsed="false">
      <c r="A26" s="11" t="s">
        <v>253</v>
      </c>
      <c r="B26" s="21" t="s">
        <v>357</v>
      </c>
      <c r="C26" s="11" t="n">
        <v>4</v>
      </c>
      <c r="D26" s="21" t="s">
        <v>480</v>
      </c>
      <c r="E26" s="21" t="s">
        <v>80</v>
      </c>
      <c r="F26" s="20" t="s">
        <v>389</v>
      </c>
      <c r="G26" s="11" t="s">
        <v>394</v>
      </c>
      <c r="H26" s="22" t="s">
        <v>399</v>
      </c>
      <c r="I26" s="22" t="s">
        <v>481</v>
      </c>
      <c r="J26" s="21" t="s">
        <v>401</v>
      </c>
      <c r="K26" s="22"/>
    </row>
    <row r="27" customFormat="false" ht="15" hidden="false" customHeight="false" outlineLevel="0" collapsed="false">
      <c r="A27" s="11" t="s">
        <v>253</v>
      </c>
      <c r="B27" s="21" t="s">
        <v>357</v>
      </c>
      <c r="C27" s="11" t="n">
        <v>5</v>
      </c>
      <c r="D27" s="21" t="s">
        <v>482</v>
      </c>
      <c r="E27" s="21" t="s">
        <v>80</v>
      </c>
      <c r="F27" s="20" t="s">
        <v>389</v>
      </c>
      <c r="G27" s="11"/>
      <c r="H27" s="22" t="s">
        <v>399</v>
      </c>
      <c r="I27" s="22" t="s">
        <v>483</v>
      </c>
      <c r="J27" s="22"/>
      <c r="K27" s="21" t="s">
        <v>484</v>
      </c>
    </row>
    <row r="28" customFormat="false" ht="15" hidden="false" customHeight="false" outlineLevel="0" collapsed="false">
      <c r="A28" s="11" t="s">
        <v>253</v>
      </c>
      <c r="B28" s="21" t="s">
        <v>357</v>
      </c>
      <c r="C28" s="11" t="n">
        <v>6</v>
      </c>
      <c r="D28" s="21" t="s">
        <v>148</v>
      </c>
      <c r="E28" s="21" t="s">
        <v>393</v>
      </c>
      <c r="F28" s="20" t="s">
        <v>389</v>
      </c>
      <c r="G28" s="11" t="s">
        <v>394</v>
      </c>
      <c r="H28" s="22"/>
      <c r="I28" s="22" t="s">
        <v>485</v>
      </c>
      <c r="J28" s="21" t="s">
        <v>486</v>
      </c>
      <c r="K28" s="22"/>
    </row>
    <row r="29" customFormat="false" ht="15" hidden="false" customHeight="false" outlineLevel="0" collapsed="false">
      <c r="A29" s="11" t="s">
        <v>253</v>
      </c>
      <c r="B29" s="21" t="s">
        <v>357</v>
      </c>
      <c r="C29" s="11" t="n">
        <v>7</v>
      </c>
      <c r="D29" s="21" t="s">
        <v>408</v>
      </c>
      <c r="E29" s="21" t="s">
        <v>388</v>
      </c>
      <c r="F29" s="20" t="s">
        <v>389</v>
      </c>
      <c r="G29" s="11" t="s">
        <v>394</v>
      </c>
      <c r="H29" s="22"/>
      <c r="I29" s="22" t="s">
        <v>487</v>
      </c>
      <c r="J29" s="22"/>
      <c r="K29" s="22" t="s">
        <v>488</v>
      </c>
    </row>
    <row r="30" customFormat="false" ht="15" hidden="false" customHeight="false" outlineLevel="0" collapsed="false">
      <c r="A30" s="11" t="s">
        <v>253</v>
      </c>
      <c r="B30" s="21" t="s">
        <v>357</v>
      </c>
      <c r="C30" s="11" t="n">
        <v>8</v>
      </c>
      <c r="D30" s="21" t="s">
        <v>489</v>
      </c>
      <c r="E30" s="21" t="s">
        <v>438</v>
      </c>
      <c r="F30" s="20" t="s">
        <v>439</v>
      </c>
      <c r="G30" s="11"/>
      <c r="H30" s="22"/>
      <c r="I30" s="21" t="s">
        <v>490</v>
      </c>
      <c r="J30" s="22"/>
      <c r="K30" s="22" t="s">
        <v>491</v>
      </c>
    </row>
    <row r="31" customFormat="false" ht="15" hidden="false" customHeight="false" outlineLevel="0" collapsed="false">
      <c r="A31" s="11" t="s">
        <v>253</v>
      </c>
      <c r="B31" s="21" t="s">
        <v>357</v>
      </c>
      <c r="C31" s="11" t="n">
        <v>9</v>
      </c>
      <c r="D31" s="21" t="s">
        <v>492</v>
      </c>
      <c r="E31" s="21" t="s">
        <v>404</v>
      </c>
      <c r="F31" s="20" t="s">
        <v>389</v>
      </c>
      <c r="G31" s="11" t="s">
        <v>394</v>
      </c>
      <c r="H31" s="21" t="s">
        <v>425</v>
      </c>
      <c r="I31" s="22" t="s">
        <v>493</v>
      </c>
      <c r="J31" s="22"/>
      <c r="K31" s="22" t="s">
        <v>494</v>
      </c>
    </row>
    <row r="32" customFormat="false" ht="15" hidden="false" customHeight="false" outlineLevel="0" collapsed="false">
      <c r="A32" s="11" t="s">
        <v>253</v>
      </c>
      <c r="B32" s="21" t="s">
        <v>357</v>
      </c>
      <c r="C32" s="11" t="n">
        <v>10</v>
      </c>
      <c r="D32" s="21" t="s">
        <v>495</v>
      </c>
      <c r="E32" s="21" t="s">
        <v>404</v>
      </c>
      <c r="F32" s="20" t="s">
        <v>389</v>
      </c>
      <c r="G32" s="11" t="s">
        <v>394</v>
      </c>
      <c r="H32" s="22" t="s">
        <v>430</v>
      </c>
      <c r="I32" s="22" t="s">
        <v>496</v>
      </c>
      <c r="J32" s="21" t="s">
        <v>497</v>
      </c>
      <c r="K32" s="22" t="s">
        <v>433</v>
      </c>
    </row>
    <row r="33" customFormat="false" ht="15" hidden="false" customHeight="false" outlineLevel="0" collapsed="false">
      <c r="A33" s="11" t="s">
        <v>253</v>
      </c>
      <c r="B33" s="21" t="s">
        <v>357</v>
      </c>
      <c r="C33" s="11" t="n">
        <v>11</v>
      </c>
      <c r="D33" s="21" t="s">
        <v>498</v>
      </c>
      <c r="E33" s="21" t="s">
        <v>438</v>
      </c>
      <c r="F33" s="20" t="s">
        <v>439</v>
      </c>
      <c r="G33" s="11"/>
      <c r="H33" s="22"/>
      <c r="I33" s="21" t="s">
        <v>499</v>
      </c>
      <c r="J33" s="22"/>
      <c r="K33" s="22" t="s">
        <v>500</v>
      </c>
    </row>
    <row r="34" customFormat="false" ht="15" hidden="false" customHeight="false" outlineLevel="0" collapsed="false">
      <c r="A34" s="11" t="s">
        <v>253</v>
      </c>
      <c r="B34" s="21" t="s">
        <v>357</v>
      </c>
      <c r="C34" s="11" t="n">
        <v>12</v>
      </c>
      <c r="D34" s="21" t="s">
        <v>501</v>
      </c>
      <c r="E34" s="21" t="s">
        <v>443</v>
      </c>
      <c r="F34" s="11" t="s">
        <v>161</v>
      </c>
      <c r="G34" s="11"/>
      <c r="H34" s="22"/>
      <c r="I34" s="22"/>
      <c r="J34" s="22"/>
      <c r="K34" s="21" t="s">
        <v>502</v>
      </c>
    </row>
    <row r="35" customFormat="false" ht="15" hidden="false" customHeight="false" outlineLevel="0" collapsed="false">
      <c r="A35" s="11" t="s">
        <v>257</v>
      </c>
      <c r="B35" s="21" t="s">
        <v>360</v>
      </c>
      <c r="C35" s="11" t="n">
        <v>1</v>
      </c>
      <c r="D35" s="21" t="s">
        <v>470</v>
      </c>
      <c r="E35" s="21" t="s">
        <v>388</v>
      </c>
      <c r="F35" s="20" t="s">
        <v>389</v>
      </c>
      <c r="G35" s="11" t="s">
        <v>394</v>
      </c>
      <c r="H35" s="22"/>
      <c r="I35" s="22" t="s">
        <v>503</v>
      </c>
      <c r="J35" s="22"/>
      <c r="K35" s="22" t="s">
        <v>504</v>
      </c>
    </row>
    <row r="36" customFormat="false" ht="15" hidden="false" customHeight="false" outlineLevel="0" collapsed="false">
      <c r="A36" s="11" t="s">
        <v>257</v>
      </c>
      <c r="B36" s="21" t="s">
        <v>360</v>
      </c>
      <c r="C36" s="11" t="n">
        <v>2</v>
      </c>
      <c r="D36" s="21" t="s">
        <v>505</v>
      </c>
      <c r="E36" s="21" t="s">
        <v>80</v>
      </c>
      <c r="F36" s="20" t="s">
        <v>389</v>
      </c>
      <c r="G36" s="11" t="s">
        <v>394</v>
      </c>
      <c r="H36" s="22" t="s">
        <v>399</v>
      </c>
      <c r="I36" s="22" t="s">
        <v>506</v>
      </c>
      <c r="J36" s="21" t="s">
        <v>401</v>
      </c>
      <c r="K36" s="22"/>
    </row>
    <row r="37" customFormat="false" ht="15" hidden="false" customHeight="false" outlineLevel="0" collapsed="false">
      <c r="A37" s="11" t="s">
        <v>257</v>
      </c>
      <c r="B37" s="21" t="s">
        <v>360</v>
      </c>
      <c r="C37" s="11" t="n">
        <v>3</v>
      </c>
      <c r="D37" s="21" t="s">
        <v>507</v>
      </c>
      <c r="E37" s="21" t="s">
        <v>446</v>
      </c>
      <c r="F37" s="20" t="s">
        <v>439</v>
      </c>
      <c r="G37" s="11"/>
      <c r="H37" s="22"/>
      <c r="I37" s="22" t="s">
        <v>508</v>
      </c>
      <c r="J37" s="22"/>
      <c r="K37" s="21" t="s">
        <v>509</v>
      </c>
    </row>
    <row r="38" customFormat="false" ht="15" hidden="false" customHeight="false" outlineLevel="0" collapsed="false">
      <c r="A38" s="11" t="s">
        <v>257</v>
      </c>
      <c r="B38" s="21" t="s">
        <v>360</v>
      </c>
      <c r="C38" s="11" t="n">
        <v>4</v>
      </c>
      <c r="D38" s="21" t="s">
        <v>510</v>
      </c>
      <c r="E38" s="21" t="s">
        <v>443</v>
      </c>
      <c r="F38" s="11" t="s">
        <v>161</v>
      </c>
      <c r="G38" s="11"/>
      <c r="H38" s="22"/>
      <c r="I38" s="22"/>
      <c r="J38" s="22"/>
      <c r="K38" s="21" t="s">
        <v>511</v>
      </c>
    </row>
    <row r="39" customFormat="false" ht="15" hidden="false" customHeight="false" outlineLevel="0" collapsed="false">
      <c r="A39" s="11" t="s">
        <v>257</v>
      </c>
      <c r="B39" s="21" t="s">
        <v>360</v>
      </c>
      <c r="C39" s="11" t="n">
        <v>5</v>
      </c>
      <c r="D39" s="21" t="s">
        <v>512</v>
      </c>
      <c r="E39" s="21" t="s">
        <v>393</v>
      </c>
      <c r="F39" s="20" t="s">
        <v>389</v>
      </c>
      <c r="G39" s="11" t="s">
        <v>394</v>
      </c>
      <c r="H39" s="22"/>
      <c r="I39" s="22" t="s">
        <v>513</v>
      </c>
      <c r="J39" s="21" t="s">
        <v>514</v>
      </c>
      <c r="K39" s="22" t="s">
        <v>515</v>
      </c>
    </row>
    <row r="40" customFormat="false" ht="15" hidden="false" customHeight="false" outlineLevel="0" collapsed="false">
      <c r="A40" s="11" t="s">
        <v>257</v>
      </c>
      <c r="B40" s="21" t="s">
        <v>360</v>
      </c>
      <c r="C40" s="11" t="n">
        <v>6</v>
      </c>
      <c r="D40" s="21" t="s">
        <v>516</v>
      </c>
      <c r="E40" s="21" t="s">
        <v>393</v>
      </c>
      <c r="F40" s="20" t="s">
        <v>389</v>
      </c>
      <c r="G40" s="11" t="s">
        <v>394</v>
      </c>
      <c r="H40" s="22"/>
      <c r="I40" s="22" t="s">
        <v>517</v>
      </c>
      <c r="J40" s="21" t="s">
        <v>514</v>
      </c>
      <c r="K40" s="21" t="s">
        <v>518</v>
      </c>
    </row>
    <row r="41" customFormat="false" ht="15" hidden="false" customHeight="false" outlineLevel="0" collapsed="false">
      <c r="A41" s="11" t="s">
        <v>257</v>
      </c>
      <c r="B41" s="21" t="s">
        <v>360</v>
      </c>
      <c r="C41" s="11" t="n">
        <v>7</v>
      </c>
      <c r="D41" s="21" t="s">
        <v>519</v>
      </c>
      <c r="E41" s="21" t="s">
        <v>404</v>
      </c>
      <c r="F41" s="20" t="s">
        <v>389</v>
      </c>
      <c r="G41" s="11" t="s">
        <v>394</v>
      </c>
      <c r="H41" s="21" t="s">
        <v>425</v>
      </c>
      <c r="I41" s="22" t="s">
        <v>520</v>
      </c>
      <c r="J41" s="21" t="s">
        <v>514</v>
      </c>
      <c r="K41" s="22" t="s">
        <v>521</v>
      </c>
    </row>
    <row r="42" customFormat="false" ht="15" hidden="false" customHeight="false" outlineLevel="0" collapsed="false">
      <c r="A42" s="11" t="s">
        <v>257</v>
      </c>
      <c r="B42" s="21" t="s">
        <v>360</v>
      </c>
      <c r="C42" s="11" t="n">
        <v>8</v>
      </c>
      <c r="D42" s="21" t="s">
        <v>522</v>
      </c>
      <c r="E42" s="21" t="s">
        <v>393</v>
      </c>
      <c r="F42" s="20" t="s">
        <v>389</v>
      </c>
      <c r="G42" s="11"/>
      <c r="H42" s="22"/>
      <c r="I42" s="22" t="s">
        <v>523</v>
      </c>
      <c r="J42" s="22"/>
      <c r="K42" s="21" t="s">
        <v>524</v>
      </c>
    </row>
    <row r="43" customFormat="false" ht="15" hidden="false" customHeight="false" outlineLevel="0" collapsed="false">
      <c r="A43" s="11" t="s">
        <v>257</v>
      </c>
      <c r="B43" s="21" t="s">
        <v>360</v>
      </c>
      <c r="C43" s="11" t="n">
        <v>9</v>
      </c>
      <c r="D43" s="21" t="s">
        <v>525</v>
      </c>
      <c r="E43" s="21" t="s">
        <v>413</v>
      </c>
      <c r="F43" s="20" t="s">
        <v>389</v>
      </c>
      <c r="G43" s="11"/>
      <c r="H43" s="22" t="s">
        <v>414</v>
      </c>
      <c r="I43" s="22" t="s">
        <v>526</v>
      </c>
      <c r="J43" s="22"/>
      <c r="K43" s="22"/>
    </row>
    <row r="44" customFormat="false" ht="15" hidden="false" customHeight="false" outlineLevel="0" collapsed="false">
      <c r="A44" s="11" t="s">
        <v>257</v>
      </c>
      <c r="B44" s="21" t="s">
        <v>360</v>
      </c>
      <c r="C44" s="11" t="n">
        <v>10</v>
      </c>
      <c r="D44" s="21" t="s">
        <v>527</v>
      </c>
      <c r="E44" s="21" t="s">
        <v>443</v>
      </c>
      <c r="F44" s="11" t="s">
        <v>161</v>
      </c>
      <c r="G44" s="11"/>
      <c r="H44" s="22"/>
      <c r="I44" s="22"/>
      <c r="J44" s="22"/>
      <c r="K44" s="21" t="s">
        <v>528</v>
      </c>
    </row>
    <row r="45" customFormat="false" ht="15" hidden="false" customHeight="false" outlineLevel="0" collapsed="false">
      <c r="A45" s="11" t="s">
        <v>257</v>
      </c>
      <c r="B45" s="21" t="s">
        <v>360</v>
      </c>
      <c r="C45" s="11" t="n">
        <v>11</v>
      </c>
      <c r="D45" s="21" t="s">
        <v>529</v>
      </c>
      <c r="E45" s="21" t="s">
        <v>443</v>
      </c>
      <c r="F45" s="11" t="s">
        <v>161</v>
      </c>
      <c r="G45" s="11"/>
      <c r="H45" s="22"/>
      <c r="I45" s="22"/>
      <c r="J45" s="22"/>
      <c r="K45" s="22" t="s">
        <v>530</v>
      </c>
    </row>
    <row r="46" customFormat="false" ht="15" hidden="false" customHeight="false" outlineLevel="0" collapsed="false">
      <c r="A46" s="11" t="s">
        <v>257</v>
      </c>
      <c r="B46" s="21" t="s">
        <v>360</v>
      </c>
      <c r="C46" s="11" t="n">
        <v>12</v>
      </c>
      <c r="D46" s="21" t="s">
        <v>531</v>
      </c>
      <c r="E46" s="21" t="s">
        <v>443</v>
      </c>
      <c r="F46" s="11" t="s">
        <v>161</v>
      </c>
      <c r="G46" s="11"/>
      <c r="H46" s="22"/>
      <c r="I46" s="22"/>
      <c r="J46" s="22"/>
      <c r="K46" s="22" t="s">
        <v>532</v>
      </c>
    </row>
    <row r="47" customFormat="false" ht="15" hidden="false" customHeight="false" outlineLevel="0" collapsed="false">
      <c r="A47" s="11" t="s">
        <v>271</v>
      </c>
      <c r="B47" s="21" t="s">
        <v>365</v>
      </c>
      <c r="C47" s="11" t="n">
        <v>1</v>
      </c>
      <c r="D47" s="21" t="s">
        <v>533</v>
      </c>
      <c r="E47" s="21" t="s">
        <v>413</v>
      </c>
      <c r="F47" s="20" t="s">
        <v>389</v>
      </c>
      <c r="G47" s="11" t="s">
        <v>394</v>
      </c>
      <c r="H47" s="22" t="s">
        <v>534</v>
      </c>
      <c r="I47" s="22" t="s">
        <v>535</v>
      </c>
      <c r="J47" s="22"/>
      <c r="K47" s="21" t="s">
        <v>536</v>
      </c>
    </row>
    <row r="48" customFormat="false" ht="15" hidden="false" customHeight="false" outlineLevel="0" collapsed="false">
      <c r="A48" s="11" t="s">
        <v>271</v>
      </c>
      <c r="B48" s="21" t="s">
        <v>365</v>
      </c>
      <c r="C48" s="11" t="n">
        <v>2</v>
      </c>
      <c r="D48" s="21" t="s">
        <v>537</v>
      </c>
      <c r="E48" s="21" t="s">
        <v>538</v>
      </c>
      <c r="F48" s="20" t="s">
        <v>439</v>
      </c>
      <c r="G48" s="11"/>
      <c r="H48" s="22"/>
      <c r="I48" s="22" t="s">
        <v>539</v>
      </c>
      <c r="J48" s="22"/>
      <c r="K48" s="21" t="s">
        <v>540</v>
      </c>
    </row>
    <row r="49" customFormat="false" ht="15" hidden="false" customHeight="false" outlineLevel="0" collapsed="false">
      <c r="A49" s="11" t="s">
        <v>271</v>
      </c>
      <c r="B49" s="21" t="s">
        <v>365</v>
      </c>
      <c r="C49" s="11" t="n">
        <v>3</v>
      </c>
      <c r="D49" s="21" t="s">
        <v>541</v>
      </c>
      <c r="E49" s="21" t="s">
        <v>446</v>
      </c>
      <c r="F49" s="20" t="s">
        <v>439</v>
      </c>
      <c r="G49" s="11"/>
      <c r="H49" s="22"/>
      <c r="I49" s="22" t="s">
        <v>542</v>
      </c>
      <c r="J49" s="22"/>
      <c r="K49" s="21" t="s">
        <v>543</v>
      </c>
    </row>
    <row r="50" customFormat="false" ht="26.85" hidden="false" customHeight="false" outlineLevel="0" collapsed="false">
      <c r="A50" s="11" t="s">
        <v>271</v>
      </c>
      <c r="B50" s="21" t="s">
        <v>365</v>
      </c>
      <c r="C50" s="11" t="n">
        <v>4</v>
      </c>
      <c r="D50" s="21" t="s">
        <v>544</v>
      </c>
      <c r="E50" s="21" t="s">
        <v>446</v>
      </c>
      <c r="F50" s="20" t="s">
        <v>439</v>
      </c>
      <c r="G50" s="11"/>
      <c r="H50" s="22"/>
      <c r="I50" s="22" t="s">
        <v>545</v>
      </c>
      <c r="J50" s="22"/>
      <c r="K50" s="21" t="s">
        <v>546</v>
      </c>
    </row>
    <row r="51" customFormat="false" ht="15" hidden="false" customHeight="false" outlineLevel="0" collapsed="false">
      <c r="A51" s="11" t="s">
        <v>271</v>
      </c>
      <c r="B51" s="21" t="s">
        <v>365</v>
      </c>
      <c r="C51" s="11" t="n">
        <v>5</v>
      </c>
      <c r="D51" s="21" t="s">
        <v>547</v>
      </c>
      <c r="E51" s="21" t="s">
        <v>438</v>
      </c>
      <c r="F51" s="20" t="s">
        <v>439</v>
      </c>
      <c r="G51" s="11"/>
      <c r="H51" s="22"/>
      <c r="I51" s="21" t="s">
        <v>499</v>
      </c>
      <c r="J51" s="22"/>
      <c r="K51" s="21" t="s">
        <v>548</v>
      </c>
    </row>
    <row r="52" customFormat="false" ht="15" hidden="false" customHeight="false" outlineLevel="0" collapsed="false">
      <c r="A52" s="11" t="s">
        <v>271</v>
      </c>
      <c r="B52" s="21" t="s">
        <v>365</v>
      </c>
      <c r="C52" s="11" t="n">
        <v>6</v>
      </c>
      <c r="D52" s="22" t="s">
        <v>549</v>
      </c>
      <c r="E52" s="21" t="s">
        <v>443</v>
      </c>
      <c r="F52" s="11" t="s">
        <v>161</v>
      </c>
      <c r="G52" s="11"/>
      <c r="H52" s="22"/>
      <c r="I52" s="22"/>
      <c r="J52" s="22"/>
      <c r="K52" s="21" t="s">
        <v>550</v>
      </c>
    </row>
    <row r="53" customFormat="false" ht="15" hidden="false" customHeight="false" outlineLevel="0" collapsed="false">
      <c r="A53" s="11" t="s">
        <v>271</v>
      </c>
      <c r="B53" s="21" t="s">
        <v>365</v>
      </c>
      <c r="C53" s="11" t="n">
        <v>7</v>
      </c>
      <c r="D53" s="21" t="s">
        <v>551</v>
      </c>
      <c r="E53" s="21" t="s">
        <v>443</v>
      </c>
      <c r="F53" s="11" t="s">
        <v>161</v>
      </c>
      <c r="G53" s="11"/>
      <c r="H53" s="22"/>
      <c r="I53" s="22"/>
      <c r="J53" s="22"/>
      <c r="K53" s="22" t="s">
        <v>552</v>
      </c>
    </row>
    <row r="54" customFormat="false" ht="15" hidden="false" customHeight="false" outlineLevel="0" collapsed="false">
      <c r="A54" s="11" t="s">
        <v>275</v>
      </c>
      <c r="B54" s="21" t="s">
        <v>368</v>
      </c>
      <c r="C54" s="11" t="n">
        <v>1</v>
      </c>
      <c r="D54" s="21" t="s">
        <v>473</v>
      </c>
      <c r="E54" s="21" t="s">
        <v>388</v>
      </c>
      <c r="F54" s="20" t="s">
        <v>389</v>
      </c>
      <c r="G54" s="11" t="s">
        <v>394</v>
      </c>
      <c r="H54" s="22"/>
      <c r="I54" s="22" t="s">
        <v>553</v>
      </c>
      <c r="J54" s="22"/>
      <c r="K54" s="22"/>
    </row>
    <row r="55" customFormat="false" ht="15" hidden="false" customHeight="false" outlineLevel="0" collapsed="false">
      <c r="A55" s="11" t="s">
        <v>275</v>
      </c>
      <c r="B55" s="21" t="s">
        <v>368</v>
      </c>
      <c r="C55" s="11" t="n">
        <v>2</v>
      </c>
      <c r="D55" s="21" t="s">
        <v>554</v>
      </c>
      <c r="E55" s="21" t="s">
        <v>555</v>
      </c>
      <c r="F55" s="20" t="s">
        <v>389</v>
      </c>
      <c r="G55" s="11"/>
      <c r="H55" s="22" t="s">
        <v>399</v>
      </c>
      <c r="I55" s="22" t="s">
        <v>506</v>
      </c>
      <c r="J55" s="21" t="s">
        <v>556</v>
      </c>
      <c r="K55" s="22"/>
    </row>
    <row r="56" customFormat="false" ht="26.85" hidden="false" customHeight="false" outlineLevel="0" collapsed="false">
      <c r="A56" s="11" t="s">
        <v>275</v>
      </c>
      <c r="B56" s="21" t="s">
        <v>368</v>
      </c>
      <c r="C56" s="11" t="n">
        <v>3</v>
      </c>
      <c r="D56" s="21" t="s">
        <v>557</v>
      </c>
      <c r="E56" s="21" t="s">
        <v>446</v>
      </c>
      <c r="F56" s="20" t="s">
        <v>439</v>
      </c>
      <c r="G56" s="11"/>
      <c r="H56" s="22"/>
      <c r="I56" s="22" t="s">
        <v>558</v>
      </c>
      <c r="J56" s="22"/>
      <c r="K56" s="21" t="s">
        <v>559</v>
      </c>
    </row>
    <row r="57" customFormat="false" ht="15" hidden="false" customHeight="false" outlineLevel="0" collapsed="false">
      <c r="A57" s="11" t="s">
        <v>279</v>
      </c>
      <c r="B57" s="21" t="s">
        <v>370</v>
      </c>
      <c r="C57" s="11" t="n">
        <v>1</v>
      </c>
      <c r="D57" s="21" t="s">
        <v>560</v>
      </c>
      <c r="E57" s="21" t="s">
        <v>438</v>
      </c>
      <c r="F57" s="20" t="s">
        <v>439</v>
      </c>
      <c r="G57" s="11"/>
      <c r="H57" s="22"/>
      <c r="I57" s="22" t="s">
        <v>561</v>
      </c>
      <c r="J57" s="22"/>
      <c r="K57" s="21" t="s">
        <v>472</v>
      </c>
    </row>
    <row r="58" customFormat="false" ht="15" hidden="false" customHeight="false" outlineLevel="0" collapsed="false">
      <c r="A58" s="11" t="s">
        <v>279</v>
      </c>
      <c r="B58" s="21" t="s">
        <v>370</v>
      </c>
      <c r="C58" s="11" t="n">
        <v>2</v>
      </c>
      <c r="D58" s="21" t="s">
        <v>562</v>
      </c>
      <c r="E58" s="21" t="s">
        <v>413</v>
      </c>
      <c r="F58" s="20" t="s">
        <v>389</v>
      </c>
      <c r="G58" s="11" t="s">
        <v>394</v>
      </c>
      <c r="H58" s="22" t="s">
        <v>563</v>
      </c>
      <c r="I58" s="22" t="s">
        <v>564</v>
      </c>
      <c r="J58" s="22"/>
      <c r="K58" s="22"/>
    </row>
    <row r="59" customFormat="false" ht="15" hidden="false" customHeight="false" outlineLevel="0" collapsed="false">
      <c r="A59" s="11" t="s">
        <v>279</v>
      </c>
      <c r="B59" s="21" t="s">
        <v>370</v>
      </c>
      <c r="C59" s="11" t="n">
        <v>3</v>
      </c>
      <c r="D59" s="21" t="s">
        <v>565</v>
      </c>
      <c r="E59" s="21" t="s">
        <v>464</v>
      </c>
      <c r="F59" s="20" t="s">
        <v>389</v>
      </c>
      <c r="G59" s="11" t="s">
        <v>394</v>
      </c>
      <c r="H59" s="22" t="s">
        <v>566</v>
      </c>
      <c r="I59" s="22" t="s">
        <v>567</v>
      </c>
      <c r="J59" s="22"/>
      <c r="K59" s="22"/>
    </row>
    <row r="60" customFormat="false" ht="15" hidden="false" customHeight="false" outlineLevel="0" collapsed="false">
      <c r="A60" s="11" t="s">
        <v>279</v>
      </c>
      <c r="B60" s="21" t="s">
        <v>370</v>
      </c>
      <c r="C60" s="11" t="n">
        <v>4</v>
      </c>
      <c r="D60" s="21" t="s">
        <v>568</v>
      </c>
      <c r="E60" s="21" t="s">
        <v>393</v>
      </c>
      <c r="F60" s="20" t="s">
        <v>389</v>
      </c>
      <c r="G60" s="11" t="s">
        <v>394</v>
      </c>
      <c r="H60" s="21" t="s">
        <v>569</v>
      </c>
      <c r="I60" s="22" t="s">
        <v>570</v>
      </c>
      <c r="J60" s="22"/>
      <c r="K60" s="22"/>
    </row>
    <row r="61" customFormat="false" ht="15" hidden="false" customHeight="false" outlineLevel="0" collapsed="false">
      <c r="A61" s="11" t="s">
        <v>279</v>
      </c>
      <c r="B61" s="21" t="s">
        <v>370</v>
      </c>
      <c r="C61" s="11" t="n">
        <v>5</v>
      </c>
      <c r="D61" s="21" t="s">
        <v>571</v>
      </c>
      <c r="E61" s="21" t="s">
        <v>572</v>
      </c>
      <c r="F61" s="20" t="s">
        <v>389</v>
      </c>
      <c r="G61" s="11" t="s">
        <v>394</v>
      </c>
      <c r="H61" s="22"/>
      <c r="I61" s="22" t="s">
        <v>573</v>
      </c>
      <c r="J61" s="22"/>
      <c r="K61" s="22" t="s">
        <v>574</v>
      </c>
    </row>
    <row r="62" customFormat="false" ht="15" hidden="false" customHeight="false" outlineLevel="0" collapsed="false">
      <c r="A62" s="11" t="s">
        <v>279</v>
      </c>
      <c r="B62" s="21" t="s">
        <v>370</v>
      </c>
      <c r="C62" s="11" t="n">
        <v>6</v>
      </c>
      <c r="D62" s="21" t="s">
        <v>575</v>
      </c>
      <c r="E62" s="21" t="s">
        <v>443</v>
      </c>
      <c r="F62" s="11" t="s">
        <v>161</v>
      </c>
      <c r="G62" s="11"/>
      <c r="H62" s="22"/>
      <c r="I62" s="22"/>
      <c r="J62" s="22"/>
      <c r="K62" s="21" t="s">
        <v>576</v>
      </c>
    </row>
    <row r="63" customFormat="false" ht="15" hidden="false" customHeight="false" outlineLevel="0" collapsed="false">
      <c r="A63" s="11" t="s">
        <v>279</v>
      </c>
      <c r="B63" s="21" t="s">
        <v>370</v>
      </c>
      <c r="C63" s="11" t="n">
        <v>7</v>
      </c>
      <c r="D63" s="21" t="s">
        <v>577</v>
      </c>
      <c r="E63" s="21" t="s">
        <v>578</v>
      </c>
      <c r="F63" s="20" t="s">
        <v>381</v>
      </c>
      <c r="G63" s="11"/>
      <c r="H63" s="22"/>
      <c r="I63" s="22" t="s">
        <v>579</v>
      </c>
      <c r="J63" s="22"/>
      <c r="K63" s="21" t="s">
        <v>580</v>
      </c>
    </row>
    <row r="64" customFormat="false" ht="15" hidden="false" customHeight="false" outlineLevel="0" collapsed="false">
      <c r="A64" s="11" t="s">
        <v>279</v>
      </c>
      <c r="B64" s="21" t="s">
        <v>370</v>
      </c>
      <c r="C64" s="11" t="n">
        <v>8</v>
      </c>
      <c r="D64" s="21" t="s">
        <v>581</v>
      </c>
      <c r="E64" s="21" t="s">
        <v>438</v>
      </c>
      <c r="F64" s="20" t="s">
        <v>439</v>
      </c>
      <c r="G64" s="11"/>
      <c r="H64" s="22"/>
      <c r="I64" s="21" t="s">
        <v>490</v>
      </c>
      <c r="J64" s="22"/>
      <c r="K64" s="21" t="s">
        <v>582</v>
      </c>
    </row>
    <row r="65" customFormat="false" ht="15" hidden="false" customHeight="false" outlineLevel="0" collapsed="false">
      <c r="A65" s="11" t="s">
        <v>279</v>
      </c>
      <c r="B65" s="21" t="s">
        <v>370</v>
      </c>
      <c r="C65" s="11" t="n">
        <v>9</v>
      </c>
      <c r="D65" s="21" t="s">
        <v>583</v>
      </c>
      <c r="E65" s="21" t="s">
        <v>443</v>
      </c>
      <c r="F65" s="11" t="s">
        <v>161</v>
      </c>
      <c r="G65" s="11"/>
      <c r="H65" s="22"/>
      <c r="I65" s="22"/>
      <c r="J65" s="22"/>
      <c r="K65" s="21" t="s">
        <v>584</v>
      </c>
    </row>
  </sheetData>
  <autoFilter ref="A3:K65"/>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4" min="3" style="0" width="38"/>
    <col collapsed="false" customWidth="true" hidden="false" outlineLevel="0" max="5" min="5" style="0" width="18"/>
    <col collapsed="false" customWidth="true" hidden="false" outlineLevel="0" max="6" min="6" style="0" width="30"/>
    <col collapsed="false" customWidth="true" hidden="false" outlineLevel="0" max="7" min="7" style="0" width="9"/>
  </cols>
  <sheetData>
    <row r="1" customFormat="false" ht="15" hidden="false" customHeight="false" outlineLevel="0" collapsed="false">
      <c r="A1" s="25" t="s">
        <v>585</v>
      </c>
      <c r="G1" s="19" t="s">
        <v>78</v>
      </c>
    </row>
    <row r="2" customFormat="false" ht="15" hidden="false" customHeight="false" outlineLevel="0" collapsed="false">
      <c r="A2" s="23" t="s">
        <v>586</v>
      </c>
    </row>
    <row r="3" customFormat="false" ht="15" hidden="false" customHeight="false" outlineLevel="0" collapsed="false">
      <c r="A3" s="9" t="s">
        <v>587</v>
      </c>
      <c r="B3" s="10" t="s">
        <v>588</v>
      </c>
      <c r="C3" s="10" t="s">
        <v>589</v>
      </c>
      <c r="D3" s="10" t="s">
        <v>183</v>
      </c>
      <c r="E3" s="10" t="s">
        <v>118</v>
      </c>
      <c r="F3" s="10" t="s">
        <v>590</v>
      </c>
      <c r="G3" s="10" t="s">
        <v>43</v>
      </c>
    </row>
    <row r="4" customFormat="false" ht="15" hidden="false" customHeight="false" outlineLevel="0" collapsed="false">
      <c r="A4" s="11" t="s">
        <v>591</v>
      </c>
      <c r="B4" s="11" t="s">
        <v>592</v>
      </c>
      <c r="C4" s="22" t="s">
        <v>593</v>
      </c>
      <c r="D4" s="21" t="s">
        <v>594</v>
      </c>
      <c r="E4" s="22" t="s">
        <v>300</v>
      </c>
      <c r="F4" s="21" t="s">
        <v>595</v>
      </c>
      <c r="G4" s="11"/>
    </row>
    <row r="5" customFormat="false" ht="15" hidden="false" customHeight="false" outlineLevel="0" collapsed="false">
      <c r="A5" s="11" t="s">
        <v>596</v>
      </c>
      <c r="B5" s="11" t="s">
        <v>597</v>
      </c>
      <c r="C5" s="22" t="s">
        <v>598</v>
      </c>
      <c r="D5" s="21" t="s">
        <v>599</v>
      </c>
      <c r="E5" s="22" t="s">
        <v>186</v>
      </c>
      <c r="F5" s="21" t="s">
        <v>600</v>
      </c>
      <c r="G5" s="11"/>
    </row>
    <row r="6" customFormat="false" ht="15" hidden="false" customHeight="false" outlineLevel="0" collapsed="false">
      <c r="A6" s="11" t="s">
        <v>601</v>
      </c>
      <c r="B6" s="11" t="s">
        <v>602</v>
      </c>
      <c r="C6" s="22" t="s">
        <v>603</v>
      </c>
      <c r="D6" s="21" t="s">
        <v>604</v>
      </c>
      <c r="E6" s="22" t="s">
        <v>186</v>
      </c>
      <c r="F6" s="22" t="s">
        <v>605</v>
      </c>
      <c r="G6" s="11"/>
    </row>
    <row r="7" customFormat="false" ht="15" hidden="false" customHeight="false" outlineLevel="0" collapsed="false">
      <c r="A7" s="11" t="s">
        <v>606</v>
      </c>
      <c r="B7" s="11" t="s">
        <v>597</v>
      </c>
      <c r="C7" s="22" t="s">
        <v>607</v>
      </c>
      <c r="D7" s="21" t="s">
        <v>608</v>
      </c>
      <c r="E7" s="22" t="s">
        <v>192</v>
      </c>
      <c r="F7" s="21" t="s">
        <v>600</v>
      </c>
      <c r="G7" s="11"/>
    </row>
    <row r="8" customFormat="false" ht="15" hidden="false" customHeight="false" outlineLevel="0" collapsed="false">
      <c r="A8" s="11" t="s">
        <v>609</v>
      </c>
      <c r="B8" s="11" t="s">
        <v>602</v>
      </c>
      <c r="C8" s="22" t="s">
        <v>610</v>
      </c>
      <c r="D8" s="21" t="s">
        <v>611</v>
      </c>
      <c r="E8" s="22" t="s">
        <v>192</v>
      </c>
      <c r="F8" s="22" t="s">
        <v>612</v>
      </c>
      <c r="G8" s="11"/>
    </row>
    <row r="9" customFormat="false" ht="15" hidden="false" customHeight="false" outlineLevel="0" collapsed="false">
      <c r="A9" s="11" t="s">
        <v>613</v>
      </c>
      <c r="B9" s="11" t="s">
        <v>597</v>
      </c>
      <c r="C9" s="22" t="s">
        <v>614</v>
      </c>
      <c r="D9" s="21" t="s">
        <v>615</v>
      </c>
      <c r="E9" s="22" t="s">
        <v>196</v>
      </c>
      <c r="F9" s="21" t="s">
        <v>600</v>
      </c>
      <c r="G9" s="11"/>
    </row>
    <row r="10" customFormat="false" ht="15" hidden="false" customHeight="false" outlineLevel="0" collapsed="false">
      <c r="A10" s="11" t="s">
        <v>616</v>
      </c>
      <c r="B10" s="11" t="s">
        <v>602</v>
      </c>
      <c r="C10" s="22" t="s">
        <v>617</v>
      </c>
      <c r="D10" s="21" t="s">
        <v>618</v>
      </c>
      <c r="E10" s="22" t="s">
        <v>196</v>
      </c>
      <c r="F10" s="22" t="s">
        <v>619</v>
      </c>
      <c r="G10" s="11"/>
    </row>
    <row r="11" customFormat="false" ht="15" hidden="false" customHeight="false" outlineLevel="0" collapsed="false">
      <c r="A11" s="11" t="s">
        <v>620</v>
      </c>
      <c r="B11" s="11" t="s">
        <v>621</v>
      </c>
      <c r="C11" s="22" t="s">
        <v>622</v>
      </c>
      <c r="D11" s="21" t="s">
        <v>623</v>
      </c>
      <c r="E11" s="22" t="s">
        <v>200</v>
      </c>
      <c r="F11" s="21" t="s">
        <v>624</v>
      </c>
      <c r="G11" s="11"/>
    </row>
    <row r="12" customFormat="false" ht="15" hidden="false" customHeight="false" outlineLevel="0" collapsed="false">
      <c r="A12" s="11" t="s">
        <v>625</v>
      </c>
      <c r="B12" s="11" t="s">
        <v>621</v>
      </c>
      <c r="C12" s="22" t="s">
        <v>626</v>
      </c>
      <c r="D12" s="21" t="s">
        <v>331</v>
      </c>
      <c r="E12" s="22" t="s">
        <v>204</v>
      </c>
      <c r="F12" s="22" t="s">
        <v>605</v>
      </c>
      <c r="G12" s="11"/>
    </row>
    <row r="13" customFormat="false" ht="15" hidden="false" customHeight="false" outlineLevel="0" collapsed="false">
      <c r="A13" s="11" t="s">
        <v>627</v>
      </c>
      <c r="B13" s="11" t="s">
        <v>628</v>
      </c>
      <c r="C13" s="22" t="s">
        <v>629</v>
      </c>
      <c r="D13" s="21" t="s">
        <v>630</v>
      </c>
      <c r="E13" s="22" t="s">
        <v>208</v>
      </c>
      <c r="F13" s="22" t="s">
        <v>631</v>
      </c>
      <c r="G13" s="11"/>
    </row>
    <row r="14" customFormat="false" ht="15" hidden="false" customHeight="false" outlineLevel="0" collapsed="false">
      <c r="A14" s="11" t="s">
        <v>632</v>
      </c>
      <c r="B14" s="11" t="s">
        <v>621</v>
      </c>
      <c r="C14" s="22" t="s">
        <v>633</v>
      </c>
      <c r="D14" s="21" t="s">
        <v>634</v>
      </c>
      <c r="E14" s="22" t="s">
        <v>212</v>
      </c>
      <c r="F14" s="22" t="s">
        <v>612</v>
      </c>
      <c r="G14" s="11"/>
    </row>
    <row r="15" customFormat="false" ht="15" hidden="false" customHeight="false" outlineLevel="0" collapsed="false">
      <c r="A15" s="11" t="s">
        <v>635</v>
      </c>
      <c r="B15" s="11" t="s">
        <v>592</v>
      </c>
      <c r="C15" s="22" t="s">
        <v>636</v>
      </c>
      <c r="D15" s="21" t="s">
        <v>637</v>
      </c>
      <c r="E15" s="22" t="s">
        <v>217</v>
      </c>
      <c r="F15" s="22" t="s">
        <v>605</v>
      </c>
      <c r="G15" s="11"/>
    </row>
    <row r="16" customFormat="false" ht="15" hidden="false" customHeight="false" outlineLevel="0" collapsed="false">
      <c r="A16" s="11" t="s">
        <v>638</v>
      </c>
      <c r="B16" s="11" t="s">
        <v>592</v>
      </c>
      <c r="C16" s="22" t="s">
        <v>639</v>
      </c>
      <c r="D16" s="21" t="s">
        <v>640</v>
      </c>
      <c r="E16" s="22" t="s">
        <v>212</v>
      </c>
      <c r="F16" s="22" t="s">
        <v>612</v>
      </c>
      <c r="G16" s="11"/>
    </row>
    <row r="17" customFormat="false" ht="15" hidden="false" customHeight="false" outlineLevel="0" collapsed="false">
      <c r="A17" s="11" t="s">
        <v>641</v>
      </c>
      <c r="B17" s="11" t="s">
        <v>597</v>
      </c>
      <c r="C17" s="22" t="s">
        <v>642</v>
      </c>
      <c r="D17" s="21" t="s">
        <v>643</v>
      </c>
      <c r="E17" s="22" t="s">
        <v>217</v>
      </c>
      <c r="F17" s="22" t="s">
        <v>612</v>
      </c>
      <c r="G17" s="11"/>
    </row>
    <row r="18" customFormat="false" ht="15" hidden="false" customHeight="false" outlineLevel="0" collapsed="false">
      <c r="A18" s="11" t="s">
        <v>644</v>
      </c>
      <c r="B18" s="11" t="s">
        <v>592</v>
      </c>
      <c r="C18" s="22" t="s">
        <v>645</v>
      </c>
      <c r="D18" s="21" t="s">
        <v>646</v>
      </c>
      <c r="E18" s="22" t="s">
        <v>131</v>
      </c>
      <c r="F18" s="22" t="s">
        <v>647</v>
      </c>
      <c r="G18" s="11"/>
    </row>
    <row r="19" customFormat="false" ht="15" hidden="false" customHeight="false" outlineLevel="0" collapsed="false">
      <c r="A19" s="11" t="s">
        <v>648</v>
      </c>
      <c r="B19" s="11" t="s">
        <v>592</v>
      </c>
      <c r="C19" s="22" t="s">
        <v>649</v>
      </c>
      <c r="D19" s="21" t="s">
        <v>650</v>
      </c>
      <c r="E19" s="22" t="s">
        <v>131</v>
      </c>
      <c r="F19" s="22" t="s">
        <v>647</v>
      </c>
      <c r="G19" s="11" t="s">
        <v>651</v>
      </c>
    </row>
    <row r="20" customFormat="false" ht="15" hidden="false" customHeight="false" outlineLevel="0" collapsed="false">
      <c r="A20" s="11" t="s">
        <v>652</v>
      </c>
      <c r="B20" s="11" t="s">
        <v>592</v>
      </c>
      <c r="C20" s="22" t="s">
        <v>653</v>
      </c>
      <c r="D20" s="21" t="s">
        <v>654</v>
      </c>
      <c r="E20" s="22" t="s">
        <v>222</v>
      </c>
      <c r="F20" s="22" t="s">
        <v>655</v>
      </c>
      <c r="G20" s="11" t="s">
        <v>656</v>
      </c>
    </row>
    <row r="21" customFormat="false" ht="15" hidden="false" customHeight="false" outlineLevel="0" collapsed="false">
      <c r="A21" s="11" t="s">
        <v>657</v>
      </c>
      <c r="B21" s="11" t="s">
        <v>592</v>
      </c>
      <c r="C21" s="22" t="s">
        <v>658</v>
      </c>
      <c r="D21" s="21" t="s">
        <v>659</v>
      </c>
      <c r="E21" s="22" t="s">
        <v>222</v>
      </c>
      <c r="F21" s="22" t="s">
        <v>655</v>
      </c>
      <c r="G21" s="11"/>
    </row>
    <row r="22" customFormat="false" ht="15" hidden="false" customHeight="false" outlineLevel="0" collapsed="false">
      <c r="A22" s="11" t="s">
        <v>660</v>
      </c>
      <c r="B22" s="11" t="s">
        <v>597</v>
      </c>
      <c r="C22" s="22" t="s">
        <v>661</v>
      </c>
      <c r="D22" s="21" t="s">
        <v>662</v>
      </c>
      <c r="E22" s="22" t="s">
        <v>225</v>
      </c>
      <c r="F22" s="21" t="s">
        <v>600</v>
      </c>
      <c r="G22" s="11"/>
    </row>
    <row r="23" customFormat="false" ht="15" hidden="false" customHeight="false" outlineLevel="0" collapsed="false">
      <c r="A23" s="11" t="s">
        <v>663</v>
      </c>
      <c r="B23" s="11" t="s">
        <v>597</v>
      </c>
      <c r="C23" s="22" t="s">
        <v>664</v>
      </c>
      <c r="D23" s="21" t="s">
        <v>665</v>
      </c>
      <c r="E23" s="22" t="s">
        <v>225</v>
      </c>
      <c r="F23" s="21" t="s">
        <v>600</v>
      </c>
      <c r="G23" s="11"/>
    </row>
    <row r="24" customFormat="false" ht="15" hidden="false" customHeight="false" outlineLevel="0" collapsed="false">
      <c r="A24" s="11" t="s">
        <v>666</v>
      </c>
      <c r="B24" s="11" t="s">
        <v>592</v>
      </c>
      <c r="C24" s="22" t="s">
        <v>667</v>
      </c>
      <c r="D24" s="21" t="s">
        <v>231</v>
      </c>
      <c r="E24" s="22" t="s">
        <v>230</v>
      </c>
      <c r="F24" s="22" t="s">
        <v>655</v>
      </c>
      <c r="G24" s="11"/>
    </row>
    <row r="25" customFormat="false" ht="15" hidden="false" customHeight="false" outlineLevel="0" collapsed="false">
      <c r="A25" s="11" t="s">
        <v>668</v>
      </c>
      <c r="B25" s="11" t="s">
        <v>597</v>
      </c>
      <c r="C25" s="22" t="s">
        <v>669</v>
      </c>
      <c r="D25" s="21" t="s">
        <v>235</v>
      </c>
      <c r="E25" s="22" t="s">
        <v>234</v>
      </c>
      <c r="F25" s="21" t="s">
        <v>600</v>
      </c>
      <c r="G25" s="11"/>
    </row>
    <row r="26" customFormat="false" ht="15" hidden="false" customHeight="false" outlineLevel="0" collapsed="false">
      <c r="A26" s="11" t="s">
        <v>670</v>
      </c>
      <c r="B26" s="11" t="s">
        <v>592</v>
      </c>
      <c r="C26" s="22" t="s">
        <v>671</v>
      </c>
      <c r="D26" s="21" t="s">
        <v>672</v>
      </c>
      <c r="E26" s="22" t="s">
        <v>238</v>
      </c>
      <c r="F26" s="22" t="s">
        <v>647</v>
      </c>
      <c r="G26" s="11" t="s">
        <v>673</v>
      </c>
    </row>
    <row r="27" customFormat="false" ht="15" hidden="false" customHeight="false" outlineLevel="0" collapsed="false">
      <c r="A27" s="11" t="s">
        <v>674</v>
      </c>
      <c r="B27" s="11" t="s">
        <v>592</v>
      </c>
      <c r="C27" s="22" t="s">
        <v>675</v>
      </c>
      <c r="D27" s="21" t="s">
        <v>676</v>
      </c>
      <c r="E27" s="22" t="s">
        <v>177</v>
      </c>
      <c r="F27" s="22" t="s">
        <v>647</v>
      </c>
      <c r="G27" s="11" t="s">
        <v>673</v>
      </c>
    </row>
    <row r="28" customFormat="false" ht="15" hidden="false" customHeight="false" outlineLevel="0" collapsed="false">
      <c r="A28" s="11" t="s">
        <v>677</v>
      </c>
      <c r="B28" s="11" t="s">
        <v>592</v>
      </c>
      <c r="C28" s="22" t="s">
        <v>678</v>
      </c>
      <c r="D28" s="21" t="s">
        <v>679</v>
      </c>
      <c r="E28" s="22" t="s">
        <v>143</v>
      </c>
      <c r="F28" s="22" t="s">
        <v>680</v>
      </c>
      <c r="G28" s="11" t="s">
        <v>681</v>
      </c>
    </row>
    <row r="29" customFormat="false" ht="15" hidden="false" customHeight="false" outlineLevel="0" collapsed="false">
      <c r="A29" s="11" t="s">
        <v>682</v>
      </c>
      <c r="B29" s="11" t="s">
        <v>597</v>
      </c>
      <c r="C29" s="22" t="s">
        <v>683</v>
      </c>
      <c r="D29" s="21" t="s">
        <v>684</v>
      </c>
      <c r="E29" s="22" t="s">
        <v>247</v>
      </c>
      <c r="F29" s="21" t="s">
        <v>600</v>
      </c>
      <c r="G29" s="11"/>
    </row>
    <row r="30" customFormat="false" ht="15" hidden="false" customHeight="false" outlineLevel="0" collapsed="false">
      <c r="A30" s="11" t="s">
        <v>685</v>
      </c>
      <c r="B30" s="11" t="s">
        <v>621</v>
      </c>
      <c r="C30" s="22" t="s">
        <v>686</v>
      </c>
      <c r="D30" s="21" t="s">
        <v>687</v>
      </c>
      <c r="E30" s="22" t="s">
        <v>150</v>
      </c>
      <c r="F30" s="22" t="s">
        <v>619</v>
      </c>
      <c r="G30" s="11" t="s">
        <v>688</v>
      </c>
    </row>
    <row r="31" customFormat="false" ht="15" hidden="false" customHeight="false" outlineLevel="0" collapsed="false">
      <c r="A31" s="11" t="s">
        <v>689</v>
      </c>
      <c r="B31" s="11" t="s">
        <v>592</v>
      </c>
      <c r="C31" s="22" t="s">
        <v>690</v>
      </c>
      <c r="D31" s="21" t="s">
        <v>691</v>
      </c>
      <c r="E31" s="22" t="s">
        <v>150</v>
      </c>
      <c r="F31" s="22" t="s">
        <v>619</v>
      </c>
      <c r="G31" s="11"/>
    </row>
    <row r="32" customFormat="false" ht="15" hidden="false" customHeight="false" outlineLevel="0" collapsed="false">
      <c r="A32" s="11" t="s">
        <v>692</v>
      </c>
      <c r="B32" s="11" t="s">
        <v>592</v>
      </c>
      <c r="C32" s="22" t="s">
        <v>693</v>
      </c>
      <c r="D32" s="21" t="s">
        <v>694</v>
      </c>
      <c r="E32" s="22" t="s">
        <v>254</v>
      </c>
      <c r="F32" s="22" t="s">
        <v>647</v>
      </c>
      <c r="G32" s="11" t="s">
        <v>695</v>
      </c>
    </row>
    <row r="33" customFormat="false" ht="15" hidden="false" customHeight="false" outlineLevel="0" collapsed="false">
      <c r="A33" s="11" t="s">
        <v>696</v>
      </c>
      <c r="B33" s="11" t="s">
        <v>592</v>
      </c>
      <c r="C33" s="22" t="s">
        <v>697</v>
      </c>
      <c r="D33" s="21" t="s">
        <v>698</v>
      </c>
      <c r="E33" s="22" t="s">
        <v>258</v>
      </c>
      <c r="F33" s="22" t="s">
        <v>647</v>
      </c>
      <c r="G33" s="11" t="s">
        <v>699</v>
      </c>
    </row>
    <row r="34" customFormat="false" ht="26.85" hidden="false" customHeight="false" outlineLevel="0" collapsed="false">
      <c r="A34" s="11" t="s">
        <v>700</v>
      </c>
      <c r="B34" s="11" t="s">
        <v>592</v>
      </c>
      <c r="C34" s="22" t="s">
        <v>701</v>
      </c>
      <c r="D34" s="21" t="s">
        <v>702</v>
      </c>
      <c r="E34" s="22" t="s">
        <v>258</v>
      </c>
      <c r="F34" s="22" t="s">
        <v>703</v>
      </c>
      <c r="G34" s="11" t="s">
        <v>704</v>
      </c>
    </row>
    <row r="35" customFormat="false" ht="15" hidden="false" customHeight="false" outlineLevel="0" collapsed="false">
      <c r="A35" s="11" t="s">
        <v>705</v>
      </c>
      <c r="B35" s="11" t="s">
        <v>597</v>
      </c>
      <c r="C35" s="22" t="s">
        <v>706</v>
      </c>
      <c r="D35" s="21" t="s">
        <v>707</v>
      </c>
      <c r="E35" s="22" t="s">
        <v>261</v>
      </c>
      <c r="F35" s="22" t="s">
        <v>708</v>
      </c>
      <c r="G35" s="11"/>
    </row>
    <row r="36" customFormat="false" ht="15" hidden="false" customHeight="false" outlineLevel="0" collapsed="false">
      <c r="A36" s="11" t="s">
        <v>709</v>
      </c>
      <c r="B36" s="11" t="s">
        <v>592</v>
      </c>
      <c r="C36" s="22" t="s">
        <v>710</v>
      </c>
      <c r="D36" s="21" t="s">
        <v>264</v>
      </c>
      <c r="E36" s="22" t="s">
        <v>165</v>
      </c>
      <c r="F36" s="22" t="s">
        <v>647</v>
      </c>
      <c r="G36" s="11" t="s">
        <v>711</v>
      </c>
    </row>
    <row r="37" customFormat="false" ht="15" hidden="false" customHeight="false" outlineLevel="0" collapsed="false">
      <c r="A37" s="11" t="s">
        <v>712</v>
      </c>
      <c r="B37" s="11" t="s">
        <v>592</v>
      </c>
      <c r="C37" s="22" t="s">
        <v>713</v>
      </c>
      <c r="D37" s="21" t="s">
        <v>714</v>
      </c>
      <c r="E37" s="22" t="s">
        <v>165</v>
      </c>
      <c r="F37" s="22" t="s">
        <v>655</v>
      </c>
      <c r="G37" s="11" t="s">
        <v>711</v>
      </c>
    </row>
    <row r="38" customFormat="false" ht="15" hidden="false" customHeight="false" outlineLevel="0" collapsed="false">
      <c r="A38" s="11" t="s">
        <v>715</v>
      </c>
      <c r="B38" s="11" t="s">
        <v>597</v>
      </c>
      <c r="C38" s="22" t="s">
        <v>716</v>
      </c>
      <c r="D38" s="21" t="s">
        <v>269</v>
      </c>
      <c r="E38" s="22" t="s">
        <v>267</v>
      </c>
      <c r="F38" s="21" t="s">
        <v>600</v>
      </c>
      <c r="G38" s="11"/>
    </row>
    <row r="39" customFormat="false" ht="15" hidden="false" customHeight="false" outlineLevel="0" collapsed="false">
      <c r="A39" s="11" t="s">
        <v>717</v>
      </c>
      <c r="B39" s="11" t="s">
        <v>597</v>
      </c>
      <c r="C39" s="22" t="s">
        <v>718</v>
      </c>
      <c r="D39" s="21" t="s">
        <v>273</v>
      </c>
      <c r="E39" s="22" t="s">
        <v>272</v>
      </c>
      <c r="F39" s="21" t="s">
        <v>600</v>
      </c>
      <c r="G39" s="11"/>
    </row>
    <row r="40" customFormat="false" ht="15" hidden="false" customHeight="false" outlineLevel="0" collapsed="false">
      <c r="A40" s="11" t="s">
        <v>719</v>
      </c>
      <c r="B40" s="11" t="s">
        <v>592</v>
      </c>
      <c r="C40" s="22" t="s">
        <v>720</v>
      </c>
      <c r="D40" s="21" t="s">
        <v>721</v>
      </c>
      <c r="E40" s="22" t="s">
        <v>276</v>
      </c>
      <c r="F40" s="22" t="s">
        <v>655</v>
      </c>
      <c r="G40" s="11" t="s">
        <v>722</v>
      </c>
    </row>
    <row r="41" customFormat="false" ht="15" hidden="false" customHeight="false" outlineLevel="0" collapsed="false">
      <c r="A41" s="11" t="s">
        <v>723</v>
      </c>
      <c r="B41" s="11" t="s">
        <v>592</v>
      </c>
      <c r="C41" s="22" t="s">
        <v>724</v>
      </c>
      <c r="D41" s="21" t="s">
        <v>725</v>
      </c>
      <c r="E41" s="22" t="s">
        <v>276</v>
      </c>
      <c r="F41" s="22" t="s">
        <v>655</v>
      </c>
      <c r="G41" s="11" t="s">
        <v>722</v>
      </c>
    </row>
    <row r="42" customFormat="false" ht="15" hidden="false" customHeight="false" outlineLevel="0" collapsed="false">
      <c r="A42" s="11" t="s">
        <v>726</v>
      </c>
      <c r="B42" s="11" t="s">
        <v>727</v>
      </c>
      <c r="C42" s="22" t="s">
        <v>728</v>
      </c>
      <c r="D42" s="21" t="s">
        <v>729</v>
      </c>
      <c r="E42" s="22" t="s">
        <v>280</v>
      </c>
      <c r="F42" s="22" t="s">
        <v>730</v>
      </c>
      <c r="G42" s="11"/>
    </row>
    <row r="43" customFormat="false" ht="15" hidden="false" customHeight="false" outlineLevel="0" collapsed="false">
      <c r="A43" s="11" t="s">
        <v>731</v>
      </c>
      <c r="B43" s="11" t="s">
        <v>592</v>
      </c>
      <c r="C43" s="22" t="s">
        <v>732</v>
      </c>
      <c r="D43" s="21" t="s">
        <v>733</v>
      </c>
      <c r="E43" s="22" t="s">
        <v>280</v>
      </c>
      <c r="F43" s="22" t="s">
        <v>655</v>
      </c>
      <c r="G43" s="11"/>
    </row>
    <row r="44" customFormat="false" ht="23.85" hidden="false" customHeight="false" outlineLevel="0" collapsed="false">
      <c r="A44" s="11" t="s">
        <v>734</v>
      </c>
      <c r="B44" s="11" t="s">
        <v>597</v>
      </c>
      <c r="C44" s="22" t="s">
        <v>735</v>
      </c>
      <c r="D44" s="21" t="s">
        <v>66</v>
      </c>
      <c r="E44" s="22" t="s">
        <v>736</v>
      </c>
      <c r="F44" s="21" t="s">
        <v>737</v>
      </c>
      <c r="G44" s="11"/>
    </row>
    <row r="45" customFormat="false" ht="15" hidden="false" customHeight="false" outlineLevel="0" collapsed="false">
      <c r="A45" s="11" t="s">
        <v>738</v>
      </c>
      <c r="B45" s="11" t="s">
        <v>597</v>
      </c>
      <c r="C45" s="22" t="s">
        <v>739</v>
      </c>
      <c r="D45" s="21" t="s">
        <v>376</v>
      </c>
      <c r="E45" s="22" t="s">
        <v>305</v>
      </c>
      <c r="F45" s="22" t="s">
        <v>631</v>
      </c>
      <c r="G45" s="11"/>
    </row>
    <row r="46" customFormat="false" ht="15" hidden="false" customHeight="false" outlineLevel="0" collapsed="false">
      <c r="A46" s="11" t="s">
        <v>740</v>
      </c>
      <c r="B46" s="11" t="s">
        <v>597</v>
      </c>
      <c r="C46" s="22" t="s">
        <v>741</v>
      </c>
      <c r="D46" s="21" t="s">
        <v>310</v>
      </c>
      <c r="E46" s="22" t="s">
        <v>309</v>
      </c>
      <c r="F46" s="21" t="s">
        <v>600</v>
      </c>
      <c r="G46" s="11"/>
    </row>
  </sheetData>
  <autoFilter ref="A3:G46"/>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8"/>
    <col collapsed="false" customWidth="true" hidden="false" outlineLevel="0" max="4" min="4" style="0" width="100"/>
    <col collapsed="false" customWidth="true" hidden="false" outlineLevel="0" max="5" min="5" style="0" width="14"/>
  </cols>
  <sheetData>
    <row r="1" customFormat="false" ht="15" hidden="false" customHeight="false" outlineLevel="0" collapsed="false">
      <c r="A1" s="5" t="s">
        <v>43</v>
      </c>
      <c r="E1" s="19" t="s">
        <v>78</v>
      </c>
    </row>
    <row r="2" customFormat="false" ht="15" hidden="false" customHeight="false" outlineLevel="0" collapsed="false">
      <c r="A2" s="23" t="s">
        <v>742</v>
      </c>
    </row>
    <row r="3" customFormat="false" ht="26.85" hidden="false" customHeight="false" outlineLevel="0" collapsed="false">
      <c r="A3" s="10" t="s">
        <v>743</v>
      </c>
      <c r="B3" s="10" t="s">
        <v>744</v>
      </c>
      <c r="C3" s="10" t="s">
        <v>116</v>
      </c>
      <c r="D3" s="10" t="s">
        <v>26</v>
      </c>
      <c r="E3" s="10" t="s">
        <v>745</v>
      </c>
    </row>
    <row r="4" customFormat="false" ht="15" hidden="false" customHeight="false" outlineLevel="0" collapsed="false">
      <c r="A4" s="26" t="s">
        <v>651</v>
      </c>
      <c r="B4" s="27" t="s">
        <v>746</v>
      </c>
      <c r="C4" s="26" t="n">
        <v>1</v>
      </c>
      <c r="D4" s="27" t="s">
        <v>747</v>
      </c>
      <c r="E4" s="26" t="s">
        <v>748</v>
      </c>
    </row>
    <row r="5" customFormat="false" ht="15" hidden="false" customHeight="false" outlineLevel="0" collapsed="false">
      <c r="A5" s="11" t="s">
        <v>651</v>
      </c>
      <c r="B5" s="21" t="s">
        <v>746</v>
      </c>
      <c r="C5" s="11" t="n">
        <v>2</v>
      </c>
      <c r="D5" s="21" t="s">
        <v>749</v>
      </c>
      <c r="E5" s="11" t="s">
        <v>750</v>
      </c>
    </row>
    <row r="6" customFormat="false" ht="15" hidden="false" customHeight="false" outlineLevel="0" collapsed="false">
      <c r="A6" s="11" t="s">
        <v>651</v>
      </c>
      <c r="B6" s="21" t="s">
        <v>746</v>
      </c>
      <c r="C6" s="11" t="n">
        <v>3</v>
      </c>
      <c r="D6" s="22" t="s">
        <v>751</v>
      </c>
      <c r="E6" s="11" t="s">
        <v>752</v>
      </c>
    </row>
    <row r="7" customFormat="false" ht="15" hidden="false" customHeight="false" outlineLevel="0" collapsed="false">
      <c r="A7" s="11" t="s">
        <v>651</v>
      </c>
      <c r="B7" s="21" t="s">
        <v>746</v>
      </c>
      <c r="C7" s="11" t="n">
        <v>4</v>
      </c>
      <c r="D7" s="21" t="s">
        <v>753</v>
      </c>
      <c r="E7" s="11"/>
    </row>
    <row r="8" customFormat="false" ht="15" hidden="false" customHeight="false" outlineLevel="0" collapsed="false">
      <c r="A8" s="11" t="s">
        <v>651</v>
      </c>
      <c r="B8" s="21" t="s">
        <v>746</v>
      </c>
      <c r="C8" s="11" t="n">
        <v>5</v>
      </c>
      <c r="D8" s="22" t="s">
        <v>754</v>
      </c>
      <c r="E8" s="11"/>
    </row>
    <row r="9" customFormat="false" ht="15" hidden="false" customHeight="false" outlineLevel="0" collapsed="false">
      <c r="A9" s="11" t="s">
        <v>651</v>
      </c>
      <c r="B9" s="21" t="s">
        <v>746</v>
      </c>
      <c r="C9" s="11" t="n">
        <v>6</v>
      </c>
      <c r="D9" s="21" t="s">
        <v>755</v>
      </c>
      <c r="E9" s="11"/>
    </row>
    <row r="10" customFormat="false" ht="15" hidden="false" customHeight="false" outlineLevel="0" collapsed="false">
      <c r="A10" s="11" t="s">
        <v>651</v>
      </c>
      <c r="B10" s="21" t="s">
        <v>746</v>
      </c>
      <c r="C10" s="11" t="n">
        <v>7</v>
      </c>
      <c r="D10" s="22" t="s">
        <v>756</v>
      </c>
      <c r="E10" s="11"/>
    </row>
    <row r="11" customFormat="false" ht="15" hidden="false" customHeight="false" outlineLevel="0" collapsed="false">
      <c r="A11" s="26" t="s">
        <v>656</v>
      </c>
      <c r="B11" s="27" t="s">
        <v>654</v>
      </c>
      <c r="C11" s="26" t="n">
        <v>1</v>
      </c>
      <c r="D11" s="27" t="s">
        <v>757</v>
      </c>
      <c r="E11" s="26" t="s">
        <v>748</v>
      </c>
    </row>
    <row r="12" customFormat="false" ht="15" hidden="false" customHeight="false" outlineLevel="0" collapsed="false">
      <c r="A12" s="11" t="s">
        <v>656</v>
      </c>
      <c r="B12" s="21" t="s">
        <v>654</v>
      </c>
      <c r="C12" s="11" t="n">
        <v>2</v>
      </c>
      <c r="D12" s="21" t="s">
        <v>758</v>
      </c>
      <c r="E12" s="11" t="s">
        <v>759</v>
      </c>
    </row>
    <row r="13" customFormat="false" ht="15" hidden="false" customHeight="false" outlineLevel="0" collapsed="false">
      <c r="A13" s="11" t="s">
        <v>656</v>
      </c>
      <c r="B13" s="21" t="s">
        <v>654</v>
      </c>
      <c r="C13" s="11" t="n">
        <v>3</v>
      </c>
      <c r="D13" s="21" t="s">
        <v>760</v>
      </c>
      <c r="E13" s="11" t="s">
        <v>761</v>
      </c>
    </row>
    <row r="14" customFormat="false" ht="15" hidden="false" customHeight="false" outlineLevel="0" collapsed="false">
      <c r="A14" s="11" t="s">
        <v>656</v>
      </c>
      <c r="B14" s="21" t="s">
        <v>654</v>
      </c>
      <c r="C14" s="11" t="n">
        <v>4</v>
      </c>
      <c r="D14" s="22" t="s">
        <v>762</v>
      </c>
      <c r="E14" s="11"/>
    </row>
    <row r="15" customFormat="false" ht="15" hidden="false" customHeight="false" outlineLevel="0" collapsed="false">
      <c r="A15" s="26" t="s">
        <v>688</v>
      </c>
      <c r="B15" s="27" t="s">
        <v>251</v>
      </c>
      <c r="C15" s="26" t="n">
        <v>1</v>
      </c>
      <c r="D15" s="27" t="s">
        <v>763</v>
      </c>
      <c r="E15" s="26" t="s">
        <v>764</v>
      </c>
    </row>
    <row r="16" customFormat="false" ht="15" hidden="false" customHeight="false" outlineLevel="0" collapsed="false">
      <c r="A16" s="11" t="s">
        <v>688</v>
      </c>
      <c r="B16" s="21" t="s">
        <v>251</v>
      </c>
      <c r="C16" s="11" t="n">
        <v>2</v>
      </c>
      <c r="D16" s="21" t="s">
        <v>765</v>
      </c>
      <c r="E16" s="11" t="s">
        <v>766</v>
      </c>
    </row>
    <row r="17" customFormat="false" ht="15" hidden="false" customHeight="false" outlineLevel="0" collapsed="false">
      <c r="A17" s="11" t="s">
        <v>688</v>
      </c>
      <c r="B17" s="21" t="s">
        <v>251</v>
      </c>
      <c r="C17" s="11" t="n">
        <v>3</v>
      </c>
      <c r="D17" s="21" t="s">
        <v>767</v>
      </c>
      <c r="E17" s="11" t="s">
        <v>768</v>
      </c>
    </row>
    <row r="18" customFormat="false" ht="15" hidden="false" customHeight="false" outlineLevel="0" collapsed="false">
      <c r="A18" s="11" t="s">
        <v>688</v>
      </c>
      <c r="B18" s="21" t="s">
        <v>251</v>
      </c>
      <c r="C18" s="11" t="n">
        <v>4</v>
      </c>
      <c r="D18" s="21" t="s">
        <v>769</v>
      </c>
      <c r="E18" s="11"/>
    </row>
    <row r="19" customFormat="false" ht="15" hidden="false" customHeight="false" outlineLevel="0" collapsed="false">
      <c r="A19" s="26" t="s">
        <v>695</v>
      </c>
      <c r="B19" s="27" t="s">
        <v>694</v>
      </c>
      <c r="C19" s="26" t="n">
        <v>1</v>
      </c>
      <c r="D19" s="27" t="s">
        <v>770</v>
      </c>
      <c r="E19" s="26"/>
    </row>
    <row r="20" customFormat="false" ht="25.35" hidden="false" customHeight="false" outlineLevel="0" collapsed="false">
      <c r="A20" s="11" t="s">
        <v>695</v>
      </c>
      <c r="B20" s="21" t="s">
        <v>694</v>
      </c>
      <c r="C20" s="11" t="n">
        <v>2</v>
      </c>
      <c r="D20" s="21" t="s">
        <v>771</v>
      </c>
      <c r="E20" s="11"/>
    </row>
    <row r="21" customFormat="false" ht="15" hidden="false" customHeight="false" outlineLevel="0" collapsed="false">
      <c r="A21" s="11" t="s">
        <v>695</v>
      </c>
      <c r="B21" s="21" t="s">
        <v>694</v>
      </c>
      <c r="C21" s="11" t="n">
        <v>3</v>
      </c>
      <c r="D21" s="21" t="s">
        <v>772</v>
      </c>
      <c r="E21" s="11"/>
    </row>
    <row r="22" customFormat="false" ht="15" hidden="false" customHeight="false" outlineLevel="0" collapsed="false">
      <c r="A22" s="11" t="s">
        <v>695</v>
      </c>
      <c r="B22" s="21" t="s">
        <v>694</v>
      </c>
      <c r="C22" s="11" t="n">
        <v>4</v>
      </c>
      <c r="D22" s="22" t="s">
        <v>773</v>
      </c>
      <c r="E22" s="11" t="s">
        <v>774</v>
      </c>
    </row>
    <row r="23" customFormat="false" ht="15" hidden="false" customHeight="false" outlineLevel="0" collapsed="false">
      <c r="A23" s="11" t="s">
        <v>695</v>
      </c>
      <c r="B23" s="21" t="s">
        <v>694</v>
      </c>
      <c r="C23" s="11" t="n">
        <v>5</v>
      </c>
      <c r="D23" s="21" t="s">
        <v>775</v>
      </c>
      <c r="E23" s="11" t="s">
        <v>776</v>
      </c>
    </row>
    <row r="24" customFormat="false" ht="15" hidden="false" customHeight="false" outlineLevel="0" collapsed="false">
      <c r="A24" s="26" t="s">
        <v>699</v>
      </c>
      <c r="B24" s="27" t="s">
        <v>698</v>
      </c>
      <c r="C24" s="26" t="n">
        <v>1</v>
      </c>
      <c r="D24" s="28" t="s">
        <v>777</v>
      </c>
      <c r="E24" s="26" t="s">
        <v>748</v>
      </c>
    </row>
    <row r="25" customFormat="false" ht="26.85" hidden="false" customHeight="false" outlineLevel="0" collapsed="false">
      <c r="A25" s="11" t="s">
        <v>699</v>
      </c>
      <c r="B25" s="21" t="s">
        <v>698</v>
      </c>
      <c r="C25" s="11" t="n">
        <v>2</v>
      </c>
      <c r="D25" s="21" t="s">
        <v>778</v>
      </c>
      <c r="E25" s="11" t="s">
        <v>779</v>
      </c>
    </row>
    <row r="26" customFormat="false" ht="15" hidden="false" customHeight="false" outlineLevel="0" collapsed="false">
      <c r="A26" s="11" t="s">
        <v>699</v>
      </c>
      <c r="B26" s="21" t="s">
        <v>698</v>
      </c>
      <c r="C26" s="11" t="n">
        <v>3</v>
      </c>
      <c r="D26" s="22" t="s">
        <v>780</v>
      </c>
      <c r="E26" s="11" t="s">
        <v>774</v>
      </c>
    </row>
    <row r="27" customFormat="false" ht="15" hidden="false" customHeight="false" outlineLevel="0" collapsed="false">
      <c r="A27" s="11" t="s">
        <v>699</v>
      </c>
      <c r="B27" s="21" t="s">
        <v>698</v>
      </c>
      <c r="C27" s="11" t="n">
        <v>4</v>
      </c>
      <c r="D27" s="22" t="s">
        <v>781</v>
      </c>
      <c r="E27" s="11"/>
    </row>
    <row r="28" customFormat="false" ht="15" hidden="false" customHeight="false" outlineLevel="0" collapsed="false">
      <c r="A28" s="11" t="s">
        <v>699</v>
      </c>
      <c r="B28" s="21" t="s">
        <v>698</v>
      </c>
      <c r="C28" s="11" t="n">
        <v>5</v>
      </c>
      <c r="D28" s="22" t="s">
        <v>782</v>
      </c>
      <c r="E28" s="11"/>
    </row>
    <row r="29" customFormat="false" ht="15" hidden="false" customHeight="false" outlineLevel="0" collapsed="false">
      <c r="A29" s="11" t="s">
        <v>699</v>
      </c>
      <c r="B29" s="21" t="s">
        <v>698</v>
      </c>
      <c r="C29" s="11" t="n">
        <v>6</v>
      </c>
      <c r="D29" s="22" t="s">
        <v>783</v>
      </c>
      <c r="E29" s="11"/>
    </row>
    <row r="30" customFormat="false" ht="15" hidden="false" customHeight="false" outlineLevel="0" collapsed="false">
      <c r="A30" s="11" t="s">
        <v>699</v>
      </c>
      <c r="B30" s="21" t="s">
        <v>698</v>
      </c>
      <c r="C30" s="11" t="n">
        <v>7</v>
      </c>
      <c r="D30" s="22" t="s">
        <v>784</v>
      </c>
      <c r="E30" s="11"/>
    </row>
    <row r="31" customFormat="false" ht="15" hidden="false" customHeight="false" outlineLevel="0" collapsed="false">
      <c r="A31" s="26" t="s">
        <v>704</v>
      </c>
      <c r="B31" s="27" t="s">
        <v>785</v>
      </c>
      <c r="C31" s="26" t="n">
        <v>1</v>
      </c>
      <c r="D31" s="28" t="s">
        <v>786</v>
      </c>
      <c r="E31" s="26"/>
    </row>
    <row r="32" customFormat="false" ht="15" hidden="false" customHeight="false" outlineLevel="0" collapsed="false">
      <c r="A32" s="11" t="s">
        <v>704</v>
      </c>
      <c r="B32" s="21" t="s">
        <v>785</v>
      </c>
      <c r="C32" s="11" t="n">
        <v>2</v>
      </c>
      <c r="D32" s="22" t="s">
        <v>787</v>
      </c>
      <c r="E32" s="11" t="s">
        <v>788</v>
      </c>
    </row>
    <row r="33" customFormat="false" ht="15" hidden="false" customHeight="false" outlineLevel="0" collapsed="false">
      <c r="A33" s="11" t="s">
        <v>704</v>
      </c>
      <c r="B33" s="21" t="s">
        <v>785</v>
      </c>
      <c r="C33" s="11" t="n">
        <v>3</v>
      </c>
      <c r="D33" s="21" t="s">
        <v>789</v>
      </c>
      <c r="E33" s="11"/>
    </row>
    <row r="34" customFormat="false" ht="15" hidden="false" customHeight="false" outlineLevel="0" collapsed="false">
      <c r="A34" s="11" t="s">
        <v>704</v>
      </c>
      <c r="B34" s="21" t="s">
        <v>785</v>
      </c>
      <c r="C34" s="11" t="n">
        <v>4</v>
      </c>
      <c r="D34" s="21" t="s">
        <v>790</v>
      </c>
      <c r="E34" s="11"/>
    </row>
    <row r="35" customFormat="false" ht="15" hidden="false" customHeight="false" outlineLevel="0" collapsed="false">
      <c r="A35" s="26" t="s">
        <v>711</v>
      </c>
      <c r="B35" s="27" t="s">
        <v>791</v>
      </c>
      <c r="C35" s="26" t="n">
        <v>1</v>
      </c>
      <c r="D35" s="27" t="s">
        <v>792</v>
      </c>
      <c r="E35" s="26" t="s">
        <v>793</v>
      </c>
    </row>
    <row r="36" customFormat="false" ht="15" hidden="false" customHeight="false" outlineLevel="0" collapsed="false">
      <c r="A36" s="11" t="s">
        <v>711</v>
      </c>
      <c r="B36" s="21" t="s">
        <v>791</v>
      </c>
      <c r="C36" s="11" t="n">
        <v>2</v>
      </c>
      <c r="D36" s="21" t="s">
        <v>794</v>
      </c>
      <c r="E36" s="11"/>
    </row>
    <row r="37" customFormat="false" ht="15" hidden="false" customHeight="false" outlineLevel="0" collapsed="false">
      <c r="A37" s="11" t="s">
        <v>711</v>
      </c>
      <c r="B37" s="21" t="s">
        <v>791</v>
      </c>
      <c r="C37" s="11" t="n">
        <v>3</v>
      </c>
      <c r="D37" s="21" t="s">
        <v>795</v>
      </c>
      <c r="E37" s="11" t="s">
        <v>796</v>
      </c>
    </row>
    <row r="38" customFormat="false" ht="15" hidden="false" customHeight="false" outlineLevel="0" collapsed="false">
      <c r="A38" s="11" t="s">
        <v>711</v>
      </c>
      <c r="B38" s="21" t="s">
        <v>791</v>
      </c>
      <c r="C38" s="11" t="n">
        <v>4</v>
      </c>
      <c r="D38" s="21" t="s">
        <v>797</v>
      </c>
      <c r="E38" s="11"/>
    </row>
    <row r="39" customFormat="false" ht="15" hidden="false" customHeight="false" outlineLevel="0" collapsed="false">
      <c r="A39" s="26" t="s">
        <v>722</v>
      </c>
      <c r="B39" s="27" t="s">
        <v>798</v>
      </c>
      <c r="C39" s="26" t="n">
        <v>1</v>
      </c>
      <c r="D39" s="27" t="s">
        <v>799</v>
      </c>
      <c r="E39" s="26"/>
    </row>
    <row r="40" customFormat="false" ht="15" hidden="false" customHeight="false" outlineLevel="0" collapsed="false">
      <c r="A40" s="11" t="s">
        <v>722</v>
      </c>
      <c r="B40" s="21" t="s">
        <v>798</v>
      </c>
      <c r="C40" s="11" t="n">
        <v>2</v>
      </c>
      <c r="D40" s="21" t="s">
        <v>800</v>
      </c>
      <c r="E40" s="11"/>
    </row>
    <row r="41" customFormat="false" ht="15" hidden="false" customHeight="false" outlineLevel="0" collapsed="false">
      <c r="A41" s="11" t="s">
        <v>722</v>
      </c>
      <c r="B41" s="21" t="s">
        <v>798</v>
      </c>
      <c r="C41" s="11" t="n">
        <v>3</v>
      </c>
      <c r="D41" s="22" t="s">
        <v>801</v>
      </c>
      <c r="E41" s="11"/>
    </row>
    <row r="42" customFormat="false" ht="15" hidden="false" customHeight="false" outlineLevel="0" collapsed="false">
      <c r="A42" s="11" t="s">
        <v>722</v>
      </c>
      <c r="B42" s="21" t="s">
        <v>798</v>
      </c>
      <c r="C42" s="11" t="n">
        <v>4</v>
      </c>
      <c r="D42" s="21" t="s">
        <v>802</v>
      </c>
      <c r="E42" s="11"/>
    </row>
    <row r="43" customFormat="false" ht="15" hidden="false" customHeight="false" outlineLevel="0" collapsed="false">
      <c r="A43" s="26" t="s">
        <v>681</v>
      </c>
      <c r="B43" s="27" t="s">
        <v>803</v>
      </c>
      <c r="C43" s="26" t="n">
        <v>1</v>
      </c>
      <c r="D43" s="27" t="s">
        <v>804</v>
      </c>
      <c r="E43" s="26" t="s">
        <v>805</v>
      </c>
    </row>
    <row r="44" customFormat="false" ht="15" hidden="false" customHeight="false" outlineLevel="0" collapsed="false">
      <c r="A44" s="11" t="s">
        <v>681</v>
      </c>
      <c r="B44" s="21" t="s">
        <v>803</v>
      </c>
      <c r="C44" s="11" t="n">
        <v>2</v>
      </c>
      <c r="D44" s="21" t="s">
        <v>806</v>
      </c>
      <c r="E44" s="11"/>
    </row>
    <row r="45" customFormat="false" ht="15" hidden="false" customHeight="false" outlineLevel="0" collapsed="false">
      <c r="A45" s="11" t="s">
        <v>681</v>
      </c>
      <c r="B45" s="21" t="s">
        <v>803</v>
      </c>
      <c r="C45" s="11" t="n">
        <v>3</v>
      </c>
      <c r="D45" s="22" t="s">
        <v>807</v>
      </c>
      <c r="E45" s="11"/>
    </row>
    <row r="46" customFormat="false" ht="15" hidden="false" customHeight="false" outlineLevel="0" collapsed="false">
      <c r="A46" s="26" t="s">
        <v>673</v>
      </c>
      <c r="B46" s="27" t="s">
        <v>808</v>
      </c>
      <c r="C46" s="26" t="n">
        <v>1</v>
      </c>
      <c r="D46" s="27" t="s">
        <v>809</v>
      </c>
      <c r="E46" s="26" t="s">
        <v>750</v>
      </c>
    </row>
    <row r="47" customFormat="false" ht="15" hidden="false" customHeight="false" outlineLevel="0" collapsed="false">
      <c r="A47" s="11" t="s">
        <v>673</v>
      </c>
      <c r="B47" s="21" t="s">
        <v>808</v>
      </c>
      <c r="C47" s="11" t="n">
        <v>2</v>
      </c>
      <c r="D47" s="21" t="s">
        <v>810</v>
      </c>
      <c r="E47" s="11" t="s">
        <v>811</v>
      </c>
    </row>
  </sheetData>
  <autoFilter ref="A3:E47"/>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100"/>
    <col collapsed="false" customWidth="true" hidden="false" outlineLevel="0" max="4" min="4" style="0" width="18"/>
  </cols>
  <sheetData>
    <row r="1" customFormat="false" ht="15" hidden="false" customHeight="false" outlineLevel="0" collapsed="false">
      <c r="A1" s="5" t="s">
        <v>46</v>
      </c>
      <c r="D1" s="19" t="s">
        <v>78</v>
      </c>
    </row>
    <row r="3" customFormat="false" ht="15" hidden="false" customHeight="false" outlineLevel="0" collapsed="false">
      <c r="A3" s="10" t="s">
        <v>812</v>
      </c>
      <c r="B3" s="10" t="s">
        <v>81</v>
      </c>
      <c r="C3" s="10" t="s">
        <v>813</v>
      </c>
      <c r="D3" s="10" t="s">
        <v>118</v>
      </c>
    </row>
    <row r="4" customFormat="false" ht="15" hidden="false" customHeight="false" outlineLevel="0" collapsed="false">
      <c r="A4" s="11" t="s">
        <v>814</v>
      </c>
      <c r="B4" s="20" t="s">
        <v>815</v>
      </c>
      <c r="C4" s="21" t="s">
        <v>816</v>
      </c>
      <c r="D4" s="22" t="s">
        <v>254</v>
      </c>
    </row>
    <row r="5" customFormat="false" ht="15" hidden="false" customHeight="false" outlineLevel="0" collapsed="false">
      <c r="A5" s="11" t="s">
        <v>817</v>
      </c>
      <c r="B5" s="20" t="s">
        <v>815</v>
      </c>
      <c r="C5" s="21" t="s">
        <v>818</v>
      </c>
      <c r="D5" s="22" t="s">
        <v>819</v>
      </c>
    </row>
    <row r="6" customFormat="false" ht="15" hidden="false" customHeight="false" outlineLevel="0" collapsed="false">
      <c r="A6" s="11" t="s">
        <v>820</v>
      </c>
      <c r="B6" s="20" t="s">
        <v>815</v>
      </c>
      <c r="C6" s="21" t="s">
        <v>821</v>
      </c>
      <c r="D6" s="22" t="s">
        <v>822</v>
      </c>
    </row>
    <row r="7" customFormat="false" ht="15" hidden="false" customHeight="false" outlineLevel="0" collapsed="false">
      <c r="A7" s="11" t="s">
        <v>823</v>
      </c>
      <c r="B7" s="20" t="s">
        <v>168</v>
      </c>
      <c r="C7" s="21" t="s">
        <v>824</v>
      </c>
      <c r="D7" s="22" t="s">
        <v>254</v>
      </c>
    </row>
    <row r="8" customFormat="false" ht="15" hidden="false" customHeight="false" outlineLevel="0" collapsed="false">
      <c r="A8" s="11" t="s">
        <v>825</v>
      </c>
      <c r="B8" s="20" t="s">
        <v>168</v>
      </c>
      <c r="C8" s="21" t="s">
        <v>826</v>
      </c>
      <c r="D8" s="22" t="s">
        <v>254</v>
      </c>
    </row>
    <row r="9" customFormat="false" ht="15" hidden="false" customHeight="false" outlineLevel="0" collapsed="false">
      <c r="A9" s="11" t="s">
        <v>827</v>
      </c>
      <c r="B9" s="20" t="s">
        <v>168</v>
      </c>
      <c r="C9" s="21" t="s">
        <v>828</v>
      </c>
      <c r="D9" s="22" t="s">
        <v>829</v>
      </c>
    </row>
    <row r="10" customFormat="false" ht="15" hidden="false" customHeight="false" outlineLevel="0" collapsed="false">
      <c r="A10" s="11" t="s">
        <v>830</v>
      </c>
      <c r="B10" s="20" t="s">
        <v>168</v>
      </c>
      <c r="C10" s="21" t="s">
        <v>831</v>
      </c>
      <c r="D10" s="22" t="s">
        <v>143</v>
      </c>
    </row>
    <row r="11" customFormat="false" ht="15" hidden="false" customHeight="false" outlineLevel="0" collapsed="false">
      <c r="A11" s="11" t="s">
        <v>454</v>
      </c>
      <c r="B11" s="20" t="s">
        <v>168</v>
      </c>
      <c r="C11" s="21" t="s">
        <v>832</v>
      </c>
      <c r="D11" s="22" t="s">
        <v>222</v>
      </c>
    </row>
    <row r="12" customFormat="false" ht="15" hidden="false" customHeight="false" outlineLevel="0" collapsed="false">
      <c r="A12" s="11" t="s">
        <v>833</v>
      </c>
      <c r="B12" s="20" t="s">
        <v>146</v>
      </c>
      <c r="C12" s="21" t="s">
        <v>834</v>
      </c>
      <c r="D12" s="22" t="s">
        <v>835</v>
      </c>
    </row>
    <row r="13" customFormat="false" ht="15" hidden="false" customHeight="false" outlineLevel="0" collapsed="false">
      <c r="A13" s="11" t="s">
        <v>836</v>
      </c>
      <c r="B13" s="20" t="s">
        <v>146</v>
      </c>
      <c r="C13" s="21" t="s">
        <v>837</v>
      </c>
      <c r="D13" s="22" t="s">
        <v>196</v>
      </c>
    </row>
    <row r="14" customFormat="false" ht="15" hidden="false" customHeight="false" outlineLevel="0" collapsed="false">
      <c r="A14" s="11" t="s">
        <v>838</v>
      </c>
      <c r="B14" s="20" t="s">
        <v>146</v>
      </c>
      <c r="C14" s="21" t="s">
        <v>839</v>
      </c>
      <c r="D14" s="22" t="s">
        <v>150</v>
      </c>
    </row>
    <row r="15" customFormat="false" ht="15" hidden="false" customHeight="false" outlineLevel="0" collapsed="false">
      <c r="A15" s="11" t="s">
        <v>840</v>
      </c>
      <c r="B15" s="20" t="s">
        <v>146</v>
      </c>
      <c r="C15" s="21" t="s">
        <v>841</v>
      </c>
      <c r="D15" s="22" t="s">
        <v>165</v>
      </c>
    </row>
    <row r="16" customFormat="false" ht="15" hidden="false" customHeight="false" outlineLevel="0" collapsed="false">
      <c r="A16" s="11" t="s">
        <v>842</v>
      </c>
      <c r="B16" s="20" t="s">
        <v>843</v>
      </c>
      <c r="C16" s="21" t="s">
        <v>844</v>
      </c>
      <c r="D16" s="22" t="s">
        <v>276</v>
      </c>
    </row>
    <row r="17" customFormat="false" ht="15" hidden="false" customHeight="false" outlineLevel="0" collapsed="false">
      <c r="A17" s="11" t="s">
        <v>845</v>
      </c>
      <c r="B17" s="20" t="s">
        <v>843</v>
      </c>
      <c r="C17" s="21" t="s">
        <v>846</v>
      </c>
      <c r="D17" s="22" t="s">
        <v>847</v>
      </c>
    </row>
    <row r="18" customFormat="false" ht="15" hidden="false" customHeight="false" outlineLevel="0" collapsed="false">
      <c r="A18" s="11" t="s">
        <v>848</v>
      </c>
      <c r="B18" s="20" t="s">
        <v>849</v>
      </c>
      <c r="C18" s="21" t="s">
        <v>850</v>
      </c>
      <c r="D18" s="22" t="s">
        <v>131</v>
      </c>
    </row>
    <row r="19" customFormat="false" ht="15" hidden="false" customHeight="false" outlineLevel="0" collapsed="false">
      <c r="A19" s="11" t="s">
        <v>851</v>
      </c>
      <c r="B19" s="20" t="s">
        <v>852</v>
      </c>
      <c r="C19" s="21" t="s">
        <v>853</v>
      </c>
      <c r="D19" s="22" t="s">
        <v>247</v>
      </c>
    </row>
  </sheetData>
  <autoFilter ref="A3:D19"/>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0"/>
    <col collapsed="false" customWidth="true" hidden="false" outlineLevel="0" max="4" min="4" style="0" width="24"/>
    <col collapsed="false" customWidth="true" hidden="false" outlineLevel="0" max="5" min="5" style="0" width="50"/>
    <col collapsed="false" customWidth="true" hidden="false" outlineLevel="0" max="6" min="6" style="0" width="12"/>
  </cols>
  <sheetData>
    <row r="1" customFormat="false" ht="15" hidden="false" customHeight="false" outlineLevel="0" collapsed="false">
      <c r="A1" s="5" t="s">
        <v>47</v>
      </c>
      <c r="F1" s="19" t="s">
        <v>78</v>
      </c>
    </row>
    <row r="3" customFormat="false" ht="15" hidden="false" customHeight="false" outlineLevel="0" collapsed="false">
      <c r="A3" s="10" t="s">
        <v>854</v>
      </c>
      <c r="B3" s="10" t="s">
        <v>855</v>
      </c>
      <c r="C3" s="10" t="s">
        <v>856</v>
      </c>
      <c r="D3" s="10" t="s">
        <v>857</v>
      </c>
      <c r="E3" s="10" t="s">
        <v>858</v>
      </c>
      <c r="F3" s="10" t="s">
        <v>859</v>
      </c>
    </row>
    <row r="4" customFormat="false" ht="15" hidden="false" customHeight="false" outlineLevel="0" collapsed="false">
      <c r="A4" s="20" t="s">
        <v>226</v>
      </c>
      <c r="B4" s="21" t="s">
        <v>860</v>
      </c>
      <c r="C4" s="21" t="s">
        <v>746</v>
      </c>
      <c r="D4" s="22" t="s">
        <v>861</v>
      </c>
      <c r="E4" s="21" t="s">
        <v>862</v>
      </c>
      <c r="F4" s="11" t="s">
        <v>863</v>
      </c>
    </row>
    <row r="5" customFormat="false" ht="15" hidden="false" customHeight="false" outlineLevel="0" collapsed="false">
      <c r="A5" s="20" t="s">
        <v>226</v>
      </c>
      <c r="B5" s="22" t="s">
        <v>861</v>
      </c>
      <c r="C5" s="21" t="s">
        <v>864</v>
      </c>
      <c r="D5" s="22" t="s">
        <v>865</v>
      </c>
      <c r="E5" s="22" t="s">
        <v>866</v>
      </c>
      <c r="F5" s="11" t="s">
        <v>655</v>
      </c>
    </row>
    <row r="6" customFormat="false" ht="15" hidden="false" customHeight="false" outlineLevel="0" collapsed="false">
      <c r="A6" s="20" t="s">
        <v>226</v>
      </c>
      <c r="B6" s="22" t="s">
        <v>861</v>
      </c>
      <c r="C6" s="21" t="s">
        <v>867</v>
      </c>
      <c r="D6" s="22" t="s">
        <v>868</v>
      </c>
      <c r="E6" s="21" t="s">
        <v>869</v>
      </c>
      <c r="F6" s="11" t="s">
        <v>655</v>
      </c>
    </row>
    <row r="7" customFormat="false" ht="15" hidden="false" customHeight="false" outlineLevel="0" collapsed="false">
      <c r="A7" s="20" t="s">
        <v>226</v>
      </c>
      <c r="B7" s="22" t="s">
        <v>865</v>
      </c>
      <c r="C7" s="21" t="s">
        <v>870</v>
      </c>
      <c r="D7" s="22" t="s">
        <v>871</v>
      </c>
      <c r="E7" s="21" t="s">
        <v>872</v>
      </c>
      <c r="F7" s="11" t="s">
        <v>655</v>
      </c>
    </row>
    <row r="8" customFormat="false" ht="15" hidden="false" customHeight="false" outlineLevel="0" collapsed="false">
      <c r="A8" s="20" t="s">
        <v>226</v>
      </c>
      <c r="B8" s="22" t="s">
        <v>871</v>
      </c>
      <c r="C8" s="21" t="s">
        <v>873</v>
      </c>
      <c r="D8" s="22" t="s">
        <v>865</v>
      </c>
      <c r="E8" s="21" t="s">
        <v>874</v>
      </c>
      <c r="F8" s="11" t="s">
        <v>655</v>
      </c>
    </row>
    <row r="9" customFormat="false" ht="15" hidden="false" customHeight="false" outlineLevel="0" collapsed="false">
      <c r="A9" s="20" t="s">
        <v>226</v>
      </c>
      <c r="B9" s="22" t="s">
        <v>871</v>
      </c>
      <c r="C9" s="21" t="s">
        <v>875</v>
      </c>
      <c r="D9" s="22" t="s">
        <v>868</v>
      </c>
      <c r="E9" s="21" t="s">
        <v>874</v>
      </c>
      <c r="F9" s="11" t="s">
        <v>655</v>
      </c>
    </row>
    <row r="10" customFormat="false" ht="15" hidden="false" customHeight="false" outlineLevel="0" collapsed="false">
      <c r="A10" s="20" t="s">
        <v>226</v>
      </c>
      <c r="B10" s="22" t="s">
        <v>876</v>
      </c>
      <c r="C10" s="21" t="s">
        <v>877</v>
      </c>
      <c r="D10" s="22" t="s">
        <v>878</v>
      </c>
      <c r="E10" s="21" t="s">
        <v>879</v>
      </c>
      <c r="F10" s="11" t="s">
        <v>655</v>
      </c>
    </row>
    <row r="11" customFormat="false" ht="15" hidden="false" customHeight="false" outlineLevel="0" collapsed="false">
      <c r="A11" s="20" t="s">
        <v>226</v>
      </c>
      <c r="B11" s="22" t="s">
        <v>865</v>
      </c>
      <c r="C11" s="21" t="s">
        <v>880</v>
      </c>
      <c r="D11" s="22" t="s">
        <v>881</v>
      </c>
      <c r="E11" s="21" t="s">
        <v>882</v>
      </c>
      <c r="F11" s="20" t="s">
        <v>883</v>
      </c>
    </row>
    <row r="12" customFormat="false" ht="15" hidden="false" customHeight="false" outlineLevel="0" collapsed="false">
      <c r="A12" s="20" t="s">
        <v>122</v>
      </c>
      <c r="B12" s="22" t="s">
        <v>884</v>
      </c>
      <c r="C12" s="21" t="s">
        <v>885</v>
      </c>
      <c r="D12" s="22" t="s">
        <v>886</v>
      </c>
      <c r="E12" s="22"/>
      <c r="F12" s="11" t="s">
        <v>605</v>
      </c>
    </row>
    <row r="13" customFormat="false" ht="15" hidden="false" customHeight="false" outlineLevel="0" collapsed="false">
      <c r="A13" s="20" t="s">
        <v>122</v>
      </c>
      <c r="B13" s="22" t="s">
        <v>886</v>
      </c>
      <c r="C13" s="21" t="s">
        <v>887</v>
      </c>
      <c r="D13" s="22" t="s">
        <v>888</v>
      </c>
      <c r="E13" s="21" t="s">
        <v>889</v>
      </c>
      <c r="F13" s="11" t="s">
        <v>863</v>
      </c>
    </row>
    <row r="14" customFormat="false" ht="26.85" hidden="false" customHeight="false" outlineLevel="0" collapsed="false">
      <c r="A14" s="20" t="s">
        <v>122</v>
      </c>
      <c r="B14" s="22" t="s">
        <v>890</v>
      </c>
      <c r="C14" s="21" t="s">
        <v>891</v>
      </c>
      <c r="D14" s="22" t="s">
        <v>892</v>
      </c>
      <c r="E14" s="21" t="s">
        <v>893</v>
      </c>
      <c r="F14" s="11" t="s">
        <v>863</v>
      </c>
    </row>
    <row r="15" customFormat="false" ht="15" hidden="false" customHeight="false" outlineLevel="0" collapsed="false">
      <c r="A15" s="20" t="s">
        <v>122</v>
      </c>
      <c r="B15" s="22" t="s">
        <v>894</v>
      </c>
      <c r="C15" s="21" t="s">
        <v>895</v>
      </c>
      <c r="D15" s="22" t="s">
        <v>896</v>
      </c>
      <c r="E15" s="21" t="s">
        <v>897</v>
      </c>
      <c r="F15" s="11" t="s">
        <v>898</v>
      </c>
    </row>
    <row r="16" customFormat="false" ht="15" hidden="false" customHeight="false" outlineLevel="0" collapsed="false">
      <c r="A16" s="20" t="s">
        <v>147</v>
      </c>
      <c r="B16" s="22" t="s">
        <v>899</v>
      </c>
      <c r="C16" s="21" t="s">
        <v>900</v>
      </c>
      <c r="D16" s="22" t="s">
        <v>901</v>
      </c>
      <c r="E16" s="22"/>
      <c r="F16" s="11" t="s">
        <v>863</v>
      </c>
    </row>
    <row r="17" customFormat="false" ht="15" hidden="false" customHeight="false" outlineLevel="0" collapsed="false">
      <c r="A17" s="20" t="s">
        <v>147</v>
      </c>
      <c r="B17" s="22" t="s">
        <v>902</v>
      </c>
      <c r="C17" s="21" t="s">
        <v>903</v>
      </c>
      <c r="D17" s="22" t="s">
        <v>904</v>
      </c>
      <c r="E17" s="22"/>
      <c r="F17" s="11" t="s">
        <v>863</v>
      </c>
    </row>
    <row r="18" customFormat="false" ht="15" hidden="false" customHeight="false" outlineLevel="0" collapsed="false">
      <c r="A18" s="20" t="s">
        <v>147</v>
      </c>
      <c r="B18" s="22" t="s">
        <v>899</v>
      </c>
      <c r="C18" s="21" t="s">
        <v>895</v>
      </c>
      <c r="D18" s="22" t="s">
        <v>896</v>
      </c>
      <c r="E18" s="21" t="s">
        <v>905</v>
      </c>
      <c r="F18" s="11" t="s">
        <v>906</v>
      </c>
    </row>
    <row r="19" customFormat="false" ht="15" hidden="false" customHeight="false" outlineLevel="0" collapsed="false">
      <c r="A19" s="20" t="s">
        <v>907</v>
      </c>
      <c r="B19" s="22" t="s">
        <v>908</v>
      </c>
      <c r="C19" s="21" t="s">
        <v>698</v>
      </c>
      <c r="D19" s="22" t="s">
        <v>909</v>
      </c>
      <c r="E19" s="21" t="s">
        <v>910</v>
      </c>
      <c r="F19" s="11" t="s">
        <v>863</v>
      </c>
    </row>
    <row r="20" customFormat="false" ht="15" hidden="false" customHeight="false" outlineLevel="0" collapsed="false">
      <c r="A20" s="20" t="s">
        <v>907</v>
      </c>
      <c r="B20" s="22" t="s">
        <v>908</v>
      </c>
      <c r="C20" s="21" t="s">
        <v>911</v>
      </c>
      <c r="D20" s="22" t="s">
        <v>896</v>
      </c>
      <c r="E20" s="21" t="s">
        <v>912</v>
      </c>
      <c r="F20" s="11" t="s">
        <v>863</v>
      </c>
    </row>
    <row r="21" customFormat="false" ht="15" hidden="false" customHeight="false" outlineLevel="0" collapsed="false">
      <c r="A21" s="20" t="s">
        <v>907</v>
      </c>
      <c r="B21" s="22" t="s">
        <v>909</v>
      </c>
      <c r="C21" s="21" t="s">
        <v>785</v>
      </c>
      <c r="D21" s="22" t="s">
        <v>896</v>
      </c>
      <c r="E21" s="21" t="s">
        <v>913</v>
      </c>
      <c r="F21" s="11" t="s">
        <v>605</v>
      </c>
    </row>
    <row r="22" customFormat="false" ht="15" hidden="false" customHeight="false" outlineLevel="0" collapsed="false">
      <c r="A22" s="20" t="s">
        <v>914</v>
      </c>
      <c r="B22" s="22" t="s">
        <v>915</v>
      </c>
      <c r="C22" s="21" t="s">
        <v>916</v>
      </c>
      <c r="D22" s="22" t="s">
        <v>917</v>
      </c>
      <c r="E22" s="22"/>
      <c r="F22" s="11" t="s">
        <v>655</v>
      </c>
    </row>
    <row r="23" customFormat="false" ht="15" hidden="false" customHeight="false" outlineLevel="0" collapsed="false">
      <c r="A23" s="20" t="s">
        <v>914</v>
      </c>
      <c r="B23" s="22" t="s">
        <v>917</v>
      </c>
      <c r="C23" s="21" t="s">
        <v>918</v>
      </c>
      <c r="D23" s="22" t="s">
        <v>919</v>
      </c>
      <c r="E23" s="21" t="s">
        <v>920</v>
      </c>
      <c r="F23" s="11" t="s">
        <v>655</v>
      </c>
    </row>
  </sheetData>
  <autoFilter ref="A3:F23"/>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4"/>
    <col collapsed="false" customWidth="true" hidden="false" outlineLevel="0" max="4" min="4" style="0" width="46"/>
    <col collapsed="false" customWidth="true" hidden="false" outlineLevel="0" max="5" min="5" style="0" width="9"/>
    <col collapsed="false" customWidth="true" hidden="false" outlineLevel="0" max="6" min="6" style="0" width="50"/>
  </cols>
  <sheetData>
    <row r="1" customFormat="false" ht="15" hidden="false" customHeight="false" outlineLevel="0" collapsed="false">
      <c r="A1" s="5" t="s">
        <v>49</v>
      </c>
      <c r="F1" s="19" t="s">
        <v>78</v>
      </c>
    </row>
    <row r="2" customFormat="false" ht="15" hidden="false" customHeight="false" outlineLevel="0" collapsed="false">
      <c r="A2" s="23" t="s">
        <v>921</v>
      </c>
    </row>
    <row r="3" customFormat="false" ht="15" hidden="false" customHeight="false" outlineLevel="0" collapsed="false">
      <c r="A3" s="10" t="s">
        <v>922</v>
      </c>
      <c r="B3" s="10" t="s">
        <v>923</v>
      </c>
      <c r="C3" s="10" t="s">
        <v>81</v>
      </c>
      <c r="D3" s="10" t="s">
        <v>183</v>
      </c>
      <c r="E3" s="10" t="s">
        <v>924</v>
      </c>
      <c r="F3" s="10" t="s">
        <v>925</v>
      </c>
    </row>
    <row r="4" customFormat="false" ht="15" hidden="false" customHeight="false" outlineLevel="0" collapsed="false">
      <c r="A4" s="29" t="s">
        <v>926</v>
      </c>
      <c r="B4" s="21" t="s">
        <v>392</v>
      </c>
      <c r="C4" s="20" t="s">
        <v>187</v>
      </c>
      <c r="D4" s="21" t="s">
        <v>927</v>
      </c>
      <c r="E4" s="11" t="n">
        <f aca="false">COUNTIF(項目定義!A:A,A4)-1</f>
        <v>15</v>
      </c>
      <c r="F4" s="22" t="s">
        <v>161</v>
      </c>
    </row>
    <row r="5" customFormat="false" ht="15" hidden="false" customHeight="false" outlineLevel="0" collapsed="false">
      <c r="A5" s="29" t="s">
        <v>928</v>
      </c>
      <c r="B5" s="21" t="s">
        <v>408</v>
      </c>
      <c r="C5" s="20" t="s">
        <v>187</v>
      </c>
      <c r="D5" s="21" t="s">
        <v>929</v>
      </c>
      <c r="E5" s="11" t="n">
        <f aca="false">COUNTIF(項目定義!A:A,A5)-1</f>
        <v>22</v>
      </c>
      <c r="F5" s="22" t="s">
        <v>926</v>
      </c>
    </row>
    <row r="6" customFormat="false" ht="15" hidden="false" customHeight="false" outlineLevel="0" collapsed="false">
      <c r="A6" s="29" t="s">
        <v>930</v>
      </c>
      <c r="B6" s="21" t="s">
        <v>473</v>
      </c>
      <c r="C6" s="20" t="s">
        <v>187</v>
      </c>
      <c r="D6" s="21" t="s">
        <v>931</v>
      </c>
      <c r="E6" s="11" t="n">
        <f aca="false">COUNTIF(項目定義!A:A,A6)-1</f>
        <v>17</v>
      </c>
      <c r="F6" s="22" t="s">
        <v>161</v>
      </c>
    </row>
    <row r="7" customFormat="false" ht="15" hidden="false" customHeight="false" outlineLevel="0" collapsed="false">
      <c r="A7" s="29" t="s">
        <v>932</v>
      </c>
      <c r="B7" s="21" t="s">
        <v>476</v>
      </c>
      <c r="C7" s="20" t="s">
        <v>187</v>
      </c>
      <c r="D7" s="21" t="s">
        <v>933</v>
      </c>
      <c r="E7" s="11" t="n">
        <f aca="false">COUNTIF(項目定義!A:A,A7)-1</f>
        <v>13</v>
      </c>
      <c r="F7" s="22" t="s">
        <v>930</v>
      </c>
    </row>
    <row r="8" customFormat="false" ht="15" hidden="false" customHeight="false" outlineLevel="0" collapsed="false">
      <c r="A8" s="29" t="s">
        <v>934</v>
      </c>
      <c r="B8" s="21" t="s">
        <v>623</v>
      </c>
      <c r="C8" s="20" t="s">
        <v>187</v>
      </c>
      <c r="D8" s="21" t="s">
        <v>935</v>
      </c>
      <c r="E8" s="11" t="n">
        <f aca="false">COUNTIF(項目定義!A:A,A8)-1</f>
        <v>12</v>
      </c>
      <c r="F8" s="22" t="s">
        <v>161</v>
      </c>
    </row>
    <row r="9" customFormat="false" ht="15" hidden="false" customHeight="false" outlineLevel="0" collapsed="false">
      <c r="A9" s="29" t="s">
        <v>936</v>
      </c>
      <c r="B9" s="21" t="s">
        <v>334</v>
      </c>
      <c r="C9" s="20" t="s">
        <v>187</v>
      </c>
      <c r="D9" s="21" t="s">
        <v>937</v>
      </c>
      <c r="E9" s="11" t="n">
        <f aca="false">COUNTIF(項目定義!A:A,A9)-1</f>
        <v>9</v>
      </c>
      <c r="F9" s="22" t="s">
        <v>161</v>
      </c>
    </row>
    <row r="10" customFormat="false" ht="15" hidden="false" customHeight="false" outlineLevel="0" collapsed="false">
      <c r="A10" s="29" t="s">
        <v>938</v>
      </c>
      <c r="B10" s="21" t="s">
        <v>939</v>
      </c>
      <c r="C10" s="20" t="s">
        <v>187</v>
      </c>
      <c r="D10" s="21" t="s">
        <v>940</v>
      </c>
      <c r="E10" s="11" t="n">
        <f aca="false">COUNTIF(項目定義!A:A,A10)-1</f>
        <v>13</v>
      </c>
      <c r="F10" s="22" t="s">
        <v>161</v>
      </c>
    </row>
    <row r="11" customFormat="false" ht="15" hidden="false" customHeight="false" outlineLevel="0" collapsed="false">
      <c r="A11" s="29" t="s">
        <v>941</v>
      </c>
      <c r="B11" s="21" t="s">
        <v>122</v>
      </c>
      <c r="C11" s="20" t="s">
        <v>942</v>
      </c>
      <c r="D11" s="21" t="s">
        <v>943</v>
      </c>
      <c r="E11" s="11" t="n">
        <f aca="false">COUNTIF(項目定義!A:A,A11)-1</f>
        <v>14</v>
      </c>
      <c r="F11" s="22" t="s">
        <v>944</v>
      </c>
    </row>
    <row r="12" customFormat="false" ht="15" hidden="false" customHeight="false" outlineLevel="0" collapsed="false">
      <c r="A12" s="29" t="s">
        <v>945</v>
      </c>
      <c r="B12" s="21" t="s">
        <v>410</v>
      </c>
      <c r="C12" s="20" t="s">
        <v>942</v>
      </c>
      <c r="D12" s="21" t="s">
        <v>410</v>
      </c>
      <c r="E12" s="11" t="n">
        <f aca="false">COUNTIF(項目定義!A:A,A12)-1</f>
        <v>12</v>
      </c>
      <c r="F12" s="22" t="s">
        <v>946</v>
      </c>
    </row>
    <row r="13" customFormat="false" ht="15" hidden="false" customHeight="false" outlineLevel="0" collapsed="false">
      <c r="A13" s="29" t="s">
        <v>947</v>
      </c>
      <c r="B13" s="21" t="s">
        <v>948</v>
      </c>
      <c r="C13" s="20" t="s">
        <v>942</v>
      </c>
      <c r="D13" s="21" t="s">
        <v>949</v>
      </c>
      <c r="E13" s="11" t="n">
        <f aca="false">COUNTIF(項目定義!A:A,A13)-1</f>
        <v>13</v>
      </c>
      <c r="F13" s="22" t="s">
        <v>950</v>
      </c>
    </row>
    <row r="14" customFormat="false" ht="15" hidden="false" customHeight="false" outlineLevel="0" collapsed="false">
      <c r="A14" s="29" t="s">
        <v>951</v>
      </c>
      <c r="B14" s="21" t="s">
        <v>952</v>
      </c>
      <c r="C14" s="20" t="s">
        <v>942</v>
      </c>
      <c r="D14" s="21" t="s">
        <v>953</v>
      </c>
      <c r="E14" s="11" t="n">
        <f aca="false">COUNTIF(項目定義!A:A,A14)-1</f>
        <v>13</v>
      </c>
      <c r="F14" s="22" t="s">
        <v>954</v>
      </c>
    </row>
    <row r="15" customFormat="false" ht="15" hidden="false" customHeight="false" outlineLevel="0" collapsed="false">
      <c r="A15" s="29" t="s">
        <v>955</v>
      </c>
      <c r="B15" s="21" t="s">
        <v>226</v>
      </c>
      <c r="C15" s="20" t="s">
        <v>942</v>
      </c>
      <c r="D15" s="21" t="s">
        <v>956</v>
      </c>
      <c r="E15" s="11" t="n">
        <f aca="false">COUNTIF(項目定義!A:A,A15)-1</f>
        <v>17</v>
      </c>
      <c r="F15" s="22" t="s">
        <v>957</v>
      </c>
    </row>
    <row r="16" customFormat="false" ht="15" hidden="false" customHeight="false" outlineLevel="0" collapsed="false">
      <c r="A16" s="29" t="s">
        <v>542</v>
      </c>
      <c r="B16" s="21" t="s">
        <v>140</v>
      </c>
      <c r="C16" s="20" t="s">
        <v>942</v>
      </c>
      <c r="D16" s="21" t="s">
        <v>958</v>
      </c>
      <c r="E16" s="11" t="n">
        <f aca="false">COUNTIF(項目定義!A:A,A16)-1</f>
        <v>10</v>
      </c>
      <c r="F16" s="22" t="s">
        <v>959</v>
      </c>
    </row>
    <row r="17" customFormat="false" ht="15" hidden="false" customHeight="false" outlineLevel="0" collapsed="false">
      <c r="A17" s="29" t="s">
        <v>960</v>
      </c>
      <c r="B17" s="21" t="s">
        <v>961</v>
      </c>
      <c r="C17" s="20" t="s">
        <v>942</v>
      </c>
      <c r="D17" s="21" t="s">
        <v>962</v>
      </c>
      <c r="E17" s="11" t="n">
        <f aca="false">COUNTIF(項目定義!A:A,A17)-1</f>
        <v>11</v>
      </c>
      <c r="F17" s="22" t="s">
        <v>959</v>
      </c>
    </row>
    <row r="18" customFormat="false" ht="15" hidden="false" customHeight="false" outlineLevel="0" collapsed="false">
      <c r="A18" s="29" t="s">
        <v>963</v>
      </c>
      <c r="B18" s="21" t="s">
        <v>147</v>
      </c>
      <c r="C18" s="20" t="s">
        <v>942</v>
      </c>
      <c r="D18" s="21" t="s">
        <v>964</v>
      </c>
      <c r="E18" s="11" t="n">
        <f aca="false">COUNTIF(項目定義!A:A,A18)-1</f>
        <v>14</v>
      </c>
      <c r="F18" s="22" t="s">
        <v>965</v>
      </c>
    </row>
    <row r="19" customFormat="false" ht="15" hidden="false" customHeight="false" outlineLevel="0" collapsed="false">
      <c r="A19" s="29" t="s">
        <v>508</v>
      </c>
      <c r="B19" s="21" t="s">
        <v>966</v>
      </c>
      <c r="C19" s="20" t="s">
        <v>942</v>
      </c>
      <c r="D19" s="21" t="s">
        <v>966</v>
      </c>
      <c r="E19" s="11" t="n">
        <f aca="false">COUNTIF(項目定義!A:A,A19)-1</f>
        <v>12</v>
      </c>
      <c r="F19" s="22" t="s">
        <v>967</v>
      </c>
    </row>
    <row r="20" customFormat="false" ht="15" hidden="false" customHeight="false" outlineLevel="0" collapsed="false">
      <c r="A20" s="29" t="s">
        <v>968</v>
      </c>
      <c r="B20" s="21" t="s">
        <v>907</v>
      </c>
      <c r="C20" s="20" t="s">
        <v>942</v>
      </c>
      <c r="D20" s="21" t="s">
        <v>969</v>
      </c>
      <c r="E20" s="11" t="n">
        <f aca="false">COUNTIF(項目定義!A:A,A20)-1</f>
        <v>14</v>
      </c>
      <c r="F20" s="22" t="s">
        <v>970</v>
      </c>
    </row>
    <row r="21" customFormat="false" ht="15" hidden="false" customHeight="false" outlineLevel="0" collapsed="false">
      <c r="A21" s="29" t="s">
        <v>971</v>
      </c>
      <c r="B21" s="21" t="s">
        <v>972</v>
      </c>
      <c r="C21" s="20" t="s">
        <v>942</v>
      </c>
      <c r="D21" s="21" t="s">
        <v>973</v>
      </c>
      <c r="E21" s="11" t="n">
        <f aca="false">COUNTIF(項目定義!A:A,A21)-1</f>
        <v>14</v>
      </c>
      <c r="F21" s="22" t="s">
        <v>974</v>
      </c>
    </row>
    <row r="22" customFormat="false" ht="15" hidden="false" customHeight="false" outlineLevel="0" collapsed="false">
      <c r="A22" s="29" t="s">
        <v>975</v>
      </c>
      <c r="B22" s="21" t="s">
        <v>163</v>
      </c>
      <c r="C22" s="20" t="s">
        <v>942</v>
      </c>
      <c r="D22" s="21" t="s">
        <v>976</v>
      </c>
      <c r="E22" s="11" t="n">
        <f aca="false">COUNTIF(項目定義!A:A,A22)-1</f>
        <v>14</v>
      </c>
      <c r="F22" s="22" t="s">
        <v>977</v>
      </c>
    </row>
    <row r="23" customFormat="false" ht="15" hidden="false" customHeight="false" outlineLevel="0" collapsed="false">
      <c r="A23" s="29" t="s">
        <v>978</v>
      </c>
      <c r="B23" s="21" t="s">
        <v>914</v>
      </c>
      <c r="C23" s="20" t="s">
        <v>942</v>
      </c>
      <c r="D23" s="21" t="s">
        <v>979</v>
      </c>
      <c r="E23" s="11" t="n">
        <f aca="false">COUNTIF(項目定義!A:A,A23)-1</f>
        <v>13</v>
      </c>
      <c r="F23" s="22" t="s">
        <v>161</v>
      </c>
    </row>
    <row r="24" customFormat="false" ht="15" hidden="false" customHeight="false" outlineLevel="0" collapsed="false">
      <c r="A24" s="29" t="s">
        <v>980</v>
      </c>
      <c r="B24" s="21" t="s">
        <v>981</v>
      </c>
      <c r="C24" s="20" t="s">
        <v>942</v>
      </c>
      <c r="D24" s="21" t="s">
        <v>982</v>
      </c>
      <c r="E24" s="11" t="n">
        <f aca="false">COUNTIF(項目定義!A:A,A24)-1</f>
        <v>8</v>
      </c>
      <c r="F24" s="22" t="s">
        <v>983</v>
      </c>
    </row>
    <row r="25" customFormat="false" ht="15" hidden="false" customHeight="false" outlineLevel="0" collapsed="false">
      <c r="A25" s="29" t="s">
        <v>579</v>
      </c>
      <c r="B25" s="21" t="s">
        <v>984</v>
      </c>
      <c r="C25" s="20" t="s">
        <v>942</v>
      </c>
      <c r="D25" s="21" t="s">
        <v>985</v>
      </c>
      <c r="E25" s="11" t="n">
        <f aca="false">COUNTIF(項目定義!A:A,A25)-1</f>
        <v>14</v>
      </c>
      <c r="F25" s="22" t="s">
        <v>986</v>
      </c>
    </row>
    <row r="26" customFormat="false" ht="15" hidden="false" customHeight="false" outlineLevel="0" collapsed="false">
      <c r="A26" s="29" t="s">
        <v>987</v>
      </c>
      <c r="B26" s="21" t="s">
        <v>244</v>
      </c>
      <c r="C26" s="20" t="s">
        <v>942</v>
      </c>
      <c r="D26" s="21" t="s">
        <v>988</v>
      </c>
      <c r="E26" s="11" t="n">
        <f aca="false">COUNTIF(項目定義!A:A,A26)-1</f>
        <v>8</v>
      </c>
      <c r="F26" s="22" t="s">
        <v>934</v>
      </c>
    </row>
    <row r="27" customFormat="false" ht="15" hidden="false" customHeight="false" outlineLevel="0" collapsed="false">
      <c r="A27" s="29" t="s">
        <v>453</v>
      </c>
      <c r="B27" s="21" t="s">
        <v>989</v>
      </c>
      <c r="C27" s="20" t="s">
        <v>942</v>
      </c>
      <c r="D27" s="22" t="s">
        <v>990</v>
      </c>
      <c r="E27" s="11" t="n">
        <f aca="false">COUNTIF(項目定義!A:A,A27)-1</f>
        <v>12</v>
      </c>
      <c r="F27" s="22" t="s">
        <v>161</v>
      </c>
    </row>
    <row r="28" customFormat="false" ht="15" hidden="false" customHeight="false" outlineLevel="0" collapsed="false">
      <c r="A28" s="29" t="s">
        <v>991</v>
      </c>
      <c r="B28" s="21" t="s">
        <v>306</v>
      </c>
      <c r="C28" s="20" t="s">
        <v>992</v>
      </c>
      <c r="D28" s="21" t="s">
        <v>993</v>
      </c>
      <c r="E28" s="11" t="n">
        <f aca="false">COUNTIF(項目定義!A:A,A28)-1</f>
        <v>11</v>
      </c>
      <c r="F28" s="22" t="s">
        <v>938</v>
      </c>
    </row>
  </sheetData>
  <autoFilter ref="A3:F28"/>
  <hyperlinks>
    <hyperlink ref="F1" r:id="rId1" location="'表紙'!A1" display="← 表紙へ"/>
    <hyperlink ref="A4" r:id="rId2" location="'項目定義'!A4" display="m_supplier"/>
    <hyperlink ref="A5" r:id="rId3" location="'項目定義'!A20" display="m_product"/>
    <hyperlink ref="A6" r:id="rId4" location="'項目定義'!A43" display="m_customer"/>
    <hyperlink ref="A7" r:id="rId5" location="'項目定義'!A61" display="m_ship_to"/>
    <hyperlink ref="A8" r:id="rId6" location="'項目定義'!A75" display="m_location"/>
    <hyperlink ref="A9" r:id="rId7" location="'項目定義'!A88" display="m_sales_rule"/>
    <hyperlink ref="A10" r:id="rId8" location="'項目定義'!A98" display="m_user"/>
    <hyperlink ref="A11" r:id="rId9" location="'項目定義'!A112" display="t_purchase_order"/>
    <hyperlink ref="A12" r:id="rId10" location="'項目定義'!A127" display="t_purchase_order_line"/>
    <hyperlink ref="A13" r:id="rId11" location="'項目定義'!A140" display="t_receipt"/>
    <hyperlink ref="A14" r:id="rId12" location="'項目定義'!A154" display="t_receipt_line"/>
    <hyperlink ref="A15" r:id="rId13" location="'項目定義'!A168" display="t_lot"/>
    <hyperlink ref="A16" r:id="rId14" location="'項目定義'!A186" display="t_inventory"/>
    <hyperlink ref="A17" r:id="rId15" location="'項目定義'!A197" display="t_stock_movement"/>
    <hyperlink ref="A18" r:id="rId16" location="'項目定義'!A209" display="t_sales_order"/>
    <hyperlink ref="A19" r:id="rId17" location="'項目定義'!A224" display="t_sales_order_line"/>
    <hyperlink ref="A20" r:id="rId18" location="'項目定義'!A237" display="t_shipment"/>
    <hyperlink ref="A21" r:id="rId19" location="'項目定義'!A252" display="t_shipment_line"/>
    <hyperlink ref="A22" r:id="rId20" location="'項目定義'!A267" display="t_return"/>
    <hyperlink ref="A23" r:id="rId21" location="'項目定義'!A282" display="t_recall"/>
    <hyperlink ref="A24" r:id="rId22" location="'項目定義'!A296" display="t_recall_lot"/>
    <hyperlink ref="A25" r:id="rId23" location="'項目定義'!A305" display="t_recall_target"/>
    <hyperlink ref="A26" r:id="rId24" location="'項目定義'!A320" display="t_temperature_log"/>
    <hyperlink ref="A27" r:id="rId25" location="'項目定義'!A329" display="t_attachment"/>
    <hyperlink ref="A28" r:id="rId26" location="'項目定義'!A342" display="t_audit_lo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7"/>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5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5"/>
    <col collapsed="false" customWidth="true" hidden="false" outlineLevel="0" max="4" min="3" style="0" width="22"/>
    <col collapsed="false" customWidth="true" hidden="false" outlineLevel="0" max="5" min="5" style="0" width="11"/>
    <col collapsed="false" customWidth="true" hidden="false" outlineLevel="0" max="6" min="6" style="0" width="7"/>
    <col collapsed="false" customWidth="true" hidden="false" outlineLevel="0" max="7" min="7" style="0" width="5"/>
    <col collapsed="false" customWidth="true" hidden="false" outlineLevel="0" max="8" min="8" style="0" width="24"/>
    <col collapsed="false" customWidth="true" hidden="false" outlineLevel="0" max="9" min="9" style="0" width="9"/>
    <col collapsed="false" customWidth="true" hidden="false" outlineLevel="0" max="10" min="10" style="0" width="12"/>
    <col collapsed="false" customWidth="true" hidden="false" outlineLevel="0" max="11" min="11" style="0" width="46"/>
  </cols>
  <sheetData>
    <row r="1" customFormat="false" ht="15" hidden="false" customHeight="false" outlineLevel="0" collapsed="false">
      <c r="A1" s="5" t="s">
        <v>51</v>
      </c>
      <c r="K1" s="19" t="s">
        <v>78</v>
      </c>
    </row>
    <row r="2" customFormat="false" ht="15" hidden="false" customHeight="false" outlineLevel="0" collapsed="false">
      <c r="A2" s="23" t="s">
        <v>994</v>
      </c>
    </row>
    <row r="3" customFormat="false" ht="15" hidden="false" customHeight="false" outlineLevel="0" collapsed="false">
      <c r="A3" s="10" t="s">
        <v>995</v>
      </c>
      <c r="B3" s="9" t="s">
        <v>24</v>
      </c>
      <c r="C3" s="10" t="s">
        <v>922</v>
      </c>
      <c r="D3" s="10" t="s">
        <v>923</v>
      </c>
      <c r="E3" s="10" t="s">
        <v>996</v>
      </c>
      <c r="F3" s="10" t="s">
        <v>997</v>
      </c>
      <c r="G3" s="9" t="s">
        <v>998</v>
      </c>
      <c r="H3" s="9" t="s">
        <v>999</v>
      </c>
      <c r="I3" s="9" t="s">
        <v>1000</v>
      </c>
      <c r="J3" s="10" t="s">
        <v>385</v>
      </c>
      <c r="K3" s="10" t="s">
        <v>1001</v>
      </c>
    </row>
    <row r="4" customFormat="false" ht="15" hidden="false" customHeight="true" outlineLevel="0" collapsed="false">
      <c r="A4" s="30" t="s">
        <v>926</v>
      </c>
      <c r="B4" s="31" t="s">
        <v>1002</v>
      </c>
      <c r="C4" s="31"/>
      <c r="D4" s="31"/>
      <c r="E4" s="31"/>
      <c r="F4" s="31"/>
      <c r="G4" s="31"/>
      <c r="H4" s="31"/>
      <c r="I4" s="31"/>
      <c r="J4" s="31"/>
      <c r="K4" s="31"/>
    </row>
    <row r="5" customFormat="false" ht="15" hidden="false" customHeight="false" outlineLevel="0" collapsed="false">
      <c r="A5" s="22" t="s">
        <v>926</v>
      </c>
      <c r="B5" s="11" t="n">
        <v>1</v>
      </c>
      <c r="C5" s="22" t="s">
        <v>1003</v>
      </c>
      <c r="D5" s="21" t="s">
        <v>1004</v>
      </c>
      <c r="E5" s="11" t="s">
        <v>1005</v>
      </c>
      <c r="F5" s="11"/>
      <c r="G5" s="11" t="s">
        <v>394</v>
      </c>
      <c r="H5" s="22"/>
      <c r="I5" s="11" t="s">
        <v>394</v>
      </c>
      <c r="J5" s="21" t="s">
        <v>1006</v>
      </c>
      <c r="K5" s="22"/>
    </row>
    <row r="6" customFormat="false" ht="15" hidden="false" customHeight="false" outlineLevel="0" collapsed="false">
      <c r="A6" s="22" t="s">
        <v>926</v>
      </c>
      <c r="B6" s="11" t="n">
        <v>2</v>
      </c>
      <c r="C6" s="22" t="s">
        <v>1007</v>
      </c>
      <c r="D6" s="21" t="s">
        <v>1008</v>
      </c>
      <c r="E6" s="11" t="s">
        <v>1009</v>
      </c>
      <c r="F6" s="11" t="s">
        <v>1010</v>
      </c>
      <c r="G6" s="11"/>
      <c r="H6" s="22"/>
      <c r="I6" s="11" t="s">
        <v>394</v>
      </c>
      <c r="J6" s="22"/>
      <c r="K6" s="21" t="s">
        <v>1011</v>
      </c>
    </row>
    <row r="7" customFormat="false" ht="15" hidden="false" customHeight="false" outlineLevel="0" collapsed="false">
      <c r="A7" s="22" t="s">
        <v>926</v>
      </c>
      <c r="B7" s="11" t="n">
        <v>3</v>
      </c>
      <c r="C7" s="22" t="s">
        <v>1012</v>
      </c>
      <c r="D7" s="21" t="s">
        <v>1013</v>
      </c>
      <c r="E7" s="11" t="s">
        <v>1009</v>
      </c>
      <c r="F7" s="11" t="s">
        <v>563</v>
      </c>
      <c r="G7" s="11"/>
      <c r="H7" s="22"/>
      <c r="I7" s="11" t="s">
        <v>394</v>
      </c>
      <c r="J7" s="22"/>
      <c r="K7" s="22"/>
    </row>
    <row r="8" customFormat="false" ht="15" hidden="false" customHeight="false" outlineLevel="0" collapsed="false">
      <c r="A8" s="22" t="s">
        <v>926</v>
      </c>
      <c r="B8" s="11" t="n">
        <v>4</v>
      </c>
      <c r="C8" s="22" t="s">
        <v>1014</v>
      </c>
      <c r="D8" s="21" t="s">
        <v>1015</v>
      </c>
      <c r="E8" s="11" t="s">
        <v>1009</v>
      </c>
      <c r="F8" s="11" t="s">
        <v>1016</v>
      </c>
      <c r="G8" s="11"/>
      <c r="H8" s="22"/>
      <c r="I8" s="11" t="s">
        <v>394</v>
      </c>
      <c r="J8" s="22" t="s">
        <v>1017</v>
      </c>
      <c r="K8" s="22" t="s">
        <v>1018</v>
      </c>
    </row>
    <row r="9" customFormat="false" ht="15" hidden="false" customHeight="false" outlineLevel="0" collapsed="false">
      <c r="A9" s="22" t="s">
        <v>926</v>
      </c>
      <c r="B9" s="11" t="n">
        <v>5</v>
      </c>
      <c r="C9" s="22" t="s">
        <v>1019</v>
      </c>
      <c r="D9" s="21" t="s">
        <v>1020</v>
      </c>
      <c r="E9" s="11" t="s">
        <v>1009</v>
      </c>
      <c r="F9" s="11" t="s">
        <v>1021</v>
      </c>
      <c r="G9" s="11"/>
      <c r="H9" s="22"/>
      <c r="I9" s="11"/>
      <c r="J9" s="22"/>
      <c r="K9" s="22"/>
    </row>
    <row r="10" customFormat="false" ht="15" hidden="false" customHeight="false" outlineLevel="0" collapsed="false">
      <c r="A10" s="22" t="s">
        <v>926</v>
      </c>
      <c r="B10" s="11" t="n">
        <v>6</v>
      </c>
      <c r="C10" s="22" t="s">
        <v>1022</v>
      </c>
      <c r="D10" s="21" t="s">
        <v>1023</v>
      </c>
      <c r="E10" s="11" t="s">
        <v>1009</v>
      </c>
      <c r="F10" s="11" t="s">
        <v>414</v>
      </c>
      <c r="G10" s="11"/>
      <c r="H10" s="22"/>
      <c r="I10" s="11"/>
      <c r="J10" s="22"/>
      <c r="K10" s="22"/>
    </row>
    <row r="11" customFormat="false" ht="15" hidden="false" customHeight="false" outlineLevel="0" collapsed="false">
      <c r="A11" s="22" t="s">
        <v>926</v>
      </c>
      <c r="B11" s="11" t="n">
        <v>7</v>
      </c>
      <c r="C11" s="22" t="s">
        <v>1024</v>
      </c>
      <c r="D11" s="21" t="s">
        <v>1025</v>
      </c>
      <c r="E11" s="11" t="s">
        <v>1009</v>
      </c>
      <c r="F11" s="11" t="s">
        <v>1010</v>
      </c>
      <c r="G11" s="11"/>
      <c r="H11" s="22"/>
      <c r="I11" s="11"/>
      <c r="J11" s="22"/>
      <c r="K11" s="22"/>
    </row>
    <row r="12" customFormat="false" ht="15" hidden="false" customHeight="false" outlineLevel="0" collapsed="false">
      <c r="A12" s="22" t="s">
        <v>926</v>
      </c>
      <c r="B12" s="11" t="n">
        <v>8</v>
      </c>
      <c r="C12" s="22" t="s">
        <v>1026</v>
      </c>
      <c r="D12" s="21" t="s">
        <v>1027</v>
      </c>
      <c r="E12" s="11" t="s">
        <v>1009</v>
      </c>
      <c r="F12" s="11" t="s">
        <v>1028</v>
      </c>
      <c r="G12" s="11"/>
      <c r="H12" s="22"/>
      <c r="I12" s="11"/>
      <c r="J12" s="22"/>
      <c r="K12" s="22"/>
    </row>
    <row r="13" customFormat="false" ht="15" hidden="false" customHeight="false" outlineLevel="0" collapsed="false">
      <c r="A13" s="22" t="s">
        <v>926</v>
      </c>
      <c r="B13" s="11" t="n">
        <v>9</v>
      </c>
      <c r="C13" s="22" t="s">
        <v>1029</v>
      </c>
      <c r="D13" s="21" t="s">
        <v>1030</v>
      </c>
      <c r="E13" s="11" t="s">
        <v>1009</v>
      </c>
      <c r="F13" s="11" t="s">
        <v>563</v>
      </c>
      <c r="G13" s="11"/>
      <c r="H13" s="22"/>
      <c r="I13" s="11"/>
      <c r="J13" s="22"/>
      <c r="K13" s="21" t="s">
        <v>1031</v>
      </c>
    </row>
    <row r="14" customFormat="false" ht="15" hidden="false" customHeight="false" outlineLevel="0" collapsed="false">
      <c r="A14" s="22" t="s">
        <v>926</v>
      </c>
      <c r="B14" s="11" t="n">
        <v>10</v>
      </c>
      <c r="C14" s="22" t="s">
        <v>1032</v>
      </c>
      <c r="D14" s="21" t="s">
        <v>1033</v>
      </c>
      <c r="E14" s="11" t="s">
        <v>1034</v>
      </c>
      <c r="F14" s="11"/>
      <c r="G14" s="11"/>
      <c r="H14" s="22"/>
      <c r="I14" s="11" t="s">
        <v>394</v>
      </c>
      <c r="J14" s="22" t="s">
        <v>1035</v>
      </c>
      <c r="K14" s="22"/>
    </row>
    <row r="15" customFormat="false" ht="15" hidden="false" customHeight="false" outlineLevel="0" collapsed="false">
      <c r="A15" s="22" t="s">
        <v>926</v>
      </c>
      <c r="B15" s="11" t="n">
        <v>11</v>
      </c>
      <c r="C15" s="22" t="s">
        <v>1036</v>
      </c>
      <c r="D15" s="21" t="s">
        <v>1037</v>
      </c>
      <c r="E15" s="11" t="s">
        <v>1038</v>
      </c>
      <c r="F15" s="11"/>
      <c r="G15" s="11"/>
      <c r="H15" s="22"/>
      <c r="I15" s="11" t="s">
        <v>394</v>
      </c>
      <c r="J15" s="21" t="s">
        <v>1039</v>
      </c>
      <c r="K15" s="22"/>
    </row>
    <row r="16" customFormat="false" ht="15" hidden="false" customHeight="false" outlineLevel="0" collapsed="false">
      <c r="A16" s="22" t="s">
        <v>926</v>
      </c>
      <c r="B16" s="11" t="n">
        <v>12</v>
      </c>
      <c r="C16" s="22" t="s">
        <v>1040</v>
      </c>
      <c r="D16" s="21" t="s">
        <v>1041</v>
      </c>
      <c r="E16" s="11" t="s">
        <v>1005</v>
      </c>
      <c r="F16" s="11"/>
      <c r="G16" s="11"/>
      <c r="H16" s="22" t="s">
        <v>1042</v>
      </c>
      <c r="I16" s="11" t="s">
        <v>394</v>
      </c>
      <c r="J16" s="22"/>
      <c r="K16" s="22"/>
    </row>
    <row r="17" customFormat="false" ht="15" hidden="false" customHeight="false" outlineLevel="0" collapsed="false">
      <c r="A17" s="22" t="s">
        <v>926</v>
      </c>
      <c r="B17" s="11" t="n">
        <v>13</v>
      </c>
      <c r="C17" s="22" t="s">
        <v>1043</v>
      </c>
      <c r="D17" s="21" t="s">
        <v>1044</v>
      </c>
      <c r="E17" s="11" t="s">
        <v>1038</v>
      </c>
      <c r="F17" s="11"/>
      <c r="G17" s="11"/>
      <c r="H17" s="22"/>
      <c r="I17" s="11" t="s">
        <v>394</v>
      </c>
      <c r="J17" s="21" t="s">
        <v>1039</v>
      </c>
      <c r="K17" s="22"/>
    </row>
    <row r="18" customFormat="false" ht="15" hidden="false" customHeight="false" outlineLevel="0" collapsed="false">
      <c r="A18" s="22" t="s">
        <v>926</v>
      </c>
      <c r="B18" s="11" t="n">
        <v>14</v>
      </c>
      <c r="C18" s="22" t="s">
        <v>1045</v>
      </c>
      <c r="D18" s="21" t="s">
        <v>1046</v>
      </c>
      <c r="E18" s="11" t="s">
        <v>1005</v>
      </c>
      <c r="F18" s="11"/>
      <c r="G18" s="11"/>
      <c r="H18" s="22" t="s">
        <v>1042</v>
      </c>
      <c r="I18" s="11" t="s">
        <v>394</v>
      </c>
      <c r="J18" s="22"/>
      <c r="K18" s="22"/>
    </row>
    <row r="19" customFormat="false" ht="15" hidden="false" customHeight="false" outlineLevel="0" collapsed="false">
      <c r="A19" s="22" t="s">
        <v>926</v>
      </c>
      <c r="B19" s="11" t="n">
        <v>15</v>
      </c>
      <c r="C19" s="22" t="s">
        <v>1047</v>
      </c>
      <c r="D19" s="21" t="s">
        <v>2</v>
      </c>
      <c r="E19" s="11" t="s">
        <v>1048</v>
      </c>
      <c r="F19" s="11"/>
      <c r="G19" s="11"/>
      <c r="H19" s="22"/>
      <c r="I19" s="11" t="s">
        <v>394</v>
      </c>
      <c r="J19" s="22" t="s">
        <v>1049</v>
      </c>
      <c r="K19" s="21" t="s">
        <v>1050</v>
      </c>
    </row>
    <row r="20" customFormat="false" ht="15" hidden="false" customHeight="true" outlineLevel="0" collapsed="false">
      <c r="A20" s="30" t="s">
        <v>928</v>
      </c>
      <c r="B20" s="31" t="s">
        <v>1051</v>
      </c>
      <c r="C20" s="31"/>
      <c r="D20" s="31"/>
      <c r="E20" s="31"/>
      <c r="F20" s="31"/>
      <c r="G20" s="31"/>
      <c r="H20" s="31"/>
      <c r="I20" s="31"/>
      <c r="J20" s="31"/>
      <c r="K20" s="31"/>
    </row>
    <row r="21" customFormat="false" ht="15" hidden="false" customHeight="false" outlineLevel="0" collapsed="false">
      <c r="A21" s="22" t="s">
        <v>928</v>
      </c>
      <c r="B21" s="11" t="n">
        <v>1</v>
      </c>
      <c r="C21" s="22" t="s">
        <v>1003</v>
      </c>
      <c r="D21" s="21" t="s">
        <v>1052</v>
      </c>
      <c r="E21" s="11" t="s">
        <v>1005</v>
      </c>
      <c r="F21" s="11"/>
      <c r="G21" s="11" t="s">
        <v>394</v>
      </c>
      <c r="H21" s="22"/>
      <c r="I21" s="11" t="s">
        <v>394</v>
      </c>
      <c r="J21" s="21" t="s">
        <v>1006</v>
      </c>
      <c r="K21" s="22"/>
    </row>
    <row r="22" customFormat="false" ht="15" hidden="false" customHeight="false" outlineLevel="0" collapsed="false">
      <c r="A22" s="22" t="s">
        <v>928</v>
      </c>
      <c r="B22" s="11" t="n">
        <v>2</v>
      </c>
      <c r="C22" s="22" t="s">
        <v>1053</v>
      </c>
      <c r="D22" s="21" t="s">
        <v>1054</v>
      </c>
      <c r="E22" s="11" t="s">
        <v>1009</v>
      </c>
      <c r="F22" s="11" t="s">
        <v>1010</v>
      </c>
      <c r="G22" s="11"/>
      <c r="H22" s="22"/>
      <c r="I22" s="11" t="s">
        <v>394</v>
      </c>
      <c r="J22" s="22"/>
      <c r="K22" s="21" t="s">
        <v>1011</v>
      </c>
    </row>
    <row r="23" customFormat="false" ht="15" hidden="false" customHeight="false" outlineLevel="0" collapsed="false">
      <c r="A23" s="22" t="s">
        <v>928</v>
      </c>
      <c r="B23" s="11" t="n">
        <v>3</v>
      </c>
      <c r="C23" s="22" t="s">
        <v>1012</v>
      </c>
      <c r="D23" s="21" t="s">
        <v>1055</v>
      </c>
      <c r="E23" s="11" t="s">
        <v>1009</v>
      </c>
      <c r="F23" s="11" t="s">
        <v>563</v>
      </c>
      <c r="G23" s="11"/>
      <c r="H23" s="22"/>
      <c r="I23" s="11" t="s">
        <v>394</v>
      </c>
      <c r="J23" s="22"/>
      <c r="K23" s="22"/>
    </row>
    <row r="24" customFormat="false" ht="15" hidden="false" customHeight="false" outlineLevel="0" collapsed="false">
      <c r="A24" s="22" t="s">
        <v>928</v>
      </c>
      <c r="B24" s="11" t="n">
        <v>4</v>
      </c>
      <c r="C24" s="22" t="s">
        <v>1056</v>
      </c>
      <c r="D24" s="21" t="s">
        <v>1057</v>
      </c>
      <c r="E24" s="11" t="s">
        <v>1005</v>
      </c>
      <c r="F24" s="11"/>
      <c r="G24" s="11"/>
      <c r="H24" s="22" t="s">
        <v>1058</v>
      </c>
      <c r="I24" s="11"/>
      <c r="J24" s="22"/>
      <c r="K24" s="22"/>
    </row>
    <row r="25" customFormat="false" ht="25.35" hidden="false" customHeight="false" outlineLevel="0" collapsed="false">
      <c r="A25" s="22" t="s">
        <v>928</v>
      </c>
      <c r="B25" s="11" t="n">
        <v>5</v>
      </c>
      <c r="C25" s="22" t="s">
        <v>1059</v>
      </c>
      <c r="D25" s="21" t="s">
        <v>1060</v>
      </c>
      <c r="E25" s="11" t="s">
        <v>1009</v>
      </c>
      <c r="F25" s="11" t="s">
        <v>1010</v>
      </c>
      <c r="G25" s="11"/>
      <c r="H25" s="22"/>
      <c r="I25" s="11" t="s">
        <v>394</v>
      </c>
      <c r="J25" s="22"/>
      <c r="K25" s="21" t="s">
        <v>1061</v>
      </c>
    </row>
    <row r="26" customFormat="false" ht="15" hidden="false" customHeight="false" outlineLevel="0" collapsed="false">
      <c r="A26" s="22" t="s">
        <v>928</v>
      </c>
      <c r="B26" s="11" t="n">
        <v>6</v>
      </c>
      <c r="C26" s="22" t="s">
        <v>1062</v>
      </c>
      <c r="D26" s="21" t="s">
        <v>1063</v>
      </c>
      <c r="E26" s="11" t="s">
        <v>1009</v>
      </c>
      <c r="F26" s="11" t="s">
        <v>1010</v>
      </c>
      <c r="G26" s="11"/>
      <c r="H26" s="22"/>
      <c r="I26" s="11" t="s">
        <v>394</v>
      </c>
      <c r="J26" s="22"/>
      <c r="K26" s="21" t="s">
        <v>1064</v>
      </c>
    </row>
    <row r="27" customFormat="false" ht="15" hidden="false" customHeight="false" outlineLevel="0" collapsed="false">
      <c r="A27" s="22" t="s">
        <v>928</v>
      </c>
      <c r="B27" s="11" t="n">
        <v>7</v>
      </c>
      <c r="C27" s="22" t="s">
        <v>1065</v>
      </c>
      <c r="D27" s="21" t="s">
        <v>1066</v>
      </c>
      <c r="E27" s="11" t="s">
        <v>1067</v>
      </c>
      <c r="F27" s="11" t="s">
        <v>456</v>
      </c>
      <c r="G27" s="11"/>
      <c r="H27" s="22"/>
      <c r="I27" s="11"/>
      <c r="J27" s="22"/>
      <c r="K27" s="21" t="s">
        <v>1068</v>
      </c>
    </row>
    <row r="28" customFormat="false" ht="15" hidden="false" customHeight="false" outlineLevel="0" collapsed="false">
      <c r="A28" s="22" t="s">
        <v>928</v>
      </c>
      <c r="B28" s="11" t="n">
        <v>8</v>
      </c>
      <c r="C28" s="22" t="s">
        <v>1069</v>
      </c>
      <c r="D28" s="21" t="s">
        <v>1070</v>
      </c>
      <c r="E28" s="11" t="s">
        <v>1067</v>
      </c>
      <c r="F28" s="11" t="s">
        <v>1071</v>
      </c>
      <c r="G28" s="11"/>
      <c r="H28" s="22"/>
      <c r="I28" s="11"/>
      <c r="J28" s="22"/>
      <c r="K28" s="22"/>
    </row>
    <row r="29" customFormat="false" ht="15" hidden="false" customHeight="false" outlineLevel="0" collapsed="false">
      <c r="A29" s="22" t="s">
        <v>928</v>
      </c>
      <c r="B29" s="11" t="n">
        <v>9</v>
      </c>
      <c r="C29" s="22" t="s">
        <v>1072</v>
      </c>
      <c r="D29" s="21" t="s">
        <v>1073</v>
      </c>
      <c r="E29" s="11" t="s">
        <v>1009</v>
      </c>
      <c r="F29" s="11" t="s">
        <v>1074</v>
      </c>
      <c r="G29" s="11"/>
      <c r="H29" s="22"/>
      <c r="I29" s="11" t="s">
        <v>394</v>
      </c>
      <c r="J29" s="21" t="s">
        <v>1075</v>
      </c>
      <c r="K29" s="21" t="s">
        <v>1076</v>
      </c>
    </row>
    <row r="30" customFormat="false" ht="15" hidden="false" customHeight="false" outlineLevel="0" collapsed="false">
      <c r="A30" s="22" t="s">
        <v>928</v>
      </c>
      <c r="B30" s="11" t="n">
        <v>10</v>
      </c>
      <c r="C30" s="22" t="s">
        <v>1077</v>
      </c>
      <c r="D30" s="21" t="s">
        <v>1078</v>
      </c>
      <c r="E30" s="11" t="s">
        <v>1009</v>
      </c>
      <c r="F30" s="11" t="s">
        <v>1074</v>
      </c>
      <c r="G30" s="11"/>
      <c r="H30" s="22"/>
      <c r="I30" s="11" t="s">
        <v>394</v>
      </c>
      <c r="J30" s="22"/>
      <c r="K30" s="21" t="s">
        <v>1079</v>
      </c>
    </row>
    <row r="31" customFormat="false" ht="15" hidden="false" customHeight="false" outlineLevel="0" collapsed="false">
      <c r="A31" s="22" t="s">
        <v>928</v>
      </c>
      <c r="B31" s="11" t="n">
        <v>11</v>
      </c>
      <c r="C31" s="22" t="s">
        <v>1080</v>
      </c>
      <c r="D31" s="21" t="s">
        <v>1081</v>
      </c>
      <c r="E31" s="11" t="s">
        <v>1048</v>
      </c>
      <c r="F31" s="11"/>
      <c r="G31" s="11"/>
      <c r="H31" s="22"/>
      <c r="I31" s="11" t="s">
        <v>394</v>
      </c>
      <c r="J31" s="22"/>
      <c r="K31" s="21" t="s">
        <v>1082</v>
      </c>
    </row>
    <row r="32" customFormat="false" ht="15" hidden="false" customHeight="false" outlineLevel="0" collapsed="false">
      <c r="A32" s="22" t="s">
        <v>928</v>
      </c>
      <c r="B32" s="11" t="n">
        <v>12</v>
      </c>
      <c r="C32" s="22" t="s">
        <v>1083</v>
      </c>
      <c r="D32" s="21" t="s">
        <v>1084</v>
      </c>
      <c r="E32" s="11" t="s">
        <v>1048</v>
      </c>
      <c r="F32" s="11"/>
      <c r="G32" s="11"/>
      <c r="H32" s="22"/>
      <c r="I32" s="11" t="s">
        <v>394</v>
      </c>
      <c r="J32" s="22" t="s">
        <v>1085</v>
      </c>
      <c r="K32" s="21" t="s">
        <v>1086</v>
      </c>
    </row>
    <row r="33" customFormat="false" ht="25.35" hidden="false" customHeight="false" outlineLevel="0" collapsed="false">
      <c r="A33" s="22" t="s">
        <v>928</v>
      </c>
      <c r="B33" s="11" t="n">
        <v>13</v>
      </c>
      <c r="C33" s="22" t="s">
        <v>1087</v>
      </c>
      <c r="D33" s="21" t="s">
        <v>1088</v>
      </c>
      <c r="E33" s="11" t="s">
        <v>1009</v>
      </c>
      <c r="F33" s="11" t="s">
        <v>1010</v>
      </c>
      <c r="G33" s="11"/>
      <c r="H33" s="22"/>
      <c r="I33" s="11" t="s">
        <v>394</v>
      </c>
      <c r="J33" s="22"/>
      <c r="K33" s="21" t="s">
        <v>1089</v>
      </c>
    </row>
    <row r="34" customFormat="false" ht="15" hidden="false" customHeight="false" outlineLevel="0" collapsed="false">
      <c r="A34" s="22" t="s">
        <v>928</v>
      </c>
      <c r="B34" s="11" t="n">
        <v>14</v>
      </c>
      <c r="C34" s="22" t="s">
        <v>1090</v>
      </c>
      <c r="D34" s="21" t="s">
        <v>1091</v>
      </c>
      <c r="E34" s="11" t="s">
        <v>1067</v>
      </c>
      <c r="F34" s="11" t="s">
        <v>430</v>
      </c>
      <c r="G34" s="11"/>
      <c r="H34" s="22"/>
      <c r="I34" s="11"/>
      <c r="J34" s="22"/>
      <c r="K34" s="22"/>
    </row>
    <row r="35" customFormat="false" ht="15" hidden="false" customHeight="false" outlineLevel="0" collapsed="false">
      <c r="A35" s="22" t="s">
        <v>928</v>
      </c>
      <c r="B35" s="11" t="n">
        <v>15</v>
      </c>
      <c r="C35" s="22" t="s">
        <v>1092</v>
      </c>
      <c r="D35" s="21" t="s">
        <v>1093</v>
      </c>
      <c r="E35" s="11" t="s">
        <v>1067</v>
      </c>
      <c r="F35" s="11" t="s">
        <v>430</v>
      </c>
      <c r="G35" s="11"/>
      <c r="H35" s="22"/>
      <c r="I35" s="11"/>
      <c r="J35" s="22"/>
      <c r="K35" s="21" t="s">
        <v>1094</v>
      </c>
    </row>
    <row r="36" customFormat="false" ht="15" hidden="false" customHeight="false" outlineLevel="0" collapsed="false">
      <c r="A36" s="22" t="s">
        <v>928</v>
      </c>
      <c r="B36" s="11" t="n">
        <v>16</v>
      </c>
      <c r="C36" s="22" t="s">
        <v>1095</v>
      </c>
      <c r="D36" s="21" t="s">
        <v>1096</v>
      </c>
      <c r="E36" s="11" t="s">
        <v>1048</v>
      </c>
      <c r="F36" s="11"/>
      <c r="G36" s="11"/>
      <c r="H36" s="22"/>
      <c r="I36" s="11"/>
      <c r="J36" s="22" t="s">
        <v>1097</v>
      </c>
      <c r="K36" s="21" t="s">
        <v>1098</v>
      </c>
    </row>
    <row r="37" customFormat="false" ht="15" hidden="false" customHeight="false" outlineLevel="0" collapsed="false">
      <c r="A37" s="22" t="s">
        <v>928</v>
      </c>
      <c r="B37" s="11" t="n">
        <v>17</v>
      </c>
      <c r="C37" s="22" t="s">
        <v>1032</v>
      </c>
      <c r="D37" s="21" t="s">
        <v>1033</v>
      </c>
      <c r="E37" s="11" t="s">
        <v>1034</v>
      </c>
      <c r="F37" s="11"/>
      <c r="G37" s="11"/>
      <c r="H37" s="22"/>
      <c r="I37" s="11" t="s">
        <v>394</v>
      </c>
      <c r="J37" s="22" t="s">
        <v>1035</v>
      </c>
      <c r="K37" s="22"/>
    </row>
    <row r="38" customFormat="false" ht="15" hidden="false" customHeight="false" outlineLevel="0" collapsed="false">
      <c r="A38" s="22" t="s">
        <v>928</v>
      </c>
      <c r="B38" s="11" t="n">
        <v>18</v>
      </c>
      <c r="C38" s="22" t="s">
        <v>1036</v>
      </c>
      <c r="D38" s="21" t="s">
        <v>1037</v>
      </c>
      <c r="E38" s="11" t="s">
        <v>1038</v>
      </c>
      <c r="F38" s="11"/>
      <c r="G38" s="11"/>
      <c r="H38" s="22"/>
      <c r="I38" s="11" t="s">
        <v>394</v>
      </c>
      <c r="J38" s="21" t="s">
        <v>1039</v>
      </c>
      <c r="K38" s="22"/>
    </row>
    <row r="39" customFormat="false" ht="15" hidden="false" customHeight="false" outlineLevel="0" collapsed="false">
      <c r="A39" s="22" t="s">
        <v>928</v>
      </c>
      <c r="B39" s="11" t="n">
        <v>19</v>
      </c>
      <c r="C39" s="22" t="s">
        <v>1040</v>
      </c>
      <c r="D39" s="21" t="s">
        <v>1041</v>
      </c>
      <c r="E39" s="11" t="s">
        <v>1005</v>
      </c>
      <c r="F39" s="11"/>
      <c r="G39" s="11"/>
      <c r="H39" s="22" t="s">
        <v>1042</v>
      </c>
      <c r="I39" s="11" t="s">
        <v>394</v>
      </c>
      <c r="J39" s="22"/>
      <c r="K39" s="22"/>
    </row>
    <row r="40" customFormat="false" ht="15" hidden="false" customHeight="false" outlineLevel="0" collapsed="false">
      <c r="A40" s="22" t="s">
        <v>928</v>
      </c>
      <c r="B40" s="11" t="n">
        <v>20</v>
      </c>
      <c r="C40" s="22" t="s">
        <v>1043</v>
      </c>
      <c r="D40" s="21" t="s">
        <v>1044</v>
      </c>
      <c r="E40" s="11" t="s">
        <v>1038</v>
      </c>
      <c r="F40" s="11"/>
      <c r="G40" s="11"/>
      <c r="H40" s="22"/>
      <c r="I40" s="11" t="s">
        <v>394</v>
      </c>
      <c r="J40" s="21" t="s">
        <v>1039</v>
      </c>
      <c r="K40" s="22"/>
    </row>
    <row r="41" customFormat="false" ht="15" hidden="false" customHeight="false" outlineLevel="0" collapsed="false">
      <c r="A41" s="22" t="s">
        <v>928</v>
      </c>
      <c r="B41" s="11" t="n">
        <v>21</v>
      </c>
      <c r="C41" s="22" t="s">
        <v>1045</v>
      </c>
      <c r="D41" s="21" t="s">
        <v>1046</v>
      </c>
      <c r="E41" s="11" t="s">
        <v>1005</v>
      </c>
      <c r="F41" s="11"/>
      <c r="G41" s="11"/>
      <c r="H41" s="22" t="s">
        <v>1042</v>
      </c>
      <c r="I41" s="11" t="s">
        <v>394</v>
      </c>
      <c r="J41" s="22"/>
      <c r="K41" s="22"/>
    </row>
    <row r="42" customFormat="false" ht="15" hidden="false" customHeight="false" outlineLevel="0" collapsed="false">
      <c r="A42" s="22" t="s">
        <v>928</v>
      </c>
      <c r="B42" s="11" t="n">
        <v>22</v>
      </c>
      <c r="C42" s="22" t="s">
        <v>1047</v>
      </c>
      <c r="D42" s="21" t="s">
        <v>2</v>
      </c>
      <c r="E42" s="11" t="s">
        <v>1048</v>
      </c>
      <c r="F42" s="11"/>
      <c r="G42" s="11"/>
      <c r="H42" s="22"/>
      <c r="I42" s="11" t="s">
        <v>394</v>
      </c>
      <c r="J42" s="22" t="s">
        <v>1049</v>
      </c>
      <c r="K42" s="21" t="s">
        <v>1050</v>
      </c>
    </row>
    <row r="43" customFormat="false" ht="15" hidden="false" customHeight="true" outlineLevel="0" collapsed="false">
      <c r="A43" s="30" t="s">
        <v>930</v>
      </c>
      <c r="B43" s="31" t="s">
        <v>1099</v>
      </c>
      <c r="C43" s="31"/>
      <c r="D43" s="31"/>
      <c r="E43" s="31"/>
      <c r="F43" s="31"/>
      <c r="G43" s="31"/>
      <c r="H43" s="31"/>
      <c r="I43" s="31"/>
      <c r="J43" s="31"/>
      <c r="K43" s="31"/>
    </row>
    <row r="44" customFormat="false" ht="15" hidden="false" customHeight="false" outlineLevel="0" collapsed="false">
      <c r="A44" s="22" t="s">
        <v>930</v>
      </c>
      <c r="B44" s="11" t="n">
        <v>1</v>
      </c>
      <c r="C44" s="22" t="s">
        <v>1003</v>
      </c>
      <c r="D44" s="21" t="s">
        <v>1100</v>
      </c>
      <c r="E44" s="11" t="s">
        <v>1005</v>
      </c>
      <c r="F44" s="11"/>
      <c r="G44" s="11" t="s">
        <v>394</v>
      </c>
      <c r="H44" s="22"/>
      <c r="I44" s="11" t="s">
        <v>394</v>
      </c>
      <c r="J44" s="21" t="s">
        <v>1006</v>
      </c>
      <c r="K44" s="22"/>
    </row>
    <row r="45" customFormat="false" ht="15" hidden="false" customHeight="false" outlineLevel="0" collapsed="false">
      <c r="A45" s="22" t="s">
        <v>930</v>
      </c>
      <c r="B45" s="11" t="n">
        <v>2</v>
      </c>
      <c r="C45" s="22" t="s">
        <v>1101</v>
      </c>
      <c r="D45" s="21" t="s">
        <v>1102</v>
      </c>
      <c r="E45" s="11" t="s">
        <v>1009</v>
      </c>
      <c r="F45" s="11" t="s">
        <v>1010</v>
      </c>
      <c r="G45" s="11"/>
      <c r="H45" s="22"/>
      <c r="I45" s="11" t="s">
        <v>394</v>
      </c>
      <c r="J45" s="22"/>
      <c r="K45" s="21" t="s">
        <v>1011</v>
      </c>
    </row>
    <row r="46" customFormat="false" ht="15" hidden="false" customHeight="false" outlineLevel="0" collapsed="false">
      <c r="A46" s="22" t="s">
        <v>930</v>
      </c>
      <c r="B46" s="11" t="n">
        <v>3</v>
      </c>
      <c r="C46" s="22" t="s">
        <v>1012</v>
      </c>
      <c r="D46" s="21" t="s">
        <v>1103</v>
      </c>
      <c r="E46" s="11" t="s">
        <v>1009</v>
      </c>
      <c r="F46" s="11" t="s">
        <v>563</v>
      </c>
      <c r="G46" s="11"/>
      <c r="H46" s="22"/>
      <c r="I46" s="11" t="s">
        <v>394</v>
      </c>
      <c r="J46" s="22"/>
      <c r="K46" s="22"/>
    </row>
    <row r="47" customFormat="false" ht="15" hidden="false" customHeight="false" outlineLevel="0" collapsed="false">
      <c r="A47" s="22" t="s">
        <v>930</v>
      </c>
      <c r="B47" s="11" t="n">
        <v>4</v>
      </c>
      <c r="C47" s="22" t="s">
        <v>1104</v>
      </c>
      <c r="D47" s="21" t="s">
        <v>1105</v>
      </c>
      <c r="E47" s="11" t="s">
        <v>1009</v>
      </c>
      <c r="F47" s="11" t="s">
        <v>1010</v>
      </c>
      <c r="G47" s="11"/>
      <c r="H47" s="22"/>
      <c r="I47" s="11" t="s">
        <v>394</v>
      </c>
      <c r="J47" s="22"/>
      <c r="K47" s="21" t="s">
        <v>1106</v>
      </c>
    </row>
    <row r="48" customFormat="false" ht="15" hidden="false" customHeight="false" outlineLevel="0" collapsed="false">
      <c r="A48" s="22" t="s">
        <v>930</v>
      </c>
      <c r="B48" s="11" t="n">
        <v>5</v>
      </c>
      <c r="C48" s="22" t="s">
        <v>1107</v>
      </c>
      <c r="D48" s="21" t="s">
        <v>1108</v>
      </c>
      <c r="E48" s="11" t="s">
        <v>1009</v>
      </c>
      <c r="F48" s="11" t="s">
        <v>1010</v>
      </c>
      <c r="G48" s="11"/>
      <c r="H48" s="22"/>
      <c r="I48" s="11"/>
      <c r="J48" s="22"/>
      <c r="K48" s="21" t="s">
        <v>1109</v>
      </c>
    </row>
    <row r="49" customFormat="false" ht="15" hidden="false" customHeight="false" outlineLevel="0" collapsed="false">
      <c r="A49" s="22" t="s">
        <v>930</v>
      </c>
      <c r="B49" s="11" t="n">
        <v>6</v>
      </c>
      <c r="C49" s="22" t="s">
        <v>1110</v>
      </c>
      <c r="D49" s="21" t="s">
        <v>1111</v>
      </c>
      <c r="E49" s="11" t="s">
        <v>1009</v>
      </c>
      <c r="F49" s="11" t="s">
        <v>414</v>
      </c>
      <c r="G49" s="11"/>
      <c r="H49" s="22"/>
      <c r="I49" s="11"/>
      <c r="J49" s="22"/>
      <c r="K49" s="22"/>
    </row>
    <row r="50" customFormat="false" ht="15" hidden="false" customHeight="false" outlineLevel="0" collapsed="false">
      <c r="A50" s="22" t="s">
        <v>930</v>
      </c>
      <c r="B50" s="11" t="n">
        <v>7</v>
      </c>
      <c r="C50" s="22" t="s">
        <v>1112</v>
      </c>
      <c r="D50" s="21" t="s">
        <v>1113</v>
      </c>
      <c r="E50" s="11" t="s">
        <v>1009</v>
      </c>
      <c r="F50" s="11" t="s">
        <v>1114</v>
      </c>
      <c r="G50" s="11"/>
      <c r="H50" s="22"/>
      <c r="I50" s="11"/>
      <c r="J50" s="22"/>
      <c r="K50" s="22"/>
    </row>
    <row r="51" customFormat="false" ht="15" hidden="false" customHeight="false" outlineLevel="0" collapsed="false">
      <c r="A51" s="22" t="s">
        <v>930</v>
      </c>
      <c r="B51" s="11" t="n">
        <v>8</v>
      </c>
      <c r="C51" s="22" t="s">
        <v>1019</v>
      </c>
      <c r="D51" s="21" t="s">
        <v>1020</v>
      </c>
      <c r="E51" s="11" t="s">
        <v>1009</v>
      </c>
      <c r="F51" s="11" t="s">
        <v>1021</v>
      </c>
      <c r="G51" s="11"/>
      <c r="H51" s="22"/>
      <c r="I51" s="11" t="s">
        <v>394</v>
      </c>
      <c r="J51" s="22"/>
      <c r="K51" s="22"/>
    </row>
    <row r="52" customFormat="false" ht="15" hidden="false" customHeight="false" outlineLevel="0" collapsed="false">
      <c r="A52" s="22" t="s">
        <v>930</v>
      </c>
      <c r="B52" s="11" t="n">
        <v>9</v>
      </c>
      <c r="C52" s="22" t="s">
        <v>1024</v>
      </c>
      <c r="D52" s="21" t="s">
        <v>1025</v>
      </c>
      <c r="E52" s="11" t="s">
        <v>1009</v>
      </c>
      <c r="F52" s="11" t="s">
        <v>1010</v>
      </c>
      <c r="G52" s="11"/>
      <c r="H52" s="22"/>
      <c r="I52" s="11"/>
      <c r="J52" s="22"/>
      <c r="K52" s="22"/>
    </row>
    <row r="53" customFormat="false" ht="15" hidden="false" customHeight="false" outlineLevel="0" collapsed="false">
      <c r="A53" s="22" t="s">
        <v>930</v>
      </c>
      <c r="B53" s="11" t="n">
        <v>10</v>
      </c>
      <c r="C53" s="22" t="s">
        <v>1026</v>
      </c>
      <c r="D53" s="21" t="s">
        <v>1027</v>
      </c>
      <c r="E53" s="11" t="s">
        <v>1009</v>
      </c>
      <c r="F53" s="11" t="s">
        <v>1028</v>
      </c>
      <c r="G53" s="11"/>
      <c r="H53" s="22"/>
      <c r="I53" s="11"/>
      <c r="J53" s="22"/>
      <c r="K53" s="21" t="s">
        <v>1115</v>
      </c>
    </row>
    <row r="54" customFormat="false" ht="15" hidden="false" customHeight="false" outlineLevel="0" collapsed="false">
      <c r="A54" s="22" t="s">
        <v>930</v>
      </c>
      <c r="B54" s="11" t="n">
        <v>11</v>
      </c>
      <c r="C54" s="22" t="s">
        <v>1116</v>
      </c>
      <c r="D54" s="21" t="s">
        <v>1117</v>
      </c>
      <c r="E54" s="11" t="s">
        <v>1067</v>
      </c>
      <c r="F54" s="11" t="s">
        <v>1118</v>
      </c>
      <c r="G54" s="11"/>
      <c r="H54" s="22"/>
      <c r="I54" s="11"/>
      <c r="J54" s="22"/>
      <c r="K54" s="21" t="s">
        <v>1119</v>
      </c>
    </row>
    <row r="55" customFormat="false" ht="15" hidden="false" customHeight="false" outlineLevel="0" collapsed="false">
      <c r="A55" s="22" t="s">
        <v>930</v>
      </c>
      <c r="B55" s="11" t="n">
        <v>12</v>
      </c>
      <c r="C55" s="22" t="s">
        <v>1032</v>
      </c>
      <c r="D55" s="21" t="s">
        <v>1033</v>
      </c>
      <c r="E55" s="11" t="s">
        <v>1034</v>
      </c>
      <c r="F55" s="11"/>
      <c r="G55" s="11"/>
      <c r="H55" s="22"/>
      <c r="I55" s="11" t="s">
        <v>394</v>
      </c>
      <c r="J55" s="22" t="s">
        <v>1035</v>
      </c>
      <c r="K55" s="22"/>
    </row>
    <row r="56" customFormat="false" ht="15" hidden="false" customHeight="false" outlineLevel="0" collapsed="false">
      <c r="A56" s="22" t="s">
        <v>930</v>
      </c>
      <c r="B56" s="11" t="n">
        <v>13</v>
      </c>
      <c r="C56" s="22" t="s">
        <v>1036</v>
      </c>
      <c r="D56" s="21" t="s">
        <v>1037</v>
      </c>
      <c r="E56" s="11" t="s">
        <v>1038</v>
      </c>
      <c r="F56" s="11"/>
      <c r="G56" s="11"/>
      <c r="H56" s="22"/>
      <c r="I56" s="11" t="s">
        <v>394</v>
      </c>
      <c r="J56" s="21" t="s">
        <v>1039</v>
      </c>
      <c r="K56" s="22"/>
    </row>
    <row r="57" customFormat="false" ht="15" hidden="false" customHeight="false" outlineLevel="0" collapsed="false">
      <c r="A57" s="22" t="s">
        <v>930</v>
      </c>
      <c r="B57" s="11" t="n">
        <v>14</v>
      </c>
      <c r="C57" s="22" t="s">
        <v>1040</v>
      </c>
      <c r="D57" s="21" t="s">
        <v>1041</v>
      </c>
      <c r="E57" s="11" t="s">
        <v>1005</v>
      </c>
      <c r="F57" s="11"/>
      <c r="G57" s="11"/>
      <c r="H57" s="22" t="s">
        <v>1042</v>
      </c>
      <c r="I57" s="11" t="s">
        <v>394</v>
      </c>
      <c r="J57" s="22"/>
      <c r="K57" s="22"/>
    </row>
    <row r="58" customFormat="false" ht="15" hidden="false" customHeight="false" outlineLevel="0" collapsed="false">
      <c r="A58" s="22" t="s">
        <v>930</v>
      </c>
      <c r="B58" s="11" t="n">
        <v>15</v>
      </c>
      <c r="C58" s="22" t="s">
        <v>1043</v>
      </c>
      <c r="D58" s="21" t="s">
        <v>1044</v>
      </c>
      <c r="E58" s="11" t="s">
        <v>1038</v>
      </c>
      <c r="F58" s="11"/>
      <c r="G58" s="11"/>
      <c r="H58" s="22"/>
      <c r="I58" s="11" t="s">
        <v>394</v>
      </c>
      <c r="J58" s="21" t="s">
        <v>1039</v>
      </c>
      <c r="K58" s="22"/>
    </row>
    <row r="59" customFormat="false" ht="15" hidden="false" customHeight="false" outlineLevel="0" collapsed="false">
      <c r="A59" s="22" t="s">
        <v>930</v>
      </c>
      <c r="B59" s="11" t="n">
        <v>16</v>
      </c>
      <c r="C59" s="22" t="s">
        <v>1045</v>
      </c>
      <c r="D59" s="21" t="s">
        <v>1046</v>
      </c>
      <c r="E59" s="11" t="s">
        <v>1005</v>
      </c>
      <c r="F59" s="11"/>
      <c r="G59" s="11"/>
      <c r="H59" s="22" t="s">
        <v>1042</v>
      </c>
      <c r="I59" s="11" t="s">
        <v>394</v>
      </c>
      <c r="J59" s="22"/>
      <c r="K59" s="22"/>
    </row>
    <row r="60" customFormat="false" ht="15" hidden="false" customHeight="false" outlineLevel="0" collapsed="false">
      <c r="A60" s="22" t="s">
        <v>930</v>
      </c>
      <c r="B60" s="11" t="n">
        <v>17</v>
      </c>
      <c r="C60" s="22" t="s">
        <v>1047</v>
      </c>
      <c r="D60" s="21" t="s">
        <v>2</v>
      </c>
      <c r="E60" s="11" t="s">
        <v>1048</v>
      </c>
      <c r="F60" s="11"/>
      <c r="G60" s="11"/>
      <c r="H60" s="22"/>
      <c r="I60" s="11" t="s">
        <v>394</v>
      </c>
      <c r="J60" s="22" t="s">
        <v>1049</v>
      </c>
      <c r="K60" s="21" t="s">
        <v>1050</v>
      </c>
    </row>
    <row r="61" customFormat="false" ht="15" hidden="false" customHeight="true" outlineLevel="0" collapsed="false">
      <c r="A61" s="30" t="s">
        <v>932</v>
      </c>
      <c r="B61" s="31" t="s">
        <v>1120</v>
      </c>
      <c r="C61" s="31"/>
      <c r="D61" s="31"/>
      <c r="E61" s="31"/>
      <c r="F61" s="31"/>
      <c r="G61" s="31"/>
      <c r="H61" s="31"/>
      <c r="I61" s="31"/>
      <c r="J61" s="31"/>
      <c r="K61" s="31"/>
    </row>
    <row r="62" customFormat="false" ht="15" hidden="false" customHeight="false" outlineLevel="0" collapsed="false">
      <c r="A62" s="22" t="s">
        <v>932</v>
      </c>
      <c r="B62" s="11" t="n">
        <v>1</v>
      </c>
      <c r="C62" s="22" t="s">
        <v>1003</v>
      </c>
      <c r="D62" s="21" t="s">
        <v>1121</v>
      </c>
      <c r="E62" s="11" t="s">
        <v>1005</v>
      </c>
      <c r="F62" s="11"/>
      <c r="G62" s="11" t="s">
        <v>394</v>
      </c>
      <c r="H62" s="22"/>
      <c r="I62" s="11" t="s">
        <v>394</v>
      </c>
      <c r="J62" s="21" t="s">
        <v>1006</v>
      </c>
      <c r="K62" s="22"/>
    </row>
    <row r="63" customFormat="false" ht="15" hidden="false" customHeight="false" outlineLevel="0" collapsed="false">
      <c r="A63" s="22" t="s">
        <v>932</v>
      </c>
      <c r="B63" s="11" t="n">
        <v>2</v>
      </c>
      <c r="C63" s="22" t="s">
        <v>1122</v>
      </c>
      <c r="D63" s="21" t="s">
        <v>1100</v>
      </c>
      <c r="E63" s="11" t="s">
        <v>1005</v>
      </c>
      <c r="F63" s="11"/>
      <c r="G63" s="11"/>
      <c r="H63" s="22" t="s">
        <v>553</v>
      </c>
      <c r="I63" s="11" t="s">
        <v>394</v>
      </c>
      <c r="J63" s="22"/>
      <c r="K63" s="22"/>
    </row>
    <row r="64" customFormat="false" ht="15" hidden="false" customHeight="false" outlineLevel="0" collapsed="false">
      <c r="A64" s="22" t="s">
        <v>932</v>
      </c>
      <c r="B64" s="11" t="n">
        <v>3</v>
      </c>
      <c r="C64" s="22" t="s">
        <v>1012</v>
      </c>
      <c r="D64" s="21" t="s">
        <v>1123</v>
      </c>
      <c r="E64" s="11" t="s">
        <v>1009</v>
      </c>
      <c r="F64" s="11" t="s">
        <v>563</v>
      </c>
      <c r="G64" s="11"/>
      <c r="H64" s="22"/>
      <c r="I64" s="11" t="s">
        <v>394</v>
      </c>
      <c r="J64" s="22"/>
      <c r="K64" s="22"/>
    </row>
    <row r="65" customFormat="false" ht="15" hidden="false" customHeight="false" outlineLevel="0" collapsed="false">
      <c r="A65" s="22" t="s">
        <v>932</v>
      </c>
      <c r="B65" s="11" t="n">
        <v>4</v>
      </c>
      <c r="C65" s="22" t="s">
        <v>1112</v>
      </c>
      <c r="D65" s="21" t="s">
        <v>1113</v>
      </c>
      <c r="E65" s="11" t="s">
        <v>1009</v>
      </c>
      <c r="F65" s="11" t="s">
        <v>1114</v>
      </c>
      <c r="G65" s="11"/>
      <c r="H65" s="22"/>
      <c r="I65" s="11"/>
      <c r="J65" s="22"/>
      <c r="K65" s="22"/>
    </row>
    <row r="66" customFormat="false" ht="15" hidden="false" customHeight="false" outlineLevel="0" collapsed="false">
      <c r="A66" s="22" t="s">
        <v>932</v>
      </c>
      <c r="B66" s="11" t="n">
        <v>5</v>
      </c>
      <c r="C66" s="22" t="s">
        <v>1019</v>
      </c>
      <c r="D66" s="21" t="s">
        <v>1020</v>
      </c>
      <c r="E66" s="11" t="s">
        <v>1009</v>
      </c>
      <c r="F66" s="11" t="s">
        <v>1021</v>
      </c>
      <c r="G66" s="11"/>
      <c r="H66" s="22"/>
      <c r="I66" s="11" t="s">
        <v>394</v>
      </c>
      <c r="J66" s="22"/>
      <c r="K66" s="22"/>
    </row>
    <row r="67" customFormat="false" ht="15" hidden="false" customHeight="false" outlineLevel="0" collapsed="false">
      <c r="A67" s="22" t="s">
        <v>932</v>
      </c>
      <c r="B67" s="11" t="n">
        <v>6</v>
      </c>
      <c r="C67" s="22" t="s">
        <v>1024</v>
      </c>
      <c r="D67" s="21" t="s">
        <v>1025</v>
      </c>
      <c r="E67" s="11" t="s">
        <v>1009</v>
      </c>
      <c r="F67" s="11" t="s">
        <v>1010</v>
      </c>
      <c r="G67" s="11"/>
      <c r="H67" s="22"/>
      <c r="I67" s="11"/>
      <c r="J67" s="22"/>
      <c r="K67" s="22"/>
    </row>
    <row r="68" customFormat="false" ht="15" hidden="false" customHeight="false" outlineLevel="0" collapsed="false">
      <c r="A68" s="22" t="s">
        <v>932</v>
      </c>
      <c r="B68" s="11" t="n">
        <v>7</v>
      </c>
      <c r="C68" s="22" t="s">
        <v>1124</v>
      </c>
      <c r="D68" s="21" t="s">
        <v>1125</v>
      </c>
      <c r="E68" s="11" t="s">
        <v>1034</v>
      </c>
      <c r="F68" s="11"/>
      <c r="G68" s="11"/>
      <c r="H68" s="22"/>
      <c r="I68" s="11" t="s">
        <v>394</v>
      </c>
      <c r="J68" s="22" t="s">
        <v>1126</v>
      </c>
      <c r="K68" s="21" t="s">
        <v>1127</v>
      </c>
    </row>
    <row r="69" customFormat="false" ht="15" hidden="false" customHeight="false" outlineLevel="0" collapsed="false">
      <c r="A69" s="22" t="s">
        <v>932</v>
      </c>
      <c r="B69" s="11" t="n">
        <v>8</v>
      </c>
      <c r="C69" s="22" t="s">
        <v>1032</v>
      </c>
      <c r="D69" s="21" t="s">
        <v>1033</v>
      </c>
      <c r="E69" s="11" t="s">
        <v>1034</v>
      </c>
      <c r="F69" s="11"/>
      <c r="G69" s="11"/>
      <c r="H69" s="22"/>
      <c r="I69" s="11" t="s">
        <v>394</v>
      </c>
      <c r="J69" s="22" t="s">
        <v>1035</v>
      </c>
      <c r="K69" s="22"/>
    </row>
    <row r="70" customFormat="false" ht="15" hidden="false" customHeight="false" outlineLevel="0" collapsed="false">
      <c r="A70" s="22" t="s">
        <v>932</v>
      </c>
      <c r="B70" s="11" t="n">
        <v>9</v>
      </c>
      <c r="C70" s="22" t="s">
        <v>1036</v>
      </c>
      <c r="D70" s="21" t="s">
        <v>1037</v>
      </c>
      <c r="E70" s="11" t="s">
        <v>1038</v>
      </c>
      <c r="F70" s="11"/>
      <c r="G70" s="11"/>
      <c r="H70" s="22"/>
      <c r="I70" s="11" t="s">
        <v>394</v>
      </c>
      <c r="J70" s="21" t="s">
        <v>1039</v>
      </c>
      <c r="K70" s="22"/>
    </row>
    <row r="71" customFormat="false" ht="15" hidden="false" customHeight="false" outlineLevel="0" collapsed="false">
      <c r="A71" s="22" t="s">
        <v>932</v>
      </c>
      <c r="B71" s="11" t="n">
        <v>10</v>
      </c>
      <c r="C71" s="22" t="s">
        <v>1040</v>
      </c>
      <c r="D71" s="21" t="s">
        <v>1041</v>
      </c>
      <c r="E71" s="11" t="s">
        <v>1005</v>
      </c>
      <c r="F71" s="11"/>
      <c r="G71" s="11"/>
      <c r="H71" s="22" t="s">
        <v>1042</v>
      </c>
      <c r="I71" s="11" t="s">
        <v>394</v>
      </c>
      <c r="J71" s="22"/>
      <c r="K71" s="22"/>
    </row>
    <row r="72" customFormat="false" ht="15" hidden="false" customHeight="false" outlineLevel="0" collapsed="false">
      <c r="A72" s="22" t="s">
        <v>932</v>
      </c>
      <c r="B72" s="11" t="n">
        <v>11</v>
      </c>
      <c r="C72" s="22" t="s">
        <v>1043</v>
      </c>
      <c r="D72" s="21" t="s">
        <v>1044</v>
      </c>
      <c r="E72" s="11" t="s">
        <v>1038</v>
      </c>
      <c r="F72" s="11"/>
      <c r="G72" s="11"/>
      <c r="H72" s="22"/>
      <c r="I72" s="11" t="s">
        <v>394</v>
      </c>
      <c r="J72" s="21" t="s">
        <v>1039</v>
      </c>
      <c r="K72" s="22"/>
    </row>
    <row r="73" customFormat="false" ht="15" hidden="false" customHeight="false" outlineLevel="0" collapsed="false">
      <c r="A73" s="22" t="s">
        <v>932</v>
      </c>
      <c r="B73" s="11" t="n">
        <v>12</v>
      </c>
      <c r="C73" s="22" t="s">
        <v>1045</v>
      </c>
      <c r="D73" s="21" t="s">
        <v>1046</v>
      </c>
      <c r="E73" s="11" t="s">
        <v>1005</v>
      </c>
      <c r="F73" s="11"/>
      <c r="G73" s="11"/>
      <c r="H73" s="22" t="s">
        <v>1042</v>
      </c>
      <c r="I73" s="11" t="s">
        <v>394</v>
      </c>
      <c r="J73" s="22"/>
      <c r="K73" s="22"/>
    </row>
    <row r="74" customFormat="false" ht="15" hidden="false" customHeight="false" outlineLevel="0" collapsed="false">
      <c r="A74" s="22" t="s">
        <v>932</v>
      </c>
      <c r="B74" s="11" t="n">
        <v>13</v>
      </c>
      <c r="C74" s="22" t="s">
        <v>1047</v>
      </c>
      <c r="D74" s="21" t="s">
        <v>2</v>
      </c>
      <c r="E74" s="11" t="s">
        <v>1048</v>
      </c>
      <c r="F74" s="11"/>
      <c r="G74" s="11"/>
      <c r="H74" s="22"/>
      <c r="I74" s="11" t="s">
        <v>394</v>
      </c>
      <c r="J74" s="22" t="s">
        <v>1049</v>
      </c>
      <c r="K74" s="21" t="s">
        <v>1050</v>
      </c>
    </row>
    <row r="75" customFormat="false" ht="15" hidden="false" customHeight="true" outlineLevel="0" collapsed="false">
      <c r="A75" s="30" t="s">
        <v>934</v>
      </c>
      <c r="B75" s="31" t="s">
        <v>1128</v>
      </c>
      <c r="C75" s="31"/>
      <c r="D75" s="31"/>
      <c r="E75" s="31"/>
      <c r="F75" s="31"/>
      <c r="G75" s="31"/>
      <c r="H75" s="31"/>
      <c r="I75" s="31"/>
      <c r="J75" s="31"/>
      <c r="K75" s="31"/>
    </row>
    <row r="76" customFormat="false" ht="15" hidden="false" customHeight="false" outlineLevel="0" collapsed="false">
      <c r="A76" s="22" t="s">
        <v>934</v>
      </c>
      <c r="B76" s="11" t="n">
        <v>1</v>
      </c>
      <c r="C76" s="22" t="s">
        <v>1003</v>
      </c>
      <c r="D76" s="21" t="s">
        <v>1129</v>
      </c>
      <c r="E76" s="11" t="s">
        <v>1005</v>
      </c>
      <c r="F76" s="11"/>
      <c r="G76" s="11" t="s">
        <v>394</v>
      </c>
      <c r="H76" s="22"/>
      <c r="I76" s="11" t="s">
        <v>394</v>
      </c>
      <c r="J76" s="21" t="s">
        <v>1006</v>
      </c>
      <c r="K76" s="22"/>
    </row>
    <row r="77" customFormat="false" ht="15" hidden="false" customHeight="false" outlineLevel="0" collapsed="false">
      <c r="A77" s="22" t="s">
        <v>934</v>
      </c>
      <c r="B77" s="11" t="n">
        <v>2</v>
      </c>
      <c r="C77" s="22" t="s">
        <v>1130</v>
      </c>
      <c r="D77" s="21" t="s">
        <v>1131</v>
      </c>
      <c r="E77" s="11" t="s">
        <v>1009</v>
      </c>
      <c r="F77" s="11" t="s">
        <v>1010</v>
      </c>
      <c r="G77" s="11"/>
      <c r="H77" s="22"/>
      <c r="I77" s="11" t="s">
        <v>394</v>
      </c>
      <c r="J77" s="22"/>
      <c r="K77" s="21" t="s">
        <v>1011</v>
      </c>
    </row>
    <row r="78" customFormat="false" ht="15" hidden="false" customHeight="false" outlineLevel="0" collapsed="false">
      <c r="A78" s="22" t="s">
        <v>934</v>
      </c>
      <c r="B78" s="11" t="n">
        <v>3</v>
      </c>
      <c r="C78" s="22" t="s">
        <v>1012</v>
      </c>
      <c r="D78" s="21" t="s">
        <v>1132</v>
      </c>
      <c r="E78" s="11" t="s">
        <v>1009</v>
      </c>
      <c r="F78" s="11" t="s">
        <v>414</v>
      </c>
      <c r="G78" s="11"/>
      <c r="H78" s="22"/>
      <c r="I78" s="11" t="s">
        <v>394</v>
      </c>
      <c r="J78" s="22"/>
      <c r="K78" s="21" t="s">
        <v>1133</v>
      </c>
    </row>
    <row r="79" customFormat="false" ht="15" hidden="false" customHeight="false" outlineLevel="0" collapsed="false">
      <c r="A79" s="22" t="s">
        <v>934</v>
      </c>
      <c r="B79" s="11" t="n">
        <v>4</v>
      </c>
      <c r="C79" s="22" t="s">
        <v>1077</v>
      </c>
      <c r="D79" s="21" t="s">
        <v>1078</v>
      </c>
      <c r="E79" s="11" t="s">
        <v>1009</v>
      </c>
      <c r="F79" s="11" t="s">
        <v>1074</v>
      </c>
      <c r="G79" s="11"/>
      <c r="H79" s="22"/>
      <c r="I79" s="11" t="s">
        <v>394</v>
      </c>
      <c r="J79" s="22"/>
      <c r="K79" s="21" t="s">
        <v>1134</v>
      </c>
    </row>
    <row r="80" customFormat="false" ht="15" hidden="false" customHeight="false" outlineLevel="0" collapsed="false">
      <c r="A80" s="22" t="s">
        <v>934</v>
      </c>
      <c r="B80" s="11" t="n">
        <v>5</v>
      </c>
      <c r="C80" s="22" t="s">
        <v>1135</v>
      </c>
      <c r="D80" s="21" t="s">
        <v>1136</v>
      </c>
      <c r="E80" s="11" t="s">
        <v>1067</v>
      </c>
      <c r="F80" s="11" t="s">
        <v>405</v>
      </c>
      <c r="G80" s="11"/>
      <c r="H80" s="22"/>
      <c r="I80" s="11" t="s">
        <v>394</v>
      </c>
      <c r="J80" s="22"/>
      <c r="K80" s="22"/>
    </row>
    <row r="81" customFormat="false" ht="15" hidden="false" customHeight="false" outlineLevel="0" collapsed="false">
      <c r="A81" s="22" t="s">
        <v>934</v>
      </c>
      <c r="B81" s="11" t="n">
        <v>6</v>
      </c>
      <c r="C81" s="22" t="s">
        <v>1137</v>
      </c>
      <c r="D81" s="21" t="s">
        <v>1138</v>
      </c>
      <c r="E81" s="11" t="s">
        <v>1067</v>
      </c>
      <c r="F81" s="11" t="s">
        <v>405</v>
      </c>
      <c r="G81" s="11"/>
      <c r="H81" s="22"/>
      <c r="I81" s="11" t="s">
        <v>394</v>
      </c>
      <c r="J81" s="22"/>
      <c r="K81" s="22"/>
    </row>
    <row r="82" customFormat="false" ht="15" hidden="false" customHeight="false" outlineLevel="0" collapsed="false">
      <c r="A82" s="22" t="s">
        <v>934</v>
      </c>
      <c r="B82" s="11" t="n">
        <v>7</v>
      </c>
      <c r="C82" s="22" t="s">
        <v>1032</v>
      </c>
      <c r="D82" s="21" t="s">
        <v>1033</v>
      </c>
      <c r="E82" s="11" t="s">
        <v>1034</v>
      </c>
      <c r="F82" s="11"/>
      <c r="G82" s="11"/>
      <c r="H82" s="22"/>
      <c r="I82" s="11" t="s">
        <v>394</v>
      </c>
      <c r="J82" s="22" t="s">
        <v>1035</v>
      </c>
      <c r="K82" s="22"/>
    </row>
    <row r="83" customFormat="false" ht="15" hidden="false" customHeight="false" outlineLevel="0" collapsed="false">
      <c r="A83" s="22" t="s">
        <v>934</v>
      </c>
      <c r="B83" s="11" t="n">
        <v>8</v>
      </c>
      <c r="C83" s="22" t="s">
        <v>1036</v>
      </c>
      <c r="D83" s="21" t="s">
        <v>1037</v>
      </c>
      <c r="E83" s="11" t="s">
        <v>1038</v>
      </c>
      <c r="F83" s="11"/>
      <c r="G83" s="11"/>
      <c r="H83" s="22"/>
      <c r="I83" s="11" t="s">
        <v>394</v>
      </c>
      <c r="J83" s="21" t="s">
        <v>1039</v>
      </c>
      <c r="K83" s="22"/>
    </row>
    <row r="84" customFormat="false" ht="15" hidden="false" customHeight="false" outlineLevel="0" collapsed="false">
      <c r="A84" s="22" t="s">
        <v>934</v>
      </c>
      <c r="B84" s="11" t="n">
        <v>9</v>
      </c>
      <c r="C84" s="22" t="s">
        <v>1040</v>
      </c>
      <c r="D84" s="21" t="s">
        <v>1041</v>
      </c>
      <c r="E84" s="11" t="s">
        <v>1005</v>
      </c>
      <c r="F84" s="11"/>
      <c r="G84" s="11"/>
      <c r="H84" s="22" t="s">
        <v>1042</v>
      </c>
      <c r="I84" s="11" t="s">
        <v>394</v>
      </c>
      <c r="J84" s="22"/>
      <c r="K84" s="22"/>
    </row>
    <row r="85" customFormat="false" ht="15" hidden="false" customHeight="false" outlineLevel="0" collapsed="false">
      <c r="A85" s="22" t="s">
        <v>934</v>
      </c>
      <c r="B85" s="11" t="n">
        <v>10</v>
      </c>
      <c r="C85" s="22" t="s">
        <v>1043</v>
      </c>
      <c r="D85" s="21" t="s">
        <v>1044</v>
      </c>
      <c r="E85" s="11" t="s">
        <v>1038</v>
      </c>
      <c r="F85" s="11"/>
      <c r="G85" s="11"/>
      <c r="H85" s="22"/>
      <c r="I85" s="11" t="s">
        <v>394</v>
      </c>
      <c r="J85" s="21" t="s">
        <v>1039</v>
      </c>
      <c r="K85" s="22"/>
    </row>
    <row r="86" customFormat="false" ht="15" hidden="false" customHeight="false" outlineLevel="0" collapsed="false">
      <c r="A86" s="22" t="s">
        <v>934</v>
      </c>
      <c r="B86" s="11" t="n">
        <v>11</v>
      </c>
      <c r="C86" s="22" t="s">
        <v>1045</v>
      </c>
      <c r="D86" s="21" t="s">
        <v>1046</v>
      </c>
      <c r="E86" s="11" t="s">
        <v>1005</v>
      </c>
      <c r="F86" s="11"/>
      <c r="G86" s="11"/>
      <c r="H86" s="22" t="s">
        <v>1042</v>
      </c>
      <c r="I86" s="11" t="s">
        <v>394</v>
      </c>
      <c r="J86" s="22"/>
      <c r="K86" s="22"/>
    </row>
    <row r="87" customFormat="false" ht="15" hidden="false" customHeight="false" outlineLevel="0" collapsed="false">
      <c r="A87" s="22" t="s">
        <v>934</v>
      </c>
      <c r="B87" s="11" t="n">
        <v>12</v>
      </c>
      <c r="C87" s="22" t="s">
        <v>1047</v>
      </c>
      <c r="D87" s="21" t="s">
        <v>2</v>
      </c>
      <c r="E87" s="11" t="s">
        <v>1048</v>
      </c>
      <c r="F87" s="11"/>
      <c r="G87" s="11"/>
      <c r="H87" s="22"/>
      <c r="I87" s="11" t="s">
        <v>394</v>
      </c>
      <c r="J87" s="22" t="s">
        <v>1049</v>
      </c>
      <c r="K87" s="21" t="s">
        <v>1050</v>
      </c>
    </row>
    <row r="88" customFormat="false" ht="15" hidden="false" customHeight="true" outlineLevel="0" collapsed="false">
      <c r="A88" s="30" t="s">
        <v>936</v>
      </c>
      <c r="B88" s="31" t="s">
        <v>1139</v>
      </c>
      <c r="C88" s="31"/>
      <c r="D88" s="31"/>
      <c r="E88" s="31"/>
      <c r="F88" s="31"/>
      <c r="G88" s="31"/>
      <c r="H88" s="31"/>
      <c r="I88" s="31"/>
      <c r="J88" s="31"/>
      <c r="K88" s="31"/>
    </row>
    <row r="89" customFormat="false" ht="15" hidden="false" customHeight="false" outlineLevel="0" collapsed="false">
      <c r="A89" s="22" t="s">
        <v>936</v>
      </c>
      <c r="B89" s="11" t="n">
        <v>1</v>
      </c>
      <c r="C89" s="22" t="s">
        <v>1003</v>
      </c>
      <c r="D89" s="21" t="s">
        <v>1140</v>
      </c>
      <c r="E89" s="11" t="s">
        <v>1005</v>
      </c>
      <c r="F89" s="11"/>
      <c r="G89" s="11" t="s">
        <v>394</v>
      </c>
      <c r="H89" s="22"/>
      <c r="I89" s="11" t="s">
        <v>394</v>
      </c>
      <c r="J89" s="21" t="s">
        <v>1006</v>
      </c>
      <c r="K89" s="22"/>
    </row>
    <row r="90" customFormat="false" ht="15" hidden="false" customHeight="false" outlineLevel="0" collapsed="false">
      <c r="A90" s="22" t="s">
        <v>936</v>
      </c>
      <c r="B90" s="11" t="n">
        <v>2</v>
      </c>
      <c r="C90" s="22" t="s">
        <v>1087</v>
      </c>
      <c r="D90" s="21" t="s">
        <v>1088</v>
      </c>
      <c r="E90" s="11" t="s">
        <v>1009</v>
      </c>
      <c r="F90" s="11" t="s">
        <v>1010</v>
      </c>
      <c r="G90" s="11"/>
      <c r="H90" s="22"/>
      <c r="I90" s="11" t="s">
        <v>394</v>
      </c>
      <c r="J90" s="22"/>
      <c r="K90" s="22" t="s">
        <v>1141</v>
      </c>
    </row>
    <row r="91" customFormat="false" ht="15" hidden="false" customHeight="false" outlineLevel="0" collapsed="false">
      <c r="A91" s="22" t="s">
        <v>936</v>
      </c>
      <c r="B91" s="11" t="n">
        <v>3</v>
      </c>
      <c r="C91" s="22" t="s">
        <v>1104</v>
      </c>
      <c r="D91" s="21" t="s">
        <v>1105</v>
      </c>
      <c r="E91" s="11" t="s">
        <v>1009</v>
      </c>
      <c r="F91" s="11" t="s">
        <v>1010</v>
      </c>
      <c r="G91" s="11"/>
      <c r="H91" s="22"/>
      <c r="I91" s="11" t="s">
        <v>394</v>
      </c>
      <c r="J91" s="22"/>
      <c r="K91" s="22" t="s">
        <v>1142</v>
      </c>
    </row>
    <row r="92" customFormat="false" ht="15" hidden="false" customHeight="false" outlineLevel="0" collapsed="false">
      <c r="A92" s="22" t="s">
        <v>936</v>
      </c>
      <c r="B92" s="11" t="n">
        <v>4</v>
      </c>
      <c r="C92" s="22" t="s">
        <v>1143</v>
      </c>
      <c r="D92" s="21" t="s">
        <v>1144</v>
      </c>
      <c r="E92" s="11" t="s">
        <v>1034</v>
      </c>
      <c r="F92" s="11"/>
      <c r="G92" s="11"/>
      <c r="H92" s="22"/>
      <c r="I92" s="11" t="s">
        <v>394</v>
      </c>
      <c r="J92" s="22" t="s">
        <v>1126</v>
      </c>
      <c r="K92" s="22" t="s">
        <v>1145</v>
      </c>
    </row>
    <row r="93" customFormat="false" ht="15" hidden="false" customHeight="false" outlineLevel="0" collapsed="false">
      <c r="A93" s="22" t="s">
        <v>936</v>
      </c>
      <c r="B93" s="11" t="n">
        <v>5</v>
      </c>
      <c r="C93" s="22" t="s">
        <v>1036</v>
      </c>
      <c r="D93" s="21" t="s">
        <v>1037</v>
      </c>
      <c r="E93" s="11" t="s">
        <v>1038</v>
      </c>
      <c r="F93" s="11"/>
      <c r="G93" s="11"/>
      <c r="H93" s="22"/>
      <c r="I93" s="11" t="s">
        <v>394</v>
      </c>
      <c r="J93" s="21" t="s">
        <v>1039</v>
      </c>
      <c r="K93" s="22"/>
    </row>
    <row r="94" customFormat="false" ht="15" hidden="false" customHeight="false" outlineLevel="0" collapsed="false">
      <c r="A94" s="22" t="s">
        <v>936</v>
      </c>
      <c r="B94" s="11" t="n">
        <v>6</v>
      </c>
      <c r="C94" s="22" t="s">
        <v>1040</v>
      </c>
      <c r="D94" s="21" t="s">
        <v>1041</v>
      </c>
      <c r="E94" s="11" t="s">
        <v>1005</v>
      </c>
      <c r="F94" s="11"/>
      <c r="G94" s="11"/>
      <c r="H94" s="22" t="s">
        <v>1042</v>
      </c>
      <c r="I94" s="11" t="s">
        <v>394</v>
      </c>
      <c r="J94" s="22"/>
      <c r="K94" s="22"/>
    </row>
    <row r="95" customFormat="false" ht="15" hidden="false" customHeight="false" outlineLevel="0" collapsed="false">
      <c r="A95" s="22" t="s">
        <v>936</v>
      </c>
      <c r="B95" s="11" t="n">
        <v>7</v>
      </c>
      <c r="C95" s="22" t="s">
        <v>1043</v>
      </c>
      <c r="D95" s="21" t="s">
        <v>1044</v>
      </c>
      <c r="E95" s="11" t="s">
        <v>1038</v>
      </c>
      <c r="F95" s="11"/>
      <c r="G95" s="11"/>
      <c r="H95" s="22"/>
      <c r="I95" s="11" t="s">
        <v>394</v>
      </c>
      <c r="J95" s="21" t="s">
        <v>1039</v>
      </c>
      <c r="K95" s="22"/>
    </row>
    <row r="96" customFormat="false" ht="15" hidden="false" customHeight="false" outlineLevel="0" collapsed="false">
      <c r="A96" s="22" t="s">
        <v>936</v>
      </c>
      <c r="B96" s="11" t="n">
        <v>8</v>
      </c>
      <c r="C96" s="22" t="s">
        <v>1045</v>
      </c>
      <c r="D96" s="21" t="s">
        <v>1046</v>
      </c>
      <c r="E96" s="11" t="s">
        <v>1005</v>
      </c>
      <c r="F96" s="11"/>
      <c r="G96" s="11"/>
      <c r="H96" s="22" t="s">
        <v>1042</v>
      </c>
      <c r="I96" s="11" t="s">
        <v>394</v>
      </c>
      <c r="J96" s="22"/>
      <c r="K96" s="22"/>
    </row>
    <row r="97" customFormat="false" ht="15" hidden="false" customHeight="false" outlineLevel="0" collapsed="false">
      <c r="A97" s="22" t="s">
        <v>936</v>
      </c>
      <c r="B97" s="11" t="n">
        <v>9</v>
      </c>
      <c r="C97" s="22" t="s">
        <v>1047</v>
      </c>
      <c r="D97" s="21" t="s">
        <v>2</v>
      </c>
      <c r="E97" s="11" t="s">
        <v>1048</v>
      </c>
      <c r="F97" s="11"/>
      <c r="G97" s="11"/>
      <c r="H97" s="22"/>
      <c r="I97" s="11" t="s">
        <v>394</v>
      </c>
      <c r="J97" s="22" t="s">
        <v>1049</v>
      </c>
      <c r="K97" s="21" t="s">
        <v>1050</v>
      </c>
    </row>
    <row r="98" customFormat="false" ht="15" hidden="false" customHeight="true" outlineLevel="0" collapsed="false">
      <c r="A98" s="30" t="s">
        <v>938</v>
      </c>
      <c r="B98" s="31" t="s">
        <v>1146</v>
      </c>
      <c r="C98" s="31"/>
      <c r="D98" s="31"/>
      <c r="E98" s="31"/>
      <c r="F98" s="31"/>
      <c r="G98" s="31"/>
      <c r="H98" s="31"/>
      <c r="I98" s="31"/>
      <c r="J98" s="31"/>
      <c r="K98" s="31"/>
    </row>
    <row r="99" customFormat="false" ht="15" hidden="false" customHeight="false" outlineLevel="0" collapsed="false">
      <c r="A99" s="22" t="s">
        <v>938</v>
      </c>
      <c r="B99" s="11" t="n">
        <v>1</v>
      </c>
      <c r="C99" s="22" t="s">
        <v>1003</v>
      </c>
      <c r="D99" s="21" t="s">
        <v>1147</v>
      </c>
      <c r="E99" s="11" t="s">
        <v>1005</v>
      </c>
      <c r="F99" s="11"/>
      <c r="G99" s="11" t="s">
        <v>394</v>
      </c>
      <c r="H99" s="22"/>
      <c r="I99" s="11" t="s">
        <v>394</v>
      </c>
      <c r="J99" s="21" t="s">
        <v>1006</v>
      </c>
      <c r="K99" s="22"/>
    </row>
    <row r="100" customFormat="false" ht="15" hidden="false" customHeight="false" outlineLevel="0" collapsed="false">
      <c r="A100" s="22" t="s">
        <v>938</v>
      </c>
      <c r="B100" s="11" t="n">
        <v>2</v>
      </c>
      <c r="C100" s="22" t="s">
        <v>1026</v>
      </c>
      <c r="D100" s="21" t="s">
        <v>1148</v>
      </c>
      <c r="E100" s="11" t="s">
        <v>1009</v>
      </c>
      <c r="F100" s="11" t="s">
        <v>1028</v>
      </c>
      <c r="G100" s="11"/>
      <c r="H100" s="22"/>
      <c r="I100" s="11" t="s">
        <v>394</v>
      </c>
      <c r="J100" s="22"/>
      <c r="K100" s="21" t="s">
        <v>1011</v>
      </c>
    </row>
    <row r="101" customFormat="false" ht="15" hidden="false" customHeight="false" outlineLevel="0" collapsed="false">
      <c r="A101" s="22" t="s">
        <v>938</v>
      </c>
      <c r="B101" s="11" t="n">
        <v>3</v>
      </c>
      <c r="C101" s="22" t="s">
        <v>1012</v>
      </c>
      <c r="D101" s="21" t="s">
        <v>1149</v>
      </c>
      <c r="E101" s="11" t="s">
        <v>1009</v>
      </c>
      <c r="F101" s="11" t="s">
        <v>414</v>
      </c>
      <c r="G101" s="11"/>
      <c r="H101" s="22"/>
      <c r="I101" s="11" t="s">
        <v>394</v>
      </c>
      <c r="J101" s="22"/>
      <c r="K101" s="22"/>
    </row>
    <row r="102" customFormat="false" ht="15" hidden="false" customHeight="false" outlineLevel="0" collapsed="false">
      <c r="A102" s="22" t="s">
        <v>938</v>
      </c>
      <c r="B102" s="11" t="n">
        <v>4</v>
      </c>
      <c r="C102" s="22" t="s">
        <v>1150</v>
      </c>
      <c r="D102" s="21" t="s">
        <v>1151</v>
      </c>
      <c r="E102" s="11" t="s">
        <v>1009</v>
      </c>
      <c r="F102" s="11" t="s">
        <v>1010</v>
      </c>
      <c r="G102" s="11"/>
      <c r="H102" s="22"/>
      <c r="I102" s="11" t="s">
        <v>394</v>
      </c>
      <c r="J102" s="22"/>
      <c r="K102" s="21" t="s">
        <v>1152</v>
      </c>
    </row>
    <row r="103" customFormat="false" ht="15" hidden="false" customHeight="false" outlineLevel="0" collapsed="false">
      <c r="A103" s="22" t="s">
        <v>938</v>
      </c>
      <c r="B103" s="11" t="n">
        <v>5</v>
      </c>
      <c r="C103" s="22" t="s">
        <v>1153</v>
      </c>
      <c r="D103" s="21" t="s">
        <v>1154</v>
      </c>
      <c r="E103" s="11" t="s">
        <v>1009</v>
      </c>
      <c r="F103" s="11" t="s">
        <v>1155</v>
      </c>
      <c r="G103" s="11"/>
      <c r="H103" s="22"/>
      <c r="I103" s="11" t="s">
        <v>394</v>
      </c>
      <c r="J103" s="22"/>
      <c r="K103" s="22" t="s">
        <v>1156</v>
      </c>
    </row>
    <row r="104" customFormat="false" ht="15" hidden="false" customHeight="false" outlineLevel="0" collapsed="false">
      <c r="A104" s="22" t="s">
        <v>938</v>
      </c>
      <c r="B104" s="11" t="n">
        <v>6</v>
      </c>
      <c r="C104" s="22" t="s">
        <v>1157</v>
      </c>
      <c r="D104" s="22" t="s">
        <v>1158</v>
      </c>
      <c r="E104" s="11" t="s">
        <v>1009</v>
      </c>
      <c r="F104" s="11" t="s">
        <v>1155</v>
      </c>
      <c r="G104" s="11"/>
      <c r="H104" s="22"/>
      <c r="I104" s="11"/>
      <c r="J104" s="22"/>
      <c r="K104" s="21" t="s">
        <v>1159</v>
      </c>
    </row>
    <row r="105" customFormat="false" ht="15" hidden="false" customHeight="false" outlineLevel="0" collapsed="false">
      <c r="A105" s="22" t="s">
        <v>938</v>
      </c>
      <c r="B105" s="11" t="n">
        <v>7</v>
      </c>
      <c r="C105" s="22" t="s">
        <v>1160</v>
      </c>
      <c r="D105" s="21" t="s">
        <v>1161</v>
      </c>
      <c r="E105" s="11" t="s">
        <v>1048</v>
      </c>
      <c r="F105" s="11"/>
      <c r="G105" s="11"/>
      <c r="H105" s="22"/>
      <c r="I105" s="11" t="s">
        <v>394</v>
      </c>
      <c r="J105" s="22" t="s">
        <v>1097</v>
      </c>
      <c r="K105" s="22" t="s">
        <v>1162</v>
      </c>
    </row>
    <row r="106" customFormat="false" ht="15" hidden="false" customHeight="false" outlineLevel="0" collapsed="false">
      <c r="A106" s="22" t="s">
        <v>938</v>
      </c>
      <c r="B106" s="11" t="n">
        <v>8</v>
      </c>
      <c r="C106" s="22" t="s">
        <v>1032</v>
      </c>
      <c r="D106" s="21" t="s">
        <v>1033</v>
      </c>
      <c r="E106" s="11" t="s">
        <v>1034</v>
      </c>
      <c r="F106" s="11"/>
      <c r="G106" s="11"/>
      <c r="H106" s="22"/>
      <c r="I106" s="11" t="s">
        <v>394</v>
      </c>
      <c r="J106" s="22" t="s">
        <v>1035</v>
      </c>
      <c r="K106" s="22"/>
    </row>
    <row r="107" customFormat="false" ht="15" hidden="false" customHeight="false" outlineLevel="0" collapsed="false">
      <c r="A107" s="22" t="s">
        <v>938</v>
      </c>
      <c r="B107" s="11" t="n">
        <v>9</v>
      </c>
      <c r="C107" s="22" t="s">
        <v>1036</v>
      </c>
      <c r="D107" s="21" t="s">
        <v>1037</v>
      </c>
      <c r="E107" s="11" t="s">
        <v>1038</v>
      </c>
      <c r="F107" s="11"/>
      <c r="G107" s="11"/>
      <c r="H107" s="22"/>
      <c r="I107" s="11" t="s">
        <v>394</v>
      </c>
      <c r="J107" s="21" t="s">
        <v>1039</v>
      </c>
      <c r="K107" s="22"/>
    </row>
    <row r="108" customFormat="false" ht="15" hidden="false" customHeight="false" outlineLevel="0" collapsed="false">
      <c r="A108" s="22" t="s">
        <v>938</v>
      </c>
      <c r="B108" s="11" t="n">
        <v>10</v>
      </c>
      <c r="C108" s="22" t="s">
        <v>1040</v>
      </c>
      <c r="D108" s="21" t="s">
        <v>1041</v>
      </c>
      <c r="E108" s="11" t="s">
        <v>1005</v>
      </c>
      <c r="F108" s="11"/>
      <c r="G108" s="11"/>
      <c r="H108" s="22" t="s">
        <v>1042</v>
      </c>
      <c r="I108" s="11" t="s">
        <v>394</v>
      </c>
      <c r="J108" s="22"/>
      <c r="K108" s="22"/>
    </row>
    <row r="109" customFormat="false" ht="15" hidden="false" customHeight="false" outlineLevel="0" collapsed="false">
      <c r="A109" s="22" t="s">
        <v>938</v>
      </c>
      <c r="B109" s="11" t="n">
        <v>11</v>
      </c>
      <c r="C109" s="22" t="s">
        <v>1043</v>
      </c>
      <c r="D109" s="21" t="s">
        <v>1044</v>
      </c>
      <c r="E109" s="11" t="s">
        <v>1038</v>
      </c>
      <c r="F109" s="11"/>
      <c r="G109" s="11"/>
      <c r="H109" s="22"/>
      <c r="I109" s="11" t="s">
        <v>394</v>
      </c>
      <c r="J109" s="21" t="s">
        <v>1039</v>
      </c>
      <c r="K109" s="22"/>
    </row>
    <row r="110" customFormat="false" ht="15" hidden="false" customHeight="false" outlineLevel="0" collapsed="false">
      <c r="A110" s="22" t="s">
        <v>938</v>
      </c>
      <c r="B110" s="11" t="n">
        <v>12</v>
      </c>
      <c r="C110" s="22" t="s">
        <v>1045</v>
      </c>
      <c r="D110" s="21" t="s">
        <v>1046</v>
      </c>
      <c r="E110" s="11" t="s">
        <v>1005</v>
      </c>
      <c r="F110" s="11"/>
      <c r="G110" s="11"/>
      <c r="H110" s="22" t="s">
        <v>1042</v>
      </c>
      <c r="I110" s="11" t="s">
        <v>394</v>
      </c>
      <c r="J110" s="22"/>
      <c r="K110" s="22"/>
    </row>
    <row r="111" customFormat="false" ht="15" hidden="false" customHeight="false" outlineLevel="0" collapsed="false">
      <c r="A111" s="22" t="s">
        <v>938</v>
      </c>
      <c r="B111" s="11" t="n">
        <v>13</v>
      </c>
      <c r="C111" s="22" t="s">
        <v>1047</v>
      </c>
      <c r="D111" s="21" t="s">
        <v>2</v>
      </c>
      <c r="E111" s="11" t="s">
        <v>1048</v>
      </c>
      <c r="F111" s="11"/>
      <c r="G111" s="11"/>
      <c r="H111" s="22"/>
      <c r="I111" s="11" t="s">
        <v>394</v>
      </c>
      <c r="J111" s="22" t="s">
        <v>1049</v>
      </c>
      <c r="K111" s="21" t="s">
        <v>1050</v>
      </c>
    </row>
    <row r="112" customFormat="false" ht="15" hidden="false" customHeight="true" outlineLevel="0" collapsed="false">
      <c r="A112" s="30" t="s">
        <v>941</v>
      </c>
      <c r="B112" s="31" t="s">
        <v>1163</v>
      </c>
      <c r="C112" s="31"/>
      <c r="D112" s="31"/>
      <c r="E112" s="31"/>
      <c r="F112" s="31"/>
      <c r="G112" s="31"/>
      <c r="H112" s="31"/>
      <c r="I112" s="31"/>
      <c r="J112" s="31"/>
      <c r="K112" s="31"/>
    </row>
    <row r="113" customFormat="false" ht="15" hidden="false" customHeight="false" outlineLevel="0" collapsed="false">
      <c r="A113" s="22" t="s">
        <v>941</v>
      </c>
      <c r="B113" s="11" t="n">
        <v>1</v>
      </c>
      <c r="C113" s="22" t="s">
        <v>1003</v>
      </c>
      <c r="D113" s="21" t="s">
        <v>1164</v>
      </c>
      <c r="E113" s="11" t="s">
        <v>1005</v>
      </c>
      <c r="F113" s="11"/>
      <c r="G113" s="11" t="s">
        <v>394</v>
      </c>
      <c r="H113" s="22"/>
      <c r="I113" s="11" t="s">
        <v>394</v>
      </c>
      <c r="J113" s="21" t="s">
        <v>1006</v>
      </c>
      <c r="K113" s="22"/>
    </row>
    <row r="114" customFormat="false" ht="15" hidden="false" customHeight="false" outlineLevel="0" collapsed="false">
      <c r="A114" s="22" t="s">
        <v>941</v>
      </c>
      <c r="B114" s="11" t="n">
        <v>2</v>
      </c>
      <c r="C114" s="22" t="s">
        <v>1165</v>
      </c>
      <c r="D114" s="21" t="s">
        <v>387</v>
      </c>
      <c r="E114" s="11" t="s">
        <v>1009</v>
      </c>
      <c r="F114" s="11" t="s">
        <v>1010</v>
      </c>
      <c r="G114" s="11"/>
      <c r="H114" s="22"/>
      <c r="I114" s="11" t="s">
        <v>394</v>
      </c>
      <c r="J114" s="22"/>
      <c r="K114" s="22" t="s">
        <v>1166</v>
      </c>
    </row>
    <row r="115" customFormat="false" ht="15" hidden="false" customHeight="false" outlineLevel="0" collapsed="false">
      <c r="A115" s="22" t="s">
        <v>941</v>
      </c>
      <c r="B115" s="11" t="n">
        <v>3</v>
      </c>
      <c r="C115" s="22" t="s">
        <v>1056</v>
      </c>
      <c r="D115" s="21" t="s">
        <v>1004</v>
      </c>
      <c r="E115" s="11" t="s">
        <v>1005</v>
      </c>
      <c r="F115" s="11"/>
      <c r="G115" s="11"/>
      <c r="H115" s="22" t="s">
        <v>1058</v>
      </c>
      <c r="I115" s="11" t="s">
        <v>394</v>
      </c>
      <c r="J115" s="22"/>
      <c r="K115" s="22"/>
    </row>
    <row r="116" customFormat="false" ht="15" hidden="false" customHeight="false" outlineLevel="0" collapsed="false">
      <c r="A116" s="22" t="s">
        <v>941</v>
      </c>
      <c r="B116" s="11" t="n">
        <v>4</v>
      </c>
      <c r="C116" s="22" t="s">
        <v>1167</v>
      </c>
      <c r="D116" s="21" t="s">
        <v>1168</v>
      </c>
      <c r="E116" s="11" t="s">
        <v>1169</v>
      </c>
      <c r="F116" s="11"/>
      <c r="G116" s="11"/>
      <c r="H116" s="22"/>
      <c r="I116" s="11" t="s">
        <v>394</v>
      </c>
      <c r="J116" s="22"/>
      <c r="K116" s="22"/>
    </row>
    <row r="117" customFormat="false" ht="15" hidden="false" customHeight="false" outlineLevel="0" collapsed="false">
      <c r="A117" s="22" t="s">
        <v>941</v>
      </c>
      <c r="B117" s="11" t="n">
        <v>5</v>
      </c>
      <c r="C117" s="22" t="s">
        <v>1170</v>
      </c>
      <c r="D117" s="21" t="s">
        <v>1171</v>
      </c>
      <c r="E117" s="11" t="s">
        <v>1169</v>
      </c>
      <c r="F117" s="11"/>
      <c r="G117" s="11"/>
      <c r="H117" s="22"/>
      <c r="I117" s="11"/>
      <c r="J117" s="22"/>
      <c r="K117" s="22"/>
    </row>
    <row r="118" customFormat="false" ht="15" hidden="false" customHeight="false" outlineLevel="0" collapsed="false">
      <c r="A118" s="22" t="s">
        <v>941</v>
      </c>
      <c r="B118" s="11" t="n">
        <v>6</v>
      </c>
      <c r="C118" s="22" t="s">
        <v>1172</v>
      </c>
      <c r="D118" s="21" t="s">
        <v>1173</v>
      </c>
      <c r="E118" s="11" t="s">
        <v>1009</v>
      </c>
      <c r="F118" s="11" t="s">
        <v>1010</v>
      </c>
      <c r="G118" s="11"/>
      <c r="H118" s="22"/>
      <c r="I118" s="11" t="s">
        <v>394</v>
      </c>
      <c r="J118" s="22" t="s">
        <v>1174</v>
      </c>
      <c r="K118" s="21" t="s">
        <v>1175</v>
      </c>
    </row>
    <row r="119" customFormat="false" ht="15" hidden="false" customHeight="false" outlineLevel="0" collapsed="false">
      <c r="A119" s="22" t="s">
        <v>941</v>
      </c>
      <c r="B119" s="11" t="n">
        <v>7</v>
      </c>
      <c r="C119" s="22" t="s">
        <v>1176</v>
      </c>
      <c r="D119" s="21" t="s">
        <v>1177</v>
      </c>
      <c r="E119" s="11" t="s">
        <v>1005</v>
      </c>
      <c r="F119" s="11"/>
      <c r="G119" s="11"/>
      <c r="H119" s="22" t="s">
        <v>1042</v>
      </c>
      <c r="I119" s="11"/>
      <c r="J119" s="22"/>
      <c r="K119" s="22"/>
    </row>
    <row r="120" customFormat="false" ht="15" hidden="false" customHeight="false" outlineLevel="0" collapsed="false">
      <c r="A120" s="22" t="s">
        <v>941</v>
      </c>
      <c r="B120" s="11" t="n">
        <v>8</v>
      </c>
      <c r="C120" s="22" t="s">
        <v>1178</v>
      </c>
      <c r="D120" s="21" t="s">
        <v>1179</v>
      </c>
      <c r="E120" s="11" t="s">
        <v>1038</v>
      </c>
      <c r="F120" s="11"/>
      <c r="G120" s="11"/>
      <c r="H120" s="22"/>
      <c r="I120" s="11"/>
      <c r="J120" s="22"/>
      <c r="K120" s="22"/>
    </row>
    <row r="121" customFormat="false" ht="15" hidden="false" customHeight="false" outlineLevel="0" collapsed="false">
      <c r="A121" s="22" t="s">
        <v>941</v>
      </c>
      <c r="B121" s="11" t="n">
        <v>9</v>
      </c>
      <c r="C121" s="22" t="s">
        <v>1180</v>
      </c>
      <c r="D121" s="21" t="s">
        <v>1001</v>
      </c>
      <c r="E121" s="11" t="s">
        <v>1181</v>
      </c>
      <c r="F121" s="11"/>
      <c r="G121" s="11"/>
      <c r="H121" s="22"/>
      <c r="I121" s="11"/>
      <c r="J121" s="22"/>
      <c r="K121" s="22"/>
    </row>
    <row r="122" customFormat="false" ht="15" hidden="false" customHeight="false" outlineLevel="0" collapsed="false">
      <c r="A122" s="22" t="s">
        <v>941</v>
      </c>
      <c r="B122" s="11" t="n">
        <v>10</v>
      </c>
      <c r="C122" s="22" t="s">
        <v>1036</v>
      </c>
      <c r="D122" s="21" t="s">
        <v>1037</v>
      </c>
      <c r="E122" s="11" t="s">
        <v>1038</v>
      </c>
      <c r="F122" s="11"/>
      <c r="G122" s="11"/>
      <c r="H122" s="22"/>
      <c r="I122" s="11" t="s">
        <v>394</v>
      </c>
      <c r="J122" s="21" t="s">
        <v>1039</v>
      </c>
      <c r="K122" s="22"/>
    </row>
    <row r="123" customFormat="false" ht="15" hidden="false" customHeight="false" outlineLevel="0" collapsed="false">
      <c r="A123" s="22" t="s">
        <v>941</v>
      </c>
      <c r="B123" s="11" t="n">
        <v>11</v>
      </c>
      <c r="C123" s="22" t="s">
        <v>1040</v>
      </c>
      <c r="D123" s="21" t="s">
        <v>1041</v>
      </c>
      <c r="E123" s="11" t="s">
        <v>1005</v>
      </c>
      <c r="F123" s="11"/>
      <c r="G123" s="11"/>
      <c r="H123" s="22" t="s">
        <v>1042</v>
      </c>
      <c r="I123" s="11" t="s">
        <v>394</v>
      </c>
      <c r="J123" s="22"/>
      <c r="K123" s="22"/>
    </row>
    <row r="124" customFormat="false" ht="15" hidden="false" customHeight="false" outlineLevel="0" collapsed="false">
      <c r="A124" s="22" t="s">
        <v>941</v>
      </c>
      <c r="B124" s="11" t="n">
        <v>12</v>
      </c>
      <c r="C124" s="22" t="s">
        <v>1043</v>
      </c>
      <c r="D124" s="21" t="s">
        <v>1044</v>
      </c>
      <c r="E124" s="11" t="s">
        <v>1038</v>
      </c>
      <c r="F124" s="11"/>
      <c r="G124" s="11"/>
      <c r="H124" s="22"/>
      <c r="I124" s="11" t="s">
        <v>394</v>
      </c>
      <c r="J124" s="21" t="s">
        <v>1039</v>
      </c>
      <c r="K124" s="22"/>
    </row>
    <row r="125" customFormat="false" ht="15" hidden="false" customHeight="false" outlineLevel="0" collapsed="false">
      <c r="A125" s="22" t="s">
        <v>941</v>
      </c>
      <c r="B125" s="11" t="n">
        <v>13</v>
      </c>
      <c r="C125" s="22" t="s">
        <v>1045</v>
      </c>
      <c r="D125" s="21" t="s">
        <v>1046</v>
      </c>
      <c r="E125" s="11" t="s">
        <v>1005</v>
      </c>
      <c r="F125" s="11"/>
      <c r="G125" s="11"/>
      <c r="H125" s="22" t="s">
        <v>1042</v>
      </c>
      <c r="I125" s="11" t="s">
        <v>394</v>
      </c>
      <c r="J125" s="22"/>
      <c r="K125" s="22"/>
    </row>
    <row r="126" customFormat="false" ht="15" hidden="false" customHeight="false" outlineLevel="0" collapsed="false">
      <c r="A126" s="22" t="s">
        <v>941</v>
      </c>
      <c r="B126" s="11" t="n">
        <v>14</v>
      </c>
      <c r="C126" s="22" t="s">
        <v>1047</v>
      </c>
      <c r="D126" s="21" t="s">
        <v>2</v>
      </c>
      <c r="E126" s="11" t="s">
        <v>1048</v>
      </c>
      <c r="F126" s="11"/>
      <c r="G126" s="11"/>
      <c r="H126" s="22"/>
      <c r="I126" s="11" t="s">
        <v>394</v>
      </c>
      <c r="J126" s="22" t="s">
        <v>1049</v>
      </c>
      <c r="K126" s="21" t="s">
        <v>1050</v>
      </c>
    </row>
    <row r="127" customFormat="false" ht="15" hidden="false" customHeight="true" outlineLevel="0" collapsed="false">
      <c r="A127" s="30" t="s">
        <v>945</v>
      </c>
      <c r="B127" s="31" t="s">
        <v>1182</v>
      </c>
      <c r="C127" s="31"/>
      <c r="D127" s="31"/>
      <c r="E127" s="31"/>
      <c r="F127" s="31"/>
      <c r="G127" s="31"/>
      <c r="H127" s="31"/>
      <c r="I127" s="31"/>
      <c r="J127" s="31"/>
      <c r="K127" s="31"/>
    </row>
    <row r="128" customFormat="false" ht="15" hidden="false" customHeight="false" outlineLevel="0" collapsed="false">
      <c r="A128" s="22" t="s">
        <v>945</v>
      </c>
      <c r="B128" s="11" t="n">
        <v>1</v>
      </c>
      <c r="C128" s="22" t="s">
        <v>1003</v>
      </c>
      <c r="D128" s="21" t="s">
        <v>1183</v>
      </c>
      <c r="E128" s="11" t="s">
        <v>1005</v>
      </c>
      <c r="F128" s="11"/>
      <c r="G128" s="11" t="s">
        <v>394</v>
      </c>
      <c r="H128" s="22"/>
      <c r="I128" s="11" t="s">
        <v>394</v>
      </c>
      <c r="J128" s="21" t="s">
        <v>1006</v>
      </c>
      <c r="K128" s="22"/>
    </row>
    <row r="129" customFormat="false" ht="15" hidden="false" customHeight="false" outlineLevel="0" collapsed="false">
      <c r="A129" s="22" t="s">
        <v>945</v>
      </c>
      <c r="B129" s="11" t="n">
        <v>2</v>
      </c>
      <c r="C129" s="22" t="s">
        <v>1184</v>
      </c>
      <c r="D129" s="21" t="s">
        <v>1164</v>
      </c>
      <c r="E129" s="11" t="s">
        <v>1005</v>
      </c>
      <c r="F129" s="11"/>
      <c r="G129" s="11"/>
      <c r="H129" s="22" t="s">
        <v>1185</v>
      </c>
      <c r="I129" s="11" t="s">
        <v>394</v>
      </c>
      <c r="J129" s="22"/>
      <c r="K129" s="22"/>
    </row>
    <row r="130" customFormat="false" ht="15" hidden="false" customHeight="false" outlineLevel="0" collapsed="false">
      <c r="A130" s="22" t="s">
        <v>945</v>
      </c>
      <c r="B130" s="11" t="n">
        <v>3</v>
      </c>
      <c r="C130" s="22" t="s">
        <v>1186</v>
      </c>
      <c r="D130" s="21" t="s">
        <v>1187</v>
      </c>
      <c r="E130" s="11" t="s">
        <v>1048</v>
      </c>
      <c r="F130" s="11"/>
      <c r="G130" s="11"/>
      <c r="H130" s="22"/>
      <c r="I130" s="11" t="s">
        <v>394</v>
      </c>
      <c r="J130" s="22"/>
      <c r="K130" s="22"/>
    </row>
    <row r="131" customFormat="false" ht="15" hidden="false" customHeight="false" outlineLevel="0" collapsed="false">
      <c r="A131" s="22" t="s">
        <v>945</v>
      </c>
      <c r="B131" s="11" t="n">
        <v>4</v>
      </c>
      <c r="C131" s="22" t="s">
        <v>1188</v>
      </c>
      <c r="D131" s="21" t="s">
        <v>1052</v>
      </c>
      <c r="E131" s="11" t="s">
        <v>1005</v>
      </c>
      <c r="F131" s="11"/>
      <c r="G131" s="11"/>
      <c r="H131" s="22" t="s">
        <v>1189</v>
      </c>
      <c r="I131" s="11" t="s">
        <v>394</v>
      </c>
      <c r="J131" s="22"/>
      <c r="K131" s="22"/>
    </row>
    <row r="132" customFormat="false" ht="15" hidden="false" customHeight="false" outlineLevel="0" collapsed="false">
      <c r="A132" s="22" t="s">
        <v>945</v>
      </c>
      <c r="B132" s="11" t="n">
        <v>5</v>
      </c>
      <c r="C132" s="22" t="s">
        <v>1190</v>
      </c>
      <c r="D132" s="21" t="s">
        <v>1191</v>
      </c>
      <c r="E132" s="11" t="s">
        <v>1048</v>
      </c>
      <c r="F132" s="11"/>
      <c r="G132" s="11"/>
      <c r="H132" s="22"/>
      <c r="I132" s="11" t="s">
        <v>394</v>
      </c>
      <c r="J132" s="22"/>
      <c r="K132" s="22" t="s">
        <v>1192</v>
      </c>
    </row>
    <row r="133" customFormat="false" ht="15" hidden="false" customHeight="false" outlineLevel="0" collapsed="false">
      <c r="A133" s="22" t="s">
        <v>945</v>
      </c>
      <c r="B133" s="11" t="n">
        <v>6</v>
      </c>
      <c r="C133" s="22" t="s">
        <v>1193</v>
      </c>
      <c r="D133" s="21" t="s">
        <v>429</v>
      </c>
      <c r="E133" s="11" t="s">
        <v>1067</v>
      </c>
      <c r="F133" s="11" t="s">
        <v>430</v>
      </c>
      <c r="G133" s="11"/>
      <c r="H133" s="22"/>
      <c r="I133" s="11" t="s">
        <v>394</v>
      </c>
      <c r="J133" s="22"/>
      <c r="K133" s="21" t="s">
        <v>1094</v>
      </c>
    </row>
    <row r="134" customFormat="false" ht="15" hidden="false" customHeight="false" outlineLevel="0" collapsed="false">
      <c r="A134" s="22" t="s">
        <v>945</v>
      </c>
      <c r="B134" s="11" t="n">
        <v>7</v>
      </c>
      <c r="C134" s="22" t="s">
        <v>1194</v>
      </c>
      <c r="D134" s="21" t="s">
        <v>1195</v>
      </c>
      <c r="E134" s="11" t="s">
        <v>1048</v>
      </c>
      <c r="F134" s="11"/>
      <c r="G134" s="11"/>
      <c r="H134" s="22"/>
      <c r="I134" s="11" t="s">
        <v>394</v>
      </c>
      <c r="J134" s="22" t="s">
        <v>1097</v>
      </c>
      <c r="K134" s="21" t="s">
        <v>1196</v>
      </c>
    </row>
    <row r="135" customFormat="false" ht="15" hidden="false" customHeight="false" outlineLevel="0" collapsed="false">
      <c r="A135" s="22" t="s">
        <v>945</v>
      </c>
      <c r="B135" s="11" t="n">
        <v>8</v>
      </c>
      <c r="C135" s="22" t="s">
        <v>1036</v>
      </c>
      <c r="D135" s="21" t="s">
        <v>1037</v>
      </c>
      <c r="E135" s="11" t="s">
        <v>1038</v>
      </c>
      <c r="F135" s="11"/>
      <c r="G135" s="11"/>
      <c r="H135" s="22"/>
      <c r="I135" s="11" t="s">
        <v>394</v>
      </c>
      <c r="J135" s="21" t="s">
        <v>1039</v>
      </c>
      <c r="K135" s="22"/>
    </row>
    <row r="136" customFormat="false" ht="15" hidden="false" customHeight="false" outlineLevel="0" collapsed="false">
      <c r="A136" s="22" t="s">
        <v>945</v>
      </c>
      <c r="B136" s="11" t="n">
        <v>9</v>
      </c>
      <c r="C136" s="22" t="s">
        <v>1040</v>
      </c>
      <c r="D136" s="21" t="s">
        <v>1041</v>
      </c>
      <c r="E136" s="11" t="s">
        <v>1005</v>
      </c>
      <c r="F136" s="11"/>
      <c r="G136" s="11"/>
      <c r="H136" s="22" t="s">
        <v>1042</v>
      </c>
      <c r="I136" s="11" t="s">
        <v>394</v>
      </c>
      <c r="J136" s="22"/>
      <c r="K136" s="22"/>
    </row>
    <row r="137" customFormat="false" ht="15" hidden="false" customHeight="false" outlineLevel="0" collapsed="false">
      <c r="A137" s="22" t="s">
        <v>945</v>
      </c>
      <c r="B137" s="11" t="n">
        <v>10</v>
      </c>
      <c r="C137" s="22" t="s">
        <v>1043</v>
      </c>
      <c r="D137" s="21" t="s">
        <v>1044</v>
      </c>
      <c r="E137" s="11" t="s">
        <v>1038</v>
      </c>
      <c r="F137" s="11"/>
      <c r="G137" s="11"/>
      <c r="H137" s="22"/>
      <c r="I137" s="11" t="s">
        <v>394</v>
      </c>
      <c r="J137" s="21" t="s">
        <v>1039</v>
      </c>
      <c r="K137" s="22"/>
    </row>
    <row r="138" customFormat="false" ht="15" hidden="false" customHeight="false" outlineLevel="0" collapsed="false">
      <c r="A138" s="22" t="s">
        <v>945</v>
      </c>
      <c r="B138" s="11" t="n">
        <v>11</v>
      </c>
      <c r="C138" s="22" t="s">
        <v>1045</v>
      </c>
      <c r="D138" s="21" t="s">
        <v>1046</v>
      </c>
      <c r="E138" s="11" t="s">
        <v>1005</v>
      </c>
      <c r="F138" s="11"/>
      <c r="G138" s="11"/>
      <c r="H138" s="22" t="s">
        <v>1042</v>
      </c>
      <c r="I138" s="11" t="s">
        <v>394</v>
      </c>
      <c r="J138" s="22"/>
      <c r="K138" s="22"/>
    </row>
    <row r="139" customFormat="false" ht="15" hidden="false" customHeight="false" outlineLevel="0" collapsed="false">
      <c r="A139" s="22" t="s">
        <v>945</v>
      </c>
      <c r="B139" s="11" t="n">
        <v>12</v>
      </c>
      <c r="C139" s="22" t="s">
        <v>1047</v>
      </c>
      <c r="D139" s="21" t="s">
        <v>2</v>
      </c>
      <c r="E139" s="11" t="s">
        <v>1048</v>
      </c>
      <c r="F139" s="11"/>
      <c r="G139" s="11"/>
      <c r="H139" s="22"/>
      <c r="I139" s="11" t="s">
        <v>394</v>
      </c>
      <c r="J139" s="22" t="s">
        <v>1049</v>
      </c>
      <c r="K139" s="21" t="s">
        <v>1050</v>
      </c>
    </row>
    <row r="140" customFormat="false" ht="15" hidden="false" customHeight="true" outlineLevel="0" collapsed="false">
      <c r="A140" s="30" t="s">
        <v>947</v>
      </c>
      <c r="B140" s="31" t="s">
        <v>1197</v>
      </c>
      <c r="C140" s="31"/>
      <c r="D140" s="31"/>
      <c r="E140" s="31"/>
      <c r="F140" s="31"/>
      <c r="G140" s="31"/>
      <c r="H140" s="31"/>
      <c r="I140" s="31"/>
      <c r="J140" s="31"/>
      <c r="K140" s="31"/>
    </row>
    <row r="141" customFormat="false" ht="15" hidden="false" customHeight="false" outlineLevel="0" collapsed="false">
      <c r="A141" s="22" t="s">
        <v>947</v>
      </c>
      <c r="B141" s="11" t="n">
        <v>1</v>
      </c>
      <c r="C141" s="22" t="s">
        <v>1003</v>
      </c>
      <c r="D141" s="21" t="s">
        <v>1198</v>
      </c>
      <c r="E141" s="11" t="s">
        <v>1005</v>
      </c>
      <c r="F141" s="11"/>
      <c r="G141" s="11" t="s">
        <v>394</v>
      </c>
      <c r="H141" s="22"/>
      <c r="I141" s="11" t="s">
        <v>394</v>
      </c>
      <c r="J141" s="21" t="s">
        <v>1006</v>
      </c>
      <c r="K141" s="22"/>
    </row>
    <row r="142" customFormat="false" ht="15" hidden="false" customHeight="false" outlineLevel="0" collapsed="false">
      <c r="A142" s="22" t="s">
        <v>947</v>
      </c>
      <c r="B142" s="11" t="n">
        <v>2</v>
      </c>
      <c r="C142" s="22" t="s">
        <v>1199</v>
      </c>
      <c r="D142" s="21" t="s">
        <v>1200</v>
      </c>
      <c r="E142" s="11" t="s">
        <v>1009</v>
      </c>
      <c r="F142" s="11" t="s">
        <v>1010</v>
      </c>
      <c r="G142" s="11"/>
      <c r="H142" s="22"/>
      <c r="I142" s="11" t="s">
        <v>394</v>
      </c>
      <c r="J142" s="22"/>
      <c r="K142" s="22" t="s">
        <v>1201</v>
      </c>
    </row>
    <row r="143" customFormat="false" ht="15" hidden="false" customHeight="false" outlineLevel="0" collapsed="false">
      <c r="A143" s="22" t="s">
        <v>947</v>
      </c>
      <c r="B143" s="11" t="n">
        <v>3</v>
      </c>
      <c r="C143" s="22" t="s">
        <v>1056</v>
      </c>
      <c r="D143" s="21" t="s">
        <v>1004</v>
      </c>
      <c r="E143" s="11" t="s">
        <v>1005</v>
      </c>
      <c r="F143" s="11"/>
      <c r="G143" s="11"/>
      <c r="H143" s="22" t="s">
        <v>1058</v>
      </c>
      <c r="I143" s="11" t="s">
        <v>394</v>
      </c>
      <c r="J143" s="22"/>
      <c r="K143" s="22"/>
    </row>
    <row r="144" customFormat="false" ht="15" hidden="false" customHeight="false" outlineLevel="0" collapsed="false">
      <c r="A144" s="22" t="s">
        <v>947</v>
      </c>
      <c r="B144" s="11" t="n">
        <v>4</v>
      </c>
      <c r="C144" s="22" t="s">
        <v>1184</v>
      </c>
      <c r="D144" s="21" t="s">
        <v>1164</v>
      </c>
      <c r="E144" s="11" t="s">
        <v>1005</v>
      </c>
      <c r="F144" s="11"/>
      <c r="G144" s="11"/>
      <c r="H144" s="22" t="s">
        <v>1185</v>
      </c>
      <c r="I144" s="11"/>
      <c r="J144" s="22"/>
      <c r="K144" s="21" t="s">
        <v>1202</v>
      </c>
    </row>
    <row r="145" customFormat="false" ht="15" hidden="false" customHeight="false" outlineLevel="0" collapsed="false">
      <c r="A145" s="22" t="s">
        <v>947</v>
      </c>
      <c r="B145" s="11" t="n">
        <v>5</v>
      </c>
      <c r="C145" s="22" t="s">
        <v>1203</v>
      </c>
      <c r="D145" s="21" t="s">
        <v>398</v>
      </c>
      <c r="E145" s="11" t="s">
        <v>1169</v>
      </c>
      <c r="F145" s="11"/>
      <c r="G145" s="11"/>
      <c r="H145" s="22"/>
      <c r="I145" s="11" t="s">
        <v>394</v>
      </c>
      <c r="J145" s="22"/>
      <c r="K145" s="22"/>
    </row>
    <row r="146" customFormat="false" ht="15" hidden="false" customHeight="false" outlineLevel="0" collapsed="false">
      <c r="A146" s="22" t="s">
        <v>947</v>
      </c>
      <c r="B146" s="11" t="n">
        <v>6</v>
      </c>
      <c r="C146" s="22" t="s">
        <v>1204</v>
      </c>
      <c r="D146" s="21" t="s">
        <v>403</v>
      </c>
      <c r="E146" s="11" t="s">
        <v>1067</v>
      </c>
      <c r="F146" s="11" t="s">
        <v>405</v>
      </c>
      <c r="G146" s="11"/>
      <c r="H146" s="22"/>
      <c r="I146" s="11"/>
      <c r="J146" s="22"/>
      <c r="K146" s="21" t="s">
        <v>1205</v>
      </c>
    </row>
    <row r="147" customFormat="false" ht="15" hidden="false" customHeight="false" outlineLevel="0" collapsed="false">
      <c r="A147" s="22" t="s">
        <v>947</v>
      </c>
      <c r="B147" s="11" t="n">
        <v>7</v>
      </c>
      <c r="C147" s="22" t="s">
        <v>1172</v>
      </c>
      <c r="D147" s="21" t="s">
        <v>1173</v>
      </c>
      <c r="E147" s="11" t="s">
        <v>1009</v>
      </c>
      <c r="F147" s="11" t="s">
        <v>1010</v>
      </c>
      <c r="G147" s="11"/>
      <c r="H147" s="22"/>
      <c r="I147" s="11" t="s">
        <v>394</v>
      </c>
      <c r="J147" s="22" t="s">
        <v>1174</v>
      </c>
      <c r="K147" s="22" t="s">
        <v>1206</v>
      </c>
    </row>
    <row r="148" customFormat="false" ht="15" hidden="false" customHeight="false" outlineLevel="0" collapsed="false">
      <c r="A148" s="22" t="s">
        <v>947</v>
      </c>
      <c r="B148" s="11" t="n">
        <v>8</v>
      </c>
      <c r="C148" s="22" t="s">
        <v>1180</v>
      </c>
      <c r="D148" s="21" t="s">
        <v>1001</v>
      </c>
      <c r="E148" s="11" t="s">
        <v>1181</v>
      </c>
      <c r="F148" s="11"/>
      <c r="G148" s="11"/>
      <c r="H148" s="22"/>
      <c r="I148" s="11"/>
      <c r="J148" s="22"/>
      <c r="K148" s="22"/>
    </row>
    <row r="149" customFormat="false" ht="15" hidden="false" customHeight="false" outlineLevel="0" collapsed="false">
      <c r="A149" s="22" t="s">
        <v>947</v>
      </c>
      <c r="B149" s="11" t="n">
        <v>9</v>
      </c>
      <c r="C149" s="22" t="s">
        <v>1036</v>
      </c>
      <c r="D149" s="21" t="s">
        <v>1037</v>
      </c>
      <c r="E149" s="11" t="s">
        <v>1038</v>
      </c>
      <c r="F149" s="11"/>
      <c r="G149" s="11"/>
      <c r="H149" s="22"/>
      <c r="I149" s="11" t="s">
        <v>394</v>
      </c>
      <c r="J149" s="21" t="s">
        <v>1039</v>
      </c>
      <c r="K149" s="22"/>
    </row>
    <row r="150" customFormat="false" ht="15" hidden="false" customHeight="false" outlineLevel="0" collapsed="false">
      <c r="A150" s="22" t="s">
        <v>947</v>
      </c>
      <c r="B150" s="11" t="n">
        <v>10</v>
      </c>
      <c r="C150" s="22" t="s">
        <v>1040</v>
      </c>
      <c r="D150" s="21" t="s">
        <v>1041</v>
      </c>
      <c r="E150" s="11" t="s">
        <v>1005</v>
      </c>
      <c r="F150" s="11"/>
      <c r="G150" s="11"/>
      <c r="H150" s="22" t="s">
        <v>1042</v>
      </c>
      <c r="I150" s="11" t="s">
        <v>394</v>
      </c>
      <c r="J150" s="22"/>
      <c r="K150" s="22"/>
    </row>
    <row r="151" customFormat="false" ht="15" hidden="false" customHeight="false" outlineLevel="0" collapsed="false">
      <c r="A151" s="22" t="s">
        <v>947</v>
      </c>
      <c r="B151" s="11" t="n">
        <v>11</v>
      </c>
      <c r="C151" s="22" t="s">
        <v>1043</v>
      </c>
      <c r="D151" s="21" t="s">
        <v>1044</v>
      </c>
      <c r="E151" s="11" t="s">
        <v>1038</v>
      </c>
      <c r="F151" s="11"/>
      <c r="G151" s="11"/>
      <c r="H151" s="22"/>
      <c r="I151" s="11" t="s">
        <v>394</v>
      </c>
      <c r="J151" s="21" t="s">
        <v>1039</v>
      </c>
      <c r="K151" s="22"/>
    </row>
    <row r="152" customFormat="false" ht="15" hidden="false" customHeight="false" outlineLevel="0" collapsed="false">
      <c r="A152" s="22" t="s">
        <v>947</v>
      </c>
      <c r="B152" s="11" t="n">
        <v>12</v>
      </c>
      <c r="C152" s="22" t="s">
        <v>1045</v>
      </c>
      <c r="D152" s="21" t="s">
        <v>1046</v>
      </c>
      <c r="E152" s="11" t="s">
        <v>1005</v>
      </c>
      <c r="F152" s="11"/>
      <c r="G152" s="11"/>
      <c r="H152" s="22" t="s">
        <v>1042</v>
      </c>
      <c r="I152" s="11" t="s">
        <v>394</v>
      </c>
      <c r="J152" s="22"/>
      <c r="K152" s="22"/>
    </row>
    <row r="153" customFormat="false" ht="15" hidden="false" customHeight="false" outlineLevel="0" collapsed="false">
      <c r="A153" s="22" t="s">
        <v>947</v>
      </c>
      <c r="B153" s="11" t="n">
        <v>13</v>
      </c>
      <c r="C153" s="22" t="s">
        <v>1047</v>
      </c>
      <c r="D153" s="21" t="s">
        <v>2</v>
      </c>
      <c r="E153" s="11" t="s">
        <v>1048</v>
      </c>
      <c r="F153" s="11"/>
      <c r="G153" s="11"/>
      <c r="H153" s="22"/>
      <c r="I153" s="11" t="s">
        <v>394</v>
      </c>
      <c r="J153" s="22" t="s">
        <v>1049</v>
      </c>
      <c r="K153" s="21" t="s">
        <v>1050</v>
      </c>
    </row>
    <row r="154" customFormat="false" ht="15" hidden="false" customHeight="true" outlineLevel="0" collapsed="false">
      <c r="A154" s="30" t="s">
        <v>951</v>
      </c>
      <c r="B154" s="31" t="s">
        <v>1207</v>
      </c>
      <c r="C154" s="31"/>
      <c r="D154" s="31"/>
      <c r="E154" s="31"/>
      <c r="F154" s="31"/>
      <c r="G154" s="31"/>
      <c r="H154" s="31"/>
      <c r="I154" s="31"/>
      <c r="J154" s="31"/>
      <c r="K154" s="31"/>
    </row>
    <row r="155" customFormat="false" ht="15" hidden="false" customHeight="false" outlineLevel="0" collapsed="false">
      <c r="A155" s="22" t="s">
        <v>951</v>
      </c>
      <c r="B155" s="11" t="n">
        <v>1</v>
      </c>
      <c r="C155" s="22" t="s">
        <v>1003</v>
      </c>
      <c r="D155" s="21" t="s">
        <v>1208</v>
      </c>
      <c r="E155" s="11" t="s">
        <v>1005</v>
      </c>
      <c r="F155" s="11"/>
      <c r="G155" s="11" t="s">
        <v>394</v>
      </c>
      <c r="H155" s="22"/>
      <c r="I155" s="11" t="s">
        <v>394</v>
      </c>
      <c r="J155" s="21" t="s">
        <v>1006</v>
      </c>
      <c r="K155" s="22"/>
    </row>
    <row r="156" customFormat="false" ht="15" hidden="false" customHeight="false" outlineLevel="0" collapsed="false">
      <c r="A156" s="22" t="s">
        <v>951</v>
      </c>
      <c r="B156" s="11" t="n">
        <v>2</v>
      </c>
      <c r="C156" s="22" t="s">
        <v>1209</v>
      </c>
      <c r="D156" s="21" t="s">
        <v>1198</v>
      </c>
      <c r="E156" s="11" t="s">
        <v>1005</v>
      </c>
      <c r="F156" s="11"/>
      <c r="G156" s="11"/>
      <c r="H156" s="22" t="s">
        <v>1210</v>
      </c>
      <c r="I156" s="11" t="s">
        <v>394</v>
      </c>
      <c r="J156" s="22"/>
      <c r="K156" s="22"/>
    </row>
    <row r="157" customFormat="false" ht="15" hidden="false" customHeight="false" outlineLevel="0" collapsed="false">
      <c r="A157" s="22" t="s">
        <v>951</v>
      </c>
      <c r="B157" s="11" t="n">
        <v>3</v>
      </c>
      <c r="C157" s="22" t="s">
        <v>1211</v>
      </c>
      <c r="D157" s="21" t="s">
        <v>1183</v>
      </c>
      <c r="E157" s="11" t="s">
        <v>1005</v>
      </c>
      <c r="F157" s="11"/>
      <c r="G157" s="11"/>
      <c r="H157" s="22" t="s">
        <v>1212</v>
      </c>
      <c r="I157" s="11"/>
      <c r="J157" s="22"/>
      <c r="K157" s="22"/>
    </row>
    <row r="158" customFormat="false" ht="15" hidden="false" customHeight="false" outlineLevel="0" collapsed="false">
      <c r="A158" s="22" t="s">
        <v>951</v>
      </c>
      <c r="B158" s="11" t="n">
        <v>4</v>
      </c>
      <c r="C158" s="22" t="s">
        <v>1188</v>
      </c>
      <c r="D158" s="21" t="s">
        <v>1052</v>
      </c>
      <c r="E158" s="11" t="s">
        <v>1005</v>
      </c>
      <c r="F158" s="11"/>
      <c r="G158" s="11"/>
      <c r="H158" s="22" t="s">
        <v>1189</v>
      </c>
      <c r="I158" s="11" t="s">
        <v>394</v>
      </c>
      <c r="J158" s="22"/>
      <c r="K158" s="22"/>
    </row>
    <row r="159" customFormat="false" ht="15" hidden="false" customHeight="false" outlineLevel="0" collapsed="false">
      <c r="A159" s="22" t="s">
        <v>951</v>
      </c>
      <c r="B159" s="11" t="n">
        <v>5</v>
      </c>
      <c r="C159" s="22" t="s">
        <v>1213</v>
      </c>
      <c r="D159" s="21" t="s">
        <v>1214</v>
      </c>
      <c r="E159" s="11" t="s">
        <v>1005</v>
      </c>
      <c r="F159" s="11"/>
      <c r="G159" s="11"/>
      <c r="H159" s="22" t="s">
        <v>1215</v>
      </c>
      <c r="I159" s="11" t="s">
        <v>394</v>
      </c>
      <c r="J159" s="22"/>
      <c r="K159" s="21" t="s">
        <v>1216</v>
      </c>
    </row>
    <row r="160" customFormat="false" ht="15" hidden="false" customHeight="false" outlineLevel="0" collapsed="false">
      <c r="A160" s="22" t="s">
        <v>951</v>
      </c>
      <c r="B160" s="11" t="n">
        <v>6</v>
      </c>
      <c r="C160" s="22" t="s">
        <v>1217</v>
      </c>
      <c r="D160" s="21" t="s">
        <v>1218</v>
      </c>
      <c r="E160" s="11" t="s">
        <v>1005</v>
      </c>
      <c r="F160" s="11"/>
      <c r="G160" s="11"/>
      <c r="H160" s="22" t="s">
        <v>1219</v>
      </c>
      <c r="I160" s="11" t="s">
        <v>394</v>
      </c>
      <c r="J160" s="22"/>
      <c r="K160" s="22"/>
    </row>
    <row r="161" customFormat="false" ht="15" hidden="false" customHeight="false" outlineLevel="0" collapsed="false">
      <c r="A161" s="22" t="s">
        <v>951</v>
      </c>
      <c r="B161" s="11" t="n">
        <v>7</v>
      </c>
      <c r="C161" s="22" t="s">
        <v>1190</v>
      </c>
      <c r="D161" s="21" t="s">
        <v>424</v>
      </c>
      <c r="E161" s="11" t="s">
        <v>1048</v>
      </c>
      <c r="F161" s="11"/>
      <c r="G161" s="11"/>
      <c r="H161" s="22"/>
      <c r="I161" s="11" t="s">
        <v>394</v>
      </c>
      <c r="J161" s="22"/>
      <c r="K161" s="22" t="s">
        <v>1192</v>
      </c>
    </row>
    <row r="162" customFormat="false" ht="15" hidden="false" customHeight="false" outlineLevel="0" collapsed="false">
      <c r="A162" s="22" t="s">
        <v>951</v>
      </c>
      <c r="B162" s="11" t="n">
        <v>8</v>
      </c>
      <c r="C162" s="22" t="s">
        <v>1193</v>
      </c>
      <c r="D162" s="21" t="s">
        <v>429</v>
      </c>
      <c r="E162" s="11" t="s">
        <v>1067</v>
      </c>
      <c r="F162" s="11" t="s">
        <v>430</v>
      </c>
      <c r="G162" s="11"/>
      <c r="H162" s="22"/>
      <c r="I162" s="11" t="s">
        <v>394</v>
      </c>
      <c r="J162" s="22"/>
      <c r="K162" s="21" t="s">
        <v>1094</v>
      </c>
    </row>
    <row r="163" customFormat="false" ht="15" hidden="false" customHeight="false" outlineLevel="0" collapsed="false">
      <c r="A163" s="22" t="s">
        <v>951</v>
      </c>
      <c r="B163" s="11" t="n">
        <v>9</v>
      </c>
      <c r="C163" s="22" t="s">
        <v>1036</v>
      </c>
      <c r="D163" s="21" t="s">
        <v>1037</v>
      </c>
      <c r="E163" s="11" t="s">
        <v>1038</v>
      </c>
      <c r="F163" s="11"/>
      <c r="G163" s="11"/>
      <c r="H163" s="22"/>
      <c r="I163" s="11" t="s">
        <v>394</v>
      </c>
      <c r="J163" s="21" t="s">
        <v>1039</v>
      </c>
      <c r="K163" s="22"/>
    </row>
    <row r="164" customFormat="false" ht="15" hidden="false" customHeight="false" outlineLevel="0" collapsed="false">
      <c r="A164" s="22" t="s">
        <v>951</v>
      </c>
      <c r="B164" s="11" t="n">
        <v>10</v>
      </c>
      <c r="C164" s="22" t="s">
        <v>1040</v>
      </c>
      <c r="D164" s="21" t="s">
        <v>1041</v>
      </c>
      <c r="E164" s="11" t="s">
        <v>1005</v>
      </c>
      <c r="F164" s="11"/>
      <c r="G164" s="11"/>
      <c r="H164" s="22" t="s">
        <v>1042</v>
      </c>
      <c r="I164" s="11" t="s">
        <v>394</v>
      </c>
      <c r="J164" s="22"/>
      <c r="K164" s="22"/>
    </row>
    <row r="165" customFormat="false" ht="15" hidden="false" customHeight="false" outlineLevel="0" collapsed="false">
      <c r="A165" s="22" t="s">
        <v>951</v>
      </c>
      <c r="B165" s="11" t="n">
        <v>11</v>
      </c>
      <c r="C165" s="22" t="s">
        <v>1043</v>
      </c>
      <c r="D165" s="21" t="s">
        <v>1044</v>
      </c>
      <c r="E165" s="11" t="s">
        <v>1038</v>
      </c>
      <c r="F165" s="11"/>
      <c r="G165" s="11"/>
      <c r="H165" s="22"/>
      <c r="I165" s="11" t="s">
        <v>394</v>
      </c>
      <c r="J165" s="21" t="s">
        <v>1039</v>
      </c>
      <c r="K165" s="22"/>
    </row>
    <row r="166" customFormat="false" ht="15" hidden="false" customHeight="false" outlineLevel="0" collapsed="false">
      <c r="A166" s="22" t="s">
        <v>951</v>
      </c>
      <c r="B166" s="11" t="n">
        <v>12</v>
      </c>
      <c r="C166" s="22" t="s">
        <v>1045</v>
      </c>
      <c r="D166" s="21" t="s">
        <v>1046</v>
      </c>
      <c r="E166" s="11" t="s">
        <v>1005</v>
      </c>
      <c r="F166" s="11"/>
      <c r="G166" s="11"/>
      <c r="H166" s="22" t="s">
        <v>1042</v>
      </c>
      <c r="I166" s="11" t="s">
        <v>394</v>
      </c>
      <c r="J166" s="22"/>
      <c r="K166" s="22"/>
    </row>
    <row r="167" customFormat="false" ht="15" hidden="false" customHeight="false" outlineLevel="0" collapsed="false">
      <c r="A167" s="22" t="s">
        <v>951</v>
      </c>
      <c r="B167" s="11" t="n">
        <v>13</v>
      </c>
      <c r="C167" s="22" t="s">
        <v>1047</v>
      </c>
      <c r="D167" s="21" t="s">
        <v>2</v>
      </c>
      <c r="E167" s="11" t="s">
        <v>1048</v>
      </c>
      <c r="F167" s="11"/>
      <c r="G167" s="11"/>
      <c r="H167" s="22"/>
      <c r="I167" s="11" t="s">
        <v>394</v>
      </c>
      <c r="J167" s="22" t="s">
        <v>1049</v>
      </c>
      <c r="K167" s="21" t="s">
        <v>1050</v>
      </c>
    </row>
    <row r="168" customFormat="false" ht="15" hidden="false" customHeight="true" outlineLevel="0" collapsed="false">
      <c r="A168" s="30" t="s">
        <v>955</v>
      </c>
      <c r="B168" s="31" t="s">
        <v>1220</v>
      </c>
      <c r="C168" s="31"/>
      <c r="D168" s="31"/>
      <c r="E168" s="31"/>
      <c r="F168" s="31"/>
      <c r="G168" s="31"/>
      <c r="H168" s="31"/>
      <c r="I168" s="31"/>
      <c r="J168" s="31"/>
      <c r="K168" s="31"/>
    </row>
    <row r="169" customFormat="false" ht="15" hidden="false" customHeight="false" outlineLevel="0" collapsed="false">
      <c r="A169" s="22" t="s">
        <v>955</v>
      </c>
      <c r="B169" s="11" t="n">
        <v>1</v>
      </c>
      <c r="C169" s="22" t="s">
        <v>1003</v>
      </c>
      <c r="D169" s="21" t="s">
        <v>1214</v>
      </c>
      <c r="E169" s="11" t="s">
        <v>1005</v>
      </c>
      <c r="F169" s="11"/>
      <c r="G169" s="11" t="s">
        <v>394</v>
      </c>
      <c r="H169" s="22"/>
      <c r="I169" s="11" t="s">
        <v>394</v>
      </c>
      <c r="J169" s="21" t="s">
        <v>1006</v>
      </c>
      <c r="K169" s="22"/>
    </row>
    <row r="170" customFormat="false" ht="15" hidden="false" customHeight="false" outlineLevel="0" collapsed="false">
      <c r="A170" s="22" t="s">
        <v>955</v>
      </c>
      <c r="B170" s="11" t="n">
        <v>2</v>
      </c>
      <c r="C170" s="22" t="s">
        <v>1221</v>
      </c>
      <c r="D170" s="21" t="s">
        <v>437</v>
      </c>
      <c r="E170" s="11" t="s">
        <v>1009</v>
      </c>
      <c r="F170" s="11" t="s">
        <v>534</v>
      </c>
      <c r="G170" s="11"/>
      <c r="H170" s="22"/>
      <c r="I170" s="11" t="s">
        <v>394</v>
      </c>
      <c r="J170" s="22"/>
      <c r="K170" s="21" t="s">
        <v>1222</v>
      </c>
    </row>
    <row r="171" customFormat="false" ht="15" hidden="false" customHeight="false" outlineLevel="0" collapsed="false">
      <c r="A171" s="22" t="s">
        <v>955</v>
      </c>
      <c r="B171" s="11" t="n">
        <v>3</v>
      </c>
      <c r="C171" s="22" t="s">
        <v>1188</v>
      </c>
      <c r="D171" s="21" t="s">
        <v>1052</v>
      </c>
      <c r="E171" s="11" t="s">
        <v>1005</v>
      </c>
      <c r="F171" s="11"/>
      <c r="G171" s="11"/>
      <c r="H171" s="22" t="s">
        <v>1189</v>
      </c>
      <c r="I171" s="11" t="s">
        <v>394</v>
      </c>
      <c r="J171" s="22"/>
      <c r="K171" s="22"/>
    </row>
    <row r="172" customFormat="false" ht="15" hidden="false" customHeight="false" outlineLevel="0" collapsed="false">
      <c r="A172" s="22" t="s">
        <v>955</v>
      </c>
      <c r="B172" s="11" t="n">
        <v>4</v>
      </c>
      <c r="C172" s="22" t="s">
        <v>1056</v>
      </c>
      <c r="D172" s="21" t="s">
        <v>1004</v>
      </c>
      <c r="E172" s="11" t="s">
        <v>1005</v>
      </c>
      <c r="F172" s="11"/>
      <c r="G172" s="11"/>
      <c r="H172" s="22" t="s">
        <v>1058</v>
      </c>
      <c r="I172" s="11" t="s">
        <v>394</v>
      </c>
      <c r="J172" s="22"/>
      <c r="K172" s="22"/>
    </row>
    <row r="173" customFormat="false" ht="15" hidden="false" customHeight="false" outlineLevel="0" collapsed="false">
      <c r="A173" s="22" t="s">
        <v>955</v>
      </c>
      <c r="B173" s="11" t="n">
        <v>5</v>
      </c>
      <c r="C173" s="22" t="s">
        <v>1223</v>
      </c>
      <c r="D173" s="21" t="s">
        <v>412</v>
      </c>
      <c r="E173" s="11" t="s">
        <v>1009</v>
      </c>
      <c r="F173" s="11" t="s">
        <v>414</v>
      </c>
      <c r="G173" s="11"/>
      <c r="H173" s="22"/>
      <c r="I173" s="11" t="s">
        <v>394</v>
      </c>
      <c r="J173" s="22"/>
      <c r="K173" s="22" t="s">
        <v>1224</v>
      </c>
    </row>
    <row r="174" customFormat="false" ht="15" hidden="false" customHeight="false" outlineLevel="0" collapsed="false">
      <c r="A174" s="22" t="s">
        <v>955</v>
      </c>
      <c r="B174" s="11" t="n">
        <v>6</v>
      </c>
      <c r="C174" s="22" t="s">
        <v>1225</v>
      </c>
      <c r="D174" s="21" t="s">
        <v>417</v>
      </c>
      <c r="E174" s="11" t="s">
        <v>1169</v>
      </c>
      <c r="F174" s="11"/>
      <c r="G174" s="11"/>
      <c r="H174" s="22"/>
      <c r="I174" s="11"/>
      <c r="J174" s="22"/>
      <c r="K174" s="22"/>
    </row>
    <row r="175" customFormat="false" ht="15" hidden="false" customHeight="false" outlineLevel="0" collapsed="false">
      <c r="A175" s="22" t="s">
        <v>955</v>
      </c>
      <c r="B175" s="11" t="n">
        <v>7</v>
      </c>
      <c r="C175" s="22" t="s">
        <v>1226</v>
      </c>
      <c r="D175" s="21" t="s">
        <v>420</v>
      </c>
      <c r="E175" s="11" t="s">
        <v>1169</v>
      </c>
      <c r="F175" s="11"/>
      <c r="G175" s="11"/>
      <c r="H175" s="22"/>
      <c r="I175" s="11" t="s">
        <v>394</v>
      </c>
      <c r="J175" s="22"/>
      <c r="K175" s="21" t="s">
        <v>1227</v>
      </c>
    </row>
    <row r="176" customFormat="false" ht="15" hidden="false" customHeight="false" outlineLevel="0" collapsed="false">
      <c r="A176" s="22" t="s">
        <v>955</v>
      </c>
      <c r="B176" s="11" t="n">
        <v>8</v>
      </c>
      <c r="C176" s="22" t="s">
        <v>1228</v>
      </c>
      <c r="D176" s="21" t="s">
        <v>455</v>
      </c>
      <c r="E176" s="11" t="s">
        <v>1067</v>
      </c>
      <c r="F176" s="11" t="s">
        <v>456</v>
      </c>
      <c r="G176" s="11"/>
      <c r="H176" s="22"/>
      <c r="I176" s="11"/>
      <c r="J176" s="22"/>
      <c r="K176" s="22" t="s">
        <v>1229</v>
      </c>
    </row>
    <row r="177" customFormat="false" ht="15" hidden="false" customHeight="false" outlineLevel="0" collapsed="false">
      <c r="A177" s="22" t="s">
        <v>955</v>
      </c>
      <c r="B177" s="11" t="n">
        <v>9</v>
      </c>
      <c r="C177" s="22" t="s">
        <v>1172</v>
      </c>
      <c r="D177" s="21" t="s">
        <v>1230</v>
      </c>
      <c r="E177" s="11" t="s">
        <v>1009</v>
      </c>
      <c r="F177" s="11" t="s">
        <v>1010</v>
      </c>
      <c r="G177" s="11"/>
      <c r="H177" s="22"/>
      <c r="I177" s="11" t="s">
        <v>394</v>
      </c>
      <c r="J177" s="22" t="s">
        <v>1231</v>
      </c>
      <c r="K177" s="21" t="s">
        <v>1175</v>
      </c>
    </row>
    <row r="178" customFormat="false" ht="15" hidden="false" customHeight="false" outlineLevel="0" collapsed="false">
      <c r="A178" s="22" t="s">
        <v>955</v>
      </c>
      <c r="B178" s="11" t="n">
        <v>10</v>
      </c>
      <c r="C178" s="22" t="s">
        <v>1232</v>
      </c>
      <c r="D178" s="21" t="s">
        <v>1233</v>
      </c>
      <c r="E178" s="11" t="s">
        <v>1181</v>
      </c>
      <c r="F178" s="11"/>
      <c r="G178" s="11"/>
      <c r="H178" s="22"/>
      <c r="I178" s="11"/>
      <c r="J178" s="22"/>
      <c r="K178" s="22" t="s">
        <v>1234</v>
      </c>
    </row>
    <row r="179" customFormat="false" ht="15" hidden="false" customHeight="false" outlineLevel="0" collapsed="false">
      <c r="A179" s="22" t="s">
        <v>955</v>
      </c>
      <c r="B179" s="11" t="n">
        <v>11</v>
      </c>
      <c r="C179" s="22" t="s">
        <v>1235</v>
      </c>
      <c r="D179" s="21" t="s">
        <v>1236</v>
      </c>
      <c r="E179" s="11" t="s">
        <v>1005</v>
      </c>
      <c r="F179" s="11"/>
      <c r="G179" s="11"/>
      <c r="H179" s="22" t="s">
        <v>1042</v>
      </c>
      <c r="I179" s="11"/>
      <c r="J179" s="22"/>
      <c r="K179" s="22"/>
    </row>
    <row r="180" customFormat="false" ht="15" hidden="false" customHeight="false" outlineLevel="0" collapsed="false">
      <c r="A180" s="22" t="s">
        <v>955</v>
      </c>
      <c r="B180" s="11" t="n">
        <v>12</v>
      </c>
      <c r="C180" s="22" t="s">
        <v>1237</v>
      </c>
      <c r="D180" s="21" t="s">
        <v>1238</v>
      </c>
      <c r="E180" s="11" t="s">
        <v>1038</v>
      </c>
      <c r="F180" s="11"/>
      <c r="G180" s="11"/>
      <c r="H180" s="22"/>
      <c r="I180" s="11"/>
      <c r="J180" s="22"/>
      <c r="K180" s="22"/>
    </row>
    <row r="181" customFormat="false" ht="15" hidden="false" customHeight="false" outlineLevel="0" collapsed="false">
      <c r="A181" s="22" t="s">
        <v>955</v>
      </c>
      <c r="B181" s="11" t="n">
        <v>13</v>
      </c>
      <c r="C181" s="22" t="s">
        <v>1036</v>
      </c>
      <c r="D181" s="21" t="s">
        <v>1037</v>
      </c>
      <c r="E181" s="11" t="s">
        <v>1038</v>
      </c>
      <c r="F181" s="11"/>
      <c r="G181" s="11"/>
      <c r="H181" s="22"/>
      <c r="I181" s="11" t="s">
        <v>394</v>
      </c>
      <c r="J181" s="21" t="s">
        <v>1039</v>
      </c>
      <c r="K181" s="22"/>
    </row>
    <row r="182" customFormat="false" ht="15" hidden="false" customHeight="false" outlineLevel="0" collapsed="false">
      <c r="A182" s="22" t="s">
        <v>955</v>
      </c>
      <c r="B182" s="11" t="n">
        <v>14</v>
      </c>
      <c r="C182" s="22" t="s">
        <v>1040</v>
      </c>
      <c r="D182" s="21" t="s">
        <v>1041</v>
      </c>
      <c r="E182" s="11" t="s">
        <v>1005</v>
      </c>
      <c r="F182" s="11"/>
      <c r="G182" s="11"/>
      <c r="H182" s="22" t="s">
        <v>1042</v>
      </c>
      <c r="I182" s="11" t="s">
        <v>394</v>
      </c>
      <c r="J182" s="22"/>
      <c r="K182" s="22"/>
    </row>
    <row r="183" customFormat="false" ht="15" hidden="false" customHeight="false" outlineLevel="0" collapsed="false">
      <c r="A183" s="22" t="s">
        <v>955</v>
      </c>
      <c r="B183" s="11" t="n">
        <v>15</v>
      </c>
      <c r="C183" s="22" t="s">
        <v>1043</v>
      </c>
      <c r="D183" s="21" t="s">
        <v>1044</v>
      </c>
      <c r="E183" s="11" t="s">
        <v>1038</v>
      </c>
      <c r="F183" s="11"/>
      <c r="G183" s="11"/>
      <c r="H183" s="22"/>
      <c r="I183" s="11" t="s">
        <v>394</v>
      </c>
      <c r="J183" s="21" t="s">
        <v>1039</v>
      </c>
      <c r="K183" s="22"/>
    </row>
    <row r="184" customFormat="false" ht="15" hidden="false" customHeight="false" outlineLevel="0" collapsed="false">
      <c r="A184" s="22" t="s">
        <v>955</v>
      </c>
      <c r="B184" s="11" t="n">
        <v>16</v>
      </c>
      <c r="C184" s="22" t="s">
        <v>1045</v>
      </c>
      <c r="D184" s="21" t="s">
        <v>1046</v>
      </c>
      <c r="E184" s="11" t="s">
        <v>1005</v>
      </c>
      <c r="F184" s="11"/>
      <c r="G184" s="11"/>
      <c r="H184" s="22" t="s">
        <v>1042</v>
      </c>
      <c r="I184" s="11" t="s">
        <v>394</v>
      </c>
      <c r="J184" s="22"/>
      <c r="K184" s="22"/>
    </row>
    <row r="185" customFormat="false" ht="15" hidden="false" customHeight="false" outlineLevel="0" collapsed="false">
      <c r="A185" s="22" t="s">
        <v>955</v>
      </c>
      <c r="B185" s="11" t="n">
        <v>17</v>
      </c>
      <c r="C185" s="22" t="s">
        <v>1047</v>
      </c>
      <c r="D185" s="21" t="s">
        <v>2</v>
      </c>
      <c r="E185" s="11" t="s">
        <v>1048</v>
      </c>
      <c r="F185" s="11"/>
      <c r="G185" s="11"/>
      <c r="H185" s="22"/>
      <c r="I185" s="11" t="s">
        <v>394</v>
      </c>
      <c r="J185" s="22" t="s">
        <v>1049</v>
      </c>
      <c r="K185" s="21" t="s">
        <v>1050</v>
      </c>
    </row>
    <row r="186" customFormat="false" ht="15" hidden="false" customHeight="true" outlineLevel="0" collapsed="false">
      <c r="A186" s="30" t="s">
        <v>542</v>
      </c>
      <c r="B186" s="31" t="s">
        <v>1239</v>
      </c>
      <c r="C186" s="31"/>
      <c r="D186" s="31"/>
      <c r="E186" s="31"/>
      <c r="F186" s="31"/>
      <c r="G186" s="31"/>
      <c r="H186" s="31"/>
      <c r="I186" s="31"/>
      <c r="J186" s="31"/>
      <c r="K186" s="31"/>
    </row>
    <row r="187" customFormat="false" ht="15" hidden="false" customHeight="false" outlineLevel="0" collapsed="false">
      <c r="A187" s="22" t="s">
        <v>542</v>
      </c>
      <c r="B187" s="11" t="n">
        <v>1</v>
      </c>
      <c r="C187" s="22" t="s">
        <v>1003</v>
      </c>
      <c r="D187" s="21" t="s">
        <v>1240</v>
      </c>
      <c r="E187" s="11" t="s">
        <v>1005</v>
      </c>
      <c r="F187" s="11"/>
      <c r="G187" s="11" t="s">
        <v>394</v>
      </c>
      <c r="H187" s="22"/>
      <c r="I187" s="11" t="s">
        <v>394</v>
      </c>
      <c r="J187" s="21" t="s">
        <v>1006</v>
      </c>
      <c r="K187" s="22"/>
    </row>
    <row r="188" customFormat="false" ht="15" hidden="false" customHeight="false" outlineLevel="0" collapsed="false">
      <c r="A188" s="22" t="s">
        <v>542</v>
      </c>
      <c r="B188" s="11" t="n">
        <v>2</v>
      </c>
      <c r="C188" s="22" t="s">
        <v>1213</v>
      </c>
      <c r="D188" s="21" t="s">
        <v>1214</v>
      </c>
      <c r="E188" s="11" t="s">
        <v>1005</v>
      </c>
      <c r="F188" s="11"/>
      <c r="G188" s="11"/>
      <c r="H188" s="22" t="s">
        <v>1215</v>
      </c>
      <c r="I188" s="11" t="s">
        <v>394</v>
      </c>
      <c r="J188" s="22"/>
      <c r="K188" s="22" t="s">
        <v>1241</v>
      </c>
    </row>
    <row r="189" customFormat="false" ht="15" hidden="false" customHeight="false" outlineLevel="0" collapsed="false">
      <c r="A189" s="22" t="s">
        <v>542</v>
      </c>
      <c r="B189" s="11" t="n">
        <v>3</v>
      </c>
      <c r="C189" s="22" t="s">
        <v>1217</v>
      </c>
      <c r="D189" s="21" t="s">
        <v>1129</v>
      </c>
      <c r="E189" s="11" t="s">
        <v>1005</v>
      </c>
      <c r="F189" s="11"/>
      <c r="G189" s="11"/>
      <c r="H189" s="22" t="s">
        <v>1219</v>
      </c>
      <c r="I189" s="11" t="s">
        <v>394</v>
      </c>
      <c r="J189" s="22"/>
      <c r="K189" s="22"/>
    </row>
    <row r="190" customFormat="false" ht="15" hidden="false" customHeight="false" outlineLevel="0" collapsed="false">
      <c r="A190" s="22" t="s">
        <v>542</v>
      </c>
      <c r="B190" s="11" t="n">
        <v>4</v>
      </c>
      <c r="C190" s="22" t="s">
        <v>1242</v>
      </c>
      <c r="D190" s="21" t="s">
        <v>1243</v>
      </c>
      <c r="E190" s="11" t="s">
        <v>1048</v>
      </c>
      <c r="F190" s="11"/>
      <c r="G190" s="11"/>
      <c r="H190" s="22"/>
      <c r="I190" s="11" t="s">
        <v>394</v>
      </c>
      <c r="J190" s="22" t="s">
        <v>1097</v>
      </c>
      <c r="K190" s="22" t="s">
        <v>1244</v>
      </c>
    </row>
    <row r="191" customFormat="false" ht="15" hidden="false" customHeight="false" outlineLevel="0" collapsed="false">
      <c r="A191" s="22" t="s">
        <v>542</v>
      </c>
      <c r="B191" s="11" t="n">
        <v>5</v>
      </c>
      <c r="C191" s="22" t="s">
        <v>1245</v>
      </c>
      <c r="D191" s="21" t="s">
        <v>1246</v>
      </c>
      <c r="E191" s="11" t="s">
        <v>1048</v>
      </c>
      <c r="F191" s="11"/>
      <c r="G191" s="11"/>
      <c r="H191" s="22"/>
      <c r="I191" s="11" t="s">
        <v>394</v>
      </c>
      <c r="J191" s="22" t="s">
        <v>1097</v>
      </c>
      <c r="K191" s="22" t="s">
        <v>1247</v>
      </c>
    </row>
    <row r="192" customFormat="false" ht="15" hidden="false" customHeight="false" outlineLevel="0" collapsed="false">
      <c r="A192" s="22" t="s">
        <v>542</v>
      </c>
      <c r="B192" s="11" t="n">
        <v>6</v>
      </c>
      <c r="C192" s="22" t="s">
        <v>1036</v>
      </c>
      <c r="D192" s="21" t="s">
        <v>1037</v>
      </c>
      <c r="E192" s="11" t="s">
        <v>1038</v>
      </c>
      <c r="F192" s="11"/>
      <c r="G192" s="11"/>
      <c r="H192" s="22"/>
      <c r="I192" s="11" t="s">
        <v>394</v>
      </c>
      <c r="J192" s="21" t="s">
        <v>1039</v>
      </c>
      <c r="K192" s="22"/>
    </row>
    <row r="193" customFormat="false" ht="15" hidden="false" customHeight="false" outlineLevel="0" collapsed="false">
      <c r="A193" s="22" t="s">
        <v>542</v>
      </c>
      <c r="B193" s="11" t="n">
        <v>7</v>
      </c>
      <c r="C193" s="22" t="s">
        <v>1040</v>
      </c>
      <c r="D193" s="21" t="s">
        <v>1041</v>
      </c>
      <c r="E193" s="11" t="s">
        <v>1005</v>
      </c>
      <c r="F193" s="11"/>
      <c r="G193" s="11"/>
      <c r="H193" s="22" t="s">
        <v>1042</v>
      </c>
      <c r="I193" s="11" t="s">
        <v>394</v>
      </c>
      <c r="J193" s="22"/>
      <c r="K193" s="22"/>
    </row>
    <row r="194" customFormat="false" ht="15" hidden="false" customHeight="false" outlineLevel="0" collapsed="false">
      <c r="A194" s="22" t="s">
        <v>542</v>
      </c>
      <c r="B194" s="11" t="n">
        <v>8</v>
      </c>
      <c r="C194" s="22" t="s">
        <v>1043</v>
      </c>
      <c r="D194" s="21" t="s">
        <v>1044</v>
      </c>
      <c r="E194" s="11" t="s">
        <v>1038</v>
      </c>
      <c r="F194" s="11"/>
      <c r="G194" s="11"/>
      <c r="H194" s="22"/>
      <c r="I194" s="11" t="s">
        <v>394</v>
      </c>
      <c r="J194" s="21" t="s">
        <v>1039</v>
      </c>
      <c r="K194" s="22"/>
    </row>
    <row r="195" customFormat="false" ht="15" hidden="false" customHeight="false" outlineLevel="0" collapsed="false">
      <c r="A195" s="22" t="s">
        <v>542</v>
      </c>
      <c r="B195" s="11" t="n">
        <v>9</v>
      </c>
      <c r="C195" s="22" t="s">
        <v>1045</v>
      </c>
      <c r="D195" s="21" t="s">
        <v>1046</v>
      </c>
      <c r="E195" s="11" t="s">
        <v>1005</v>
      </c>
      <c r="F195" s="11"/>
      <c r="G195" s="11"/>
      <c r="H195" s="22" t="s">
        <v>1042</v>
      </c>
      <c r="I195" s="11" t="s">
        <v>394</v>
      </c>
      <c r="J195" s="22"/>
      <c r="K195" s="22"/>
    </row>
    <row r="196" customFormat="false" ht="15" hidden="false" customHeight="false" outlineLevel="0" collapsed="false">
      <c r="A196" s="22" t="s">
        <v>542</v>
      </c>
      <c r="B196" s="11" t="n">
        <v>10</v>
      </c>
      <c r="C196" s="22" t="s">
        <v>1047</v>
      </c>
      <c r="D196" s="21" t="s">
        <v>2</v>
      </c>
      <c r="E196" s="11" t="s">
        <v>1048</v>
      </c>
      <c r="F196" s="11"/>
      <c r="G196" s="11"/>
      <c r="H196" s="22"/>
      <c r="I196" s="11" t="s">
        <v>394</v>
      </c>
      <c r="J196" s="22" t="s">
        <v>1049</v>
      </c>
      <c r="K196" s="21" t="s">
        <v>1050</v>
      </c>
    </row>
    <row r="197" customFormat="false" ht="15" hidden="false" customHeight="true" outlineLevel="0" collapsed="false">
      <c r="A197" s="30" t="s">
        <v>960</v>
      </c>
      <c r="B197" s="31" t="s">
        <v>1248</v>
      </c>
      <c r="C197" s="31"/>
      <c r="D197" s="31"/>
      <c r="E197" s="31"/>
      <c r="F197" s="31"/>
      <c r="G197" s="31"/>
      <c r="H197" s="31"/>
      <c r="I197" s="31"/>
      <c r="J197" s="31"/>
      <c r="K197" s="31"/>
    </row>
    <row r="198" customFormat="false" ht="15" hidden="false" customHeight="false" outlineLevel="0" collapsed="false">
      <c r="A198" s="22" t="s">
        <v>960</v>
      </c>
      <c r="B198" s="11" t="n">
        <v>1</v>
      </c>
      <c r="C198" s="22" t="s">
        <v>1003</v>
      </c>
      <c r="D198" s="21" t="s">
        <v>1249</v>
      </c>
      <c r="E198" s="11" t="s">
        <v>1005</v>
      </c>
      <c r="F198" s="11"/>
      <c r="G198" s="11" t="s">
        <v>394</v>
      </c>
      <c r="H198" s="22"/>
      <c r="I198" s="11" t="s">
        <v>394</v>
      </c>
      <c r="J198" s="21" t="s">
        <v>1006</v>
      </c>
      <c r="K198" s="22"/>
    </row>
    <row r="199" customFormat="false" ht="15" hidden="false" customHeight="false" outlineLevel="0" collapsed="false">
      <c r="A199" s="22" t="s">
        <v>960</v>
      </c>
      <c r="B199" s="11" t="n">
        <v>2</v>
      </c>
      <c r="C199" s="22" t="s">
        <v>1250</v>
      </c>
      <c r="D199" s="21" t="s">
        <v>1251</v>
      </c>
      <c r="E199" s="11" t="s">
        <v>1038</v>
      </c>
      <c r="F199" s="11"/>
      <c r="G199" s="11"/>
      <c r="H199" s="22"/>
      <c r="I199" s="11" t="s">
        <v>394</v>
      </c>
      <c r="J199" s="22"/>
      <c r="K199" s="22"/>
    </row>
    <row r="200" customFormat="false" ht="23.85" hidden="false" customHeight="false" outlineLevel="0" collapsed="false">
      <c r="A200" s="22" t="s">
        <v>960</v>
      </c>
      <c r="B200" s="11" t="n">
        <v>3</v>
      </c>
      <c r="C200" s="22" t="s">
        <v>1252</v>
      </c>
      <c r="D200" s="21" t="s">
        <v>1253</v>
      </c>
      <c r="E200" s="11" t="s">
        <v>1009</v>
      </c>
      <c r="F200" s="11" t="s">
        <v>1010</v>
      </c>
      <c r="G200" s="11"/>
      <c r="H200" s="22"/>
      <c r="I200" s="11" t="s">
        <v>394</v>
      </c>
      <c r="J200" s="22"/>
      <c r="K200" s="22" t="s">
        <v>1254</v>
      </c>
    </row>
    <row r="201" customFormat="false" ht="15" hidden="false" customHeight="false" outlineLevel="0" collapsed="false">
      <c r="A201" s="22" t="s">
        <v>960</v>
      </c>
      <c r="B201" s="11" t="n">
        <v>4</v>
      </c>
      <c r="C201" s="22" t="s">
        <v>1213</v>
      </c>
      <c r="D201" s="21" t="s">
        <v>1214</v>
      </c>
      <c r="E201" s="11" t="s">
        <v>1005</v>
      </c>
      <c r="F201" s="11"/>
      <c r="G201" s="11"/>
      <c r="H201" s="22" t="s">
        <v>1215</v>
      </c>
      <c r="I201" s="11" t="s">
        <v>394</v>
      </c>
      <c r="J201" s="22"/>
      <c r="K201" s="22"/>
    </row>
    <row r="202" customFormat="false" ht="15" hidden="false" customHeight="false" outlineLevel="0" collapsed="false">
      <c r="A202" s="22" t="s">
        <v>960</v>
      </c>
      <c r="B202" s="11" t="n">
        <v>5</v>
      </c>
      <c r="C202" s="22" t="s">
        <v>1217</v>
      </c>
      <c r="D202" s="21" t="s">
        <v>1129</v>
      </c>
      <c r="E202" s="11" t="s">
        <v>1005</v>
      </c>
      <c r="F202" s="11"/>
      <c r="G202" s="11"/>
      <c r="H202" s="22" t="s">
        <v>1219</v>
      </c>
      <c r="I202" s="11" t="s">
        <v>394</v>
      </c>
      <c r="J202" s="22"/>
      <c r="K202" s="22"/>
    </row>
    <row r="203" customFormat="false" ht="15" hidden="false" customHeight="false" outlineLevel="0" collapsed="false">
      <c r="A203" s="22" t="s">
        <v>960</v>
      </c>
      <c r="B203" s="11" t="n">
        <v>6</v>
      </c>
      <c r="C203" s="22" t="s">
        <v>1190</v>
      </c>
      <c r="D203" s="21" t="s">
        <v>1255</v>
      </c>
      <c r="E203" s="11" t="s">
        <v>1048</v>
      </c>
      <c r="F203" s="11"/>
      <c r="G203" s="11"/>
      <c r="H203" s="22"/>
      <c r="I203" s="11" t="s">
        <v>394</v>
      </c>
      <c r="J203" s="22"/>
      <c r="K203" s="21" t="s">
        <v>1256</v>
      </c>
    </row>
    <row r="204" customFormat="false" ht="15" hidden="false" customHeight="false" outlineLevel="0" collapsed="false">
      <c r="A204" s="22" t="s">
        <v>960</v>
      </c>
      <c r="B204" s="11" t="n">
        <v>7</v>
      </c>
      <c r="C204" s="22" t="s">
        <v>1257</v>
      </c>
      <c r="D204" s="21" t="s">
        <v>1258</v>
      </c>
      <c r="E204" s="11" t="s">
        <v>1009</v>
      </c>
      <c r="F204" s="11" t="s">
        <v>534</v>
      </c>
      <c r="G204" s="11"/>
      <c r="H204" s="22"/>
      <c r="I204" s="11"/>
      <c r="J204" s="22"/>
      <c r="K204" s="22" t="s">
        <v>1259</v>
      </c>
    </row>
    <row r="205" customFormat="false" ht="15" hidden="false" customHeight="false" outlineLevel="0" collapsed="false">
      <c r="A205" s="22" t="s">
        <v>960</v>
      </c>
      <c r="B205" s="11" t="n">
        <v>8</v>
      </c>
      <c r="C205" s="22" t="s">
        <v>1260</v>
      </c>
      <c r="D205" s="21" t="s">
        <v>1261</v>
      </c>
      <c r="E205" s="11" t="s">
        <v>1005</v>
      </c>
      <c r="F205" s="11"/>
      <c r="G205" s="11"/>
      <c r="H205" s="22"/>
      <c r="I205" s="11"/>
      <c r="J205" s="22"/>
      <c r="K205" s="22"/>
    </row>
    <row r="206" customFormat="false" ht="15" hidden="false" customHeight="false" outlineLevel="0" collapsed="false">
      <c r="A206" s="22" t="s">
        <v>960</v>
      </c>
      <c r="B206" s="11" t="n">
        <v>9</v>
      </c>
      <c r="C206" s="22" t="s">
        <v>1262</v>
      </c>
      <c r="D206" s="21" t="s">
        <v>1263</v>
      </c>
      <c r="E206" s="11" t="s">
        <v>1181</v>
      </c>
      <c r="F206" s="11"/>
      <c r="G206" s="11"/>
      <c r="H206" s="22"/>
      <c r="I206" s="11"/>
      <c r="J206" s="22"/>
      <c r="K206" s="22" t="s">
        <v>1264</v>
      </c>
    </row>
    <row r="207" customFormat="false" ht="15" hidden="false" customHeight="false" outlineLevel="0" collapsed="false">
      <c r="A207" s="22" t="s">
        <v>960</v>
      </c>
      <c r="B207" s="11" t="n">
        <v>10</v>
      </c>
      <c r="C207" s="22" t="s">
        <v>1036</v>
      </c>
      <c r="D207" s="21" t="s">
        <v>1037</v>
      </c>
      <c r="E207" s="11" t="s">
        <v>1038</v>
      </c>
      <c r="F207" s="11"/>
      <c r="G207" s="11"/>
      <c r="H207" s="22"/>
      <c r="I207" s="11" t="s">
        <v>394</v>
      </c>
      <c r="J207" s="21" t="s">
        <v>1039</v>
      </c>
      <c r="K207" s="22"/>
    </row>
    <row r="208" customFormat="false" ht="15" hidden="false" customHeight="false" outlineLevel="0" collapsed="false">
      <c r="A208" s="22" t="s">
        <v>960</v>
      </c>
      <c r="B208" s="11" t="n">
        <v>11</v>
      </c>
      <c r="C208" s="22" t="s">
        <v>1040</v>
      </c>
      <c r="D208" s="21" t="s">
        <v>1041</v>
      </c>
      <c r="E208" s="11" t="s">
        <v>1005</v>
      </c>
      <c r="F208" s="11"/>
      <c r="G208" s="11"/>
      <c r="H208" s="22" t="s">
        <v>1042</v>
      </c>
      <c r="I208" s="11" t="s">
        <v>394</v>
      </c>
      <c r="J208" s="22"/>
      <c r="K208" s="22"/>
    </row>
    <row r="209" customFormat="false" ht="15" hidden="false" customHeight="true" outlineLevel="0" collapsed="false">
      <c r="A209" s="30" t="s">
        <v>963</v>
      </c>
      <c r="B209" s="31" t="s">
        <v>1265</v>
      </c>
      <c r="C209" s="31"/>
      <c r="D209" s="31"/>
      <c r="E209" s="31"/>
      <c r="F209" s="31"/>
      <c r="G209" s="31"/>
      <c r="H209" s="31"/>
      <c r="I209" s="31"/>
      <c r="J209" s="31"/>
      <c r="K209" s="31"/>
    </row>
    <row r="210" customFormat="false" ht="15" hidden="false" customHeight="false" outlineLevel="0" collapsed="false">
      <c r="A210" s="22" t="s">
        <v>963</v>
      </c>
      <c r="B210" s="11" t="n">
        <v>1</v>
      </c>
      <c r="C210" s="22" t="s">
        <v>1003</v>
      </c>
      <c r="D210" s="21" t="s">
        <v>1266</v>
      </c>
      <c r="E210" s="11" t="s">
        <v>1005</v>
      </c>
      <c r="F210" s="11"/>
      <c r="G210" s="11" t="s">
        <v>394</v>
      </c>
      <c r="H210" s="22"/>
      <c r="I210" s="11" t="s">
        <v>394</v>
      </c>
      <c r="J210" s="21" t="s">
        <v>1006</v>
      </c>
      <c r="K210" s="22"/>
    </row>
    <row r="211" customFormat="false" ht="15" hidden="false" customHeight="false" outlineLevel="0" collapsed="false">
      <c r="A211" s="22" t="s">
        <v>963</v>
      </c>
      <c r="B211" s="11" t="n">
        <v>2</v>
      </c>
      <c r="C211" s="22" t="s">
        <v>1267</v>
      </c>
      <c r="D211" s="21" t="s">
        <v>470</v>
      </c>
      <c r="E211" s="11" t="s">
        <v>1009</v>
      </c>
      <c r="F211" s="11" t="s">
        <v>1010</v>
      </c>
      <c r="G211" s="11"/>
      <c r="H211" s="22"/>
      <c r="I211" s="11" t="s">
        <v>394</v>
      </c>
      <c r="J211" s="22"/>
      <c r="K211" s="22" t="s">
        <v>1268</v>
      </c>
    </row>
    <row r="212" customFormat="false" ht="15" hidden="false" customHeight="false" outlineLevel="0" collapsed="false">
      <c r="A212" s="22" t="s">
        <v>963</v>
      </c>
      <c r="B212" s="11" t="n">
        <v>3</v>
      </c>
      <c r="C212" s="22" t="s">
        <v>1122</v>
      </c>
      <c r="D212" s="21" t="s">
        <v>1100</v>
      </c>
      <c r="E212" s="11" t="s">
        <v>1005</v>
      </c>
      <c r="F212" s="11"/>
      <c r="G212" s="11"/>
      <c r="H212" s="22" t="s">
        <v>553</v>
      </c>
      <c r="I212" s="11" t="s">
        <v>394</v>
      </c>
      <c r="J212" s="22"/>
      <c r="K212" s="22"/>
    </row>
    <row r="213" customFormat="false" ht="15" hidden="false" customHeight="false" outlineLevel="0" collapsed="false">
      <c r="A213" s="22" t="s">
        <v>963</v>
      </c>
      <c r="B213" s="11" t="n">
        <v>4</v>
      </c>
      <c r="C213" s="22" t="s">
        <v>1269</v>
      </c>
      <c r="D213" s="21" t="s">
        <v>1121</v>
      </c>
      <c r="E213" s="11" t="s">
        <v>1005</v>
      </c>
      <c r="F213" s="11"/>
      <c r="G213" s="11"/>
      <c r="H213" s="22" t="s">
        <v>1270</v>
      </c>
      <c r="I213" s="11" t="s">
        <v>394</v>
      </c>
      <c r="J213" s="22"/>
      <c r="K213" s="21" t="s">
        <v>1271</v>
      </c>
    </row>
    <row r="214" customFormat="false" ht="15" hidden="false" customHeight="false" outlineLevel="0" collapsed="false">
      <c r="A214" s="22" t="s">
        <v>963</v>
      </c>
      <c r="B214" s="11" t="n">
        <v>5</v>
      </c>
      <c r="C214" s="22" t="s">
        <v>1167</v>
      </c>
      <c r="D214" s="21" t="s">
        <v>480</v>
      </c>
      <c r="E214" s="11" t="s">
        <v>1169</v>
      </c>
      <c r="F214" s="11"/>
      <c r="G214" s="11"/>
      <c r="H214" s="22"/>
      <c r="I214" s="11" t="s">
        <v>394</v>
      </c>
      <c r="J214" s="22"/>
      <c r="K214" s="22"/>
    </row>
    <row r="215" customFormat="false" ht="15" hidden="false" customHeight="false" outlineLevel="0" collapsed="false">
      <c r="A215" s="22" t="s">
        <v>963</v>
      </c>
      <c r="B215" s="11" t="n">
        <v>6</v>
      </c>
      <c r="C215" s="22" t="s">
        <v>1272</v>
      </c>
      <c r="D215" s="21" t="s">
        <v>482</v>
      </c>
      <c r="E215" s="11" t="s">
        <v>1169</v>
      </c>
      <c r="F215" s="11"/>
      <c r="G215" s="11"/>
      <c r="H215" s="22"/>
      <c r="I215" s="11"/>
      <c r="J215" s="22"/>
      <c r="K215" s="22"/>
    </row>
    <row r="216" customFormat="false" ht="15" hidden="false" customHeight="false" outlineLevel="0" collapsed="false">
      <c r="A216" s="22" t="s">
        <v>963</v>
      </c>
      <c r="B216" s="11" t="n">
        <v>7</v>
      </c>
      <c r="C216" s="22" t="s">
        <v>1273</v>
      </c>
      <c r="D216" s="21" t="s">
        <v>148</v>
      </c>
      <c r="E216" s="11" t="s">
        <v>1005</v>
      </c>
      <c r="F216" s="11"/>
      <c r="G216" s="11"/>
      <c r="H216" s="22" t="s">
        <v>1042</v>
      </c>
      <c r="I216" s="11" t="s">
        <v>394</v>
      </c>
      <c r="J216" s="22"/>
      <c r="K216" s="22"/>
    </row>
    <row r="217" customFormat="false" ht="15" hidden="false" customHeight="false" outlineLevel="0" collapsed="false">
      <c r="A217" s="22" t="s">
        <v>963</v>
      </c>
      <c r="B217" s="11" t="n">
        <v>8</v>
      </c>
      <c r="C217" s="22" t="s">
        <v>1172</v>
      </c>
      <c r="D217" s="21" t="s">
        <v>1173</v>
      </c>
      <c r="E217" s="11" t="s">
        <v>1009</v>
      </c>
      <c r="F217" s="11" t="s">
        <v>1010</v>
      </c>
      <c r="G217" s="11"/>
      <c r="H217" s="22"/>
      <c r="I217" s="11" t="s">
        <v>394</v>
      </c>
      <c r="J217" s="22" t="s">
        <v>1274</v>
      </c>
      <c r="K217" s="21" t="s">
        <v>1175</v>
      </c>
    </row>
    <row r="218" customFormat="false" ht="15" hidden="false" customHeight="false" outlineLevel="0" collapsed="false">
      <c r="A218" s="22" t="s">
        <v>963</v>
      </c>
      <c r="B218" s="11" t="n">
        <v>9</v>
      </c>
      <c r="C218" s="22" t="s">
        <v>1180</v>
      </c>
      <c r="D218" s="21" t="s">
        <v>1001</v>
      </c>
      <c r="E218" s="11" t="s">
        <v>1181</v>
      </c>
      <c r="F218" s="11"/>
      <c r="G218" s="11"/>
      <c r="H218" s="22"/>
      <c r="I218" s="11"/>
      <c r="J218" s="22"/>
      <c r="K218" s="22"/>
    </row>
    <row r="219" customFormat="false" ht="15" hidden="false" customHeight="false" outlineLevel="0" collapsed="false">
      <c r="A219" s="22" t="s">
        <v>963</v>
      </c>
      <c r="B219" s="11" t="n">
        <v>10</v>
      </c>
      <c r="C219" s="22" t="s">
        <v>1036</v>
      </c>
      <c r="D219" s="21" t="s">
        <v>1037</v>
      </c>
      <c r="E219" s="11" t="s">
        <v>1038</v>
      </c>
      <c r="F219" s="11"/>
      <c r="G219" s="11"/>
      <c r="H219" s="22"/>
      <c r="I219" s="11" t="s">
        <v>394</v>
      </c>
      <c r="J219" s="21" t="s">
        <v>1039</v>
      </c>
      <c r="K219" s="22"/>
    </row>
    <row r="220" customFormat="false" ht="15" hidden="false" customHeight="false" outlineLevel="0" collapsed="false">
      <c r="A220" s="22" t="s">
        <v>963</v>
      </c>
      <c r="B220" s="11" t="n">
        <v>11</v>
      </c>
      <c r="C220" s="22" t="s">
        <v>1040</v>
      </c>
      <c r="D220" s="21" t="s">
        <v>1041</v>
      </c>
      <c r="E220" s="11" t="s">
        <v>1005</v>
      </c>
      <c r="F220" s="11"/>
      <c r="G220" s="11"/>
      <c r="H220" s="22" t="s">
        <v>1042</v>
      </c>
      <c r="I220" s="11" t="s">
        <v>394</v>
      </c>
      <c r="J220" s="22"/>
      <c r="K220" s="22"/>
    </row>
    <row r="221" customFormat="false" ht="15" hidden="false" customHeight="false" outlineLevel="0" collapsed="false">
      <c r="A221" s="22" t="s">
        <v>963</v>
      </c>
      <c r="B221" s="11" t="n">
        <v>12</v>
      </c>
      <c r="C221" s="22" t="s">
        <v>1043</v>
      </c>
      <c r="D221" s="21" t="s">
        <v>1044</v>
      </c>
      <c r="E221" s="11" t="s">
        <v>1038</v>
      </c>
      <c r="F221" s="11"/>
      <c r="G221" s="11"/>
      <c r="H221" s="22"/>
      <c r="I221" s="11" t="s">
        <v>394</v>
      </c>
      <c r="J221" s="21" t="s">
        <v>1039</v>
      </c>
      <c r="K221" s="22"/>
    </row>
    <row r="222" customFormat="false" ht="15" hidden="false" customHeight="false" outlineLevel="0" collapsed="false">
      <c r="A222" s="22" t="s">
        <v>963</v>
      </c>
      <c r="B222" s="11" t="n">
        <v>13</v>
      </c>
      <c r="C222" s="22" t="s">
        <v>1045</v>
      </c>
      <c r="D222" s="21" t="s">
        <v>1046</v>
      </c>
      <c r="E222" s="11" t="s">
        <v>1005</v>
      </c>
      <c r="F222" s="11"/>
      <c r="G222" s="11"/>
      <c r="H222" s="22" t="s">
        <v>1042</v>
      </c>
      <c r="I222" s="11" t="s">
        <v>394</v>
      </c>
      <c r="J222" s="22"/>
      <c r="K222" s="22"/>
    </row>
    <row r="223" customFormat="false" ht="15" hidden="false" customHeight="false" outlineLevel="0" collapsed="false">
      <c r="A223" s="22" t="s">
        <v>963</v>
      </c>
      <c r="B223" s="11" t="n">
        <v>14</v>
      </c>
      <c r="C223" s="22" t="s">
        <v>1047</v>
      </c>
      <c r="D223" s="21" t="s">
        <v>2</v>
      </c>
      <c r="E223" s="11" t="s">
        <v>1048</v>
      </c>
      <c r="F223" s="11"/>
      <c r="G223" s="11"/>
      <c r="H223" s="22"/>
      <c r="I223" s="11" t="s">
        <v>394</v>
      </c>
      <c r="J223" s="22" t="s">
        <v>1049</v>
      </c>
      <c r="K223" s="21" t="s">
        <v>1050</v>
      </c>
    </row>
    <row r="224" customFormat="false" ht="15" hidden="false" customHeight="true" outlineLevel="0" collapsed="false">
      <c r="A224" s="30" t="s">
        <v>508</v>
      </c>
      <c r="B224" s="31" t="s">
        <v>1275</v>
      </c>
      <c r="C224" s="31"/>
      <c r="D224" s="31"/>
      <c r="E224" s="31"/>
      <c r="F224" s="31"/>
      <c r="G224" s="31"/>
      <c r="H224" s="31"/>
      <c r="I224" s="31"/>
      <c r="J224" s="31"/>
      <c r="K224" s="31"/>
    </row>
    <row r="225" customFormat="false" ht="15" hidden="false" customHeight="false" outlineLevel="0" collapsed="false">
      <c r="A225" s="22" t="s">
        <v>508</v>
      </c>
      <c r="B225" s="11" t="n">
        <v>1</v>
      </c>
      <c r="C225" s="22" t="s">
        <v>1003</v>
      </c>
      <c r="D225" s="21" t="s">
        <v>1276</v>
      </c>
      <c r="E225" s="11" t="s">
        <v>1005</v>
      </c>
      <c r="F225" s="11"/>
      <c r="G225" s="11" t="s">
        <v>394</v>
      </c>
      <c r="H225" s="22"/>
      <c r="I225" s="11" t="s">
        <v>394</v>
      </c>
      <c r="J225" s="21" t="s">
        <v>1006</v>
      </c>
      <c r="K225" s="22"/>
    </row>
    <row r="226" customFormat="false" ht="15" hidden="false" customHeight="false" outlineLevel="0" collapsed="false">
      <c r="A226" s="22" t="s">
        <v>508</v>
      </c>
      <c r="B226" s="11" t="n">
        <v>2</v>
      </c>
      <c r="C226" s="22" t="s">
        <v>1277</v>
      </c>
      <c r="D226" s="21" t="s">
        <v>1266</v>
      </c>
      <c r="E226" s="11" t="s">
        <v>1005</v>
      </c>
      <c r="F226" s="11"/>
      <c r="G226" s="11"/>
      <c r="H226" s="22" t="s">
        <v>1278</v>
      </c>
      <c r="I226" s="11" t="s">
        <v>394</v>
      </c>
      <c r="J226" s="22"/>
      <c r="K226" s="22"/>
    </row>
    <row r="227" customFormat="false" ht="15" hidden="false" customHeight="false" outlineLevel="0" collapsed="false">
      <c r="A227" s="22" t="s">
        <v>508</v>
      </c>
      <c r="B227" s="11" t="n">
        <v>3</v>
      </c>
      <c r="C227" s="22" t="s">
        <v>1186</v>
      </c>
      <c r="D227" s="21" t="s">
        <v>1187</v>
      </c>
      <c r="E227" s="11" t="s">
        <v>1048</v>
      </c>
      <c r="F227" s="11"/>
      <c r="G227" s="11"/>
      <c r="H227" s="22"/>
      <c r="I227" s="11" t="s">
        <v>394</v>
      </c>
      <c r="J227" s="22"/>
      <c r="K227" s="22"/>
    </row>
    <row r="228" customFormat="false" ht="15" hidden="false" customHeight="false" outlineLevel="0" collapsed="false">
      <c r="A228" s="22" t="s">
        <v>508</v>
      </c>
      <c r="B228" s="11" t="n">
        <v>4</v>
      </c>
      <c r="C228" s="22" t="s">
        <v>1188</v>
      </c>
      <c r="D228" s="21" t="s">
        <v>1052</v>
      </c>
      <c r="E228" s="11" t="s">
        <v>1005</v>
      </c>
      <c r="F228" s="11"/>
      <c r="G228" s="11"/>
      <c r="H228" s="22" t="s">
        <v>1189</v>
      </c>
      <c r="I228" s="11" t="s">
        <v>394</v>
      </c>
      <c r="J228" s="22"/>
      <c r="K228" s="22"/>
    </row>
    <row r="229" customFormat="false" ht="15" hidden="false" customHeight="false" outlineLevel="0" collapsed="false">
      <c r="A229" s="22" t="s">
        <v>508</v>
      </c>
      <c r="B229" s="11" t="n">
        <v>5</v>
      </c>
      <c r="C229" s="22" t="s">
        <v>1190</v>
      </c>
      <c r="D229" s="21" t="s">
        <v>492</v>
      </c>
      <c r="E229" s="11" t="s">
        <v>1048</v>
      </c>
      <c r="F229" s="11"/>
      <c r="G229" s="11"/>
      <c r="H229" s="22"/>
      <c r="I229" s="11" t="s">
        <v>394</v>
      </c>
      <c r="J229" s="22"/>
      <c r="K229" s="22" t="s">
        <v>1192</v>
      </c>
    </row>
    <row r="230" customFormat="false" ht="15" hidden="false" customHeight="false" outlineLevel="0" collapsed="false">
      <c r="A230" s="22" t="s">
        <v>508</v>
      </c>
      <c r="B230" s="11" t="n">
        <v>6</v>
      </c>
      <c r="C230" s="22" t="s">
        <v>1193</v>
      </c>
      <c r="D230" s="21" t="s">
        <v>495</v>
      </c>
      <c r="E230" s="11" t="s">
        <v>1067</v>
      </c>
      <c r="F230" s="11" t="s">
        <v>430</v>
      </c>
      <c r="G230" s="11"/>
      <c r="H230" s="22"/>
      <c r="I230" s="11" t="s">
        <v>394</v>
      </c>
      <c r="J230" s="22"/>
      <c r="K230" s="21" t="s">
        <v>1094</v>
      </c>
    </row>
    <row r="231" customFormat="false" ht="15" hidden="false" customHeight="false" outlineLevel="0" collapsed="false">
      <c r="A231" s="22" t="s">
        <v>508</v>
      </c>
      <c r="B231" s="11" t="n">
        <v>7</v>
      </c>
      <c r="C231" s="22" t="s">
        <v>1279</v>
      </c>
      <c r="D231" s="21" t="s">
        <v>1280</v>
      </c>
      <c r="E231" s="11" t="s">
        <v>1048</v>
      </c>
      <c r="F231" s="11"/>
      <c r="G231" s="11"/>
      <c r="H231" s="22"/>
      <c r="I231" s="11" t="s">
        <v>394</v>
      </c>
      <c r="J231" s="22" t="s">
        <v>1097</v>
      </c>
      <c r="K231" s="22"/>
    </row>
    <row r="232" customFormat="false" ht="15" hidden="false" customHeight="false" outlineLevel="0" collapsed="false">
      <c r="A232" s="22" t="s">
        <v>508</v>
      </c>
      <c r="B232" s="11" t="n">
        <v>8</v>
      </c>
      <c r="C232" s="22" t="s">
        <v>1036</v>
      </c>
      <c r="D232" s="21" t="s">
        <v>1037</v>
      </c>
      <c r="E232" s="11" t="s">
        <v>1038</v>
      </c>
      <c r="F232" s="11"/>
      <c r="G232" s="11"/>
      <c r="H232" s="22"/>
      <c r="I232" s="11" t="s">
        <v>394</v>
      </c>
      <c r="J232" s="21" t="s">
        <v>1039</v>
      </c>
      <c r="K232" s="22"/>
    </row>
    <row r="233" customFormat="false" ht="15" hidden="false" customHeight="false" outlineLevel="0" collapsed="false">
      <c r="A233" s="22" t="s">
        <v>508</v>
      </c>
      <c r="B233" s="11" t="n">
        <v>9</v>
      </c>
      <c r="C233" s="22" t="s">
        <v>1040</v>
      </c>
      <c r="D233" s="21" t="s">
        <v>1041</v>
      </c>
      <c r="E233" s="11" t="s">
        <v>1005</v>
      </c>
      <c r="F233" s="11"/>
      <c r="G233" s="11"/>
      <c r="H233" s="22" t="s">
        <v>1042</v>
      </c>
      <c r="I233" s="11" t="s">
        <v>394</v>
      </c>
      <c r="J233" s="22"/>
      <c r="K233" s="22"/>
    </row>
    <row r="234" customFormat="false" ht="15" hidden="false" customHeight="false" outlineLevel="0" collapsed="false">
      <c r="A234" s="22" t="s">
        <v>508</v>
      </c>
      <c r="B234" s="11" t="n">
        <v>10</v>
      </c>
      <c r="C234" s="22" t="s">
        <v>1043</v>
      </c>
      <c r="D234" s="21" t="s">
        <v>1044</v>
      </c>
      <c r="E234" s="11" t="s">
        <v>1038</v>
      </c>
      <c r="F234" s="11"/>
      <c r="G234" s="11"/>
      <c r="H234" s="22"/>
      <c r="I234" s="11" t="s">
        <v>394</v>
      </c>
      <c r="J234" s="21" t="s">
        <v>1039</v>
      </c>
      <c r="K234" s="22"/>
    </row>
    <row r="235" customFormat="false" ht="15" hidden="false" customHeight="false" outlineLevel="0" collapsed="false">
      <c r="A235" s="22" t="s">
        <v>508</v>
      </c>
      <c r="B235" s="11" t="n">
        <v>11</v>
      </c>
      <c r="C235" s="22" t="s">
        <v>1045</v>
      </c>
      <c r="D235" s="21" t="s">
        <v>1046</v>
      </c>
      <c r="E235" s="11" t="s">
        <v>1005</v>
      </c>
      <c r="F235" s="11"/>
      <c r="G235" s="11"/>
      <c r="H235" s="22" t="s">
        <v>1042</v>
      </c>
      <c r="I235" s="11" t="s">
        <v>394</v>
      </c>
      <c r="J235" s="22"/>
      <c r="K235" s="22"/>
    </row>
    <row r="236" customFormat="false" ht="15" hidden="false" customHeight="false" outlineLevel="0" collapsed="false">
      <c r="A236" s="22" t="s">
        <v>508</v>
      </c>
      <c r="B236" s="11" t="n">
        <v>12</v>
      </c>
      <c r="C236" s="22" t="s">
        <v>1047</v>
      </c>
      <c r="D236" s="21" t="s">
        <v>2</v>
      </c>
      <c r="E236" s="11" t="s">
        <v>1048</v>
      </c>
      <c r="F236" s="11"/>
      <c r="G236" s="11"/>
      <c r="H236" s="22"/>
      <c r="I236" s="11" t="s">
        <v>394</v>
      </c>
      <c r="J236" s="22" t="s">
        <v>1049</v>
      </c>
      <c r="K236" s="21" t="s">
        <v>1050</v>
      </c>
    </row>
    <row r="237" customFormat="false" ht="15" hidden="false" customHeight="true" outlineLevel="0" collapsed="false">
      <c r="A237" s="30" t="s">
        <v>968</v>
      </c>
      <c r="B237" s="31" t="s">
        <v>1281</v>
      </c>
      <c r="C237" s="31"/>
      <c r="D237" s="31"/>
      <c r="E237" s="31"/>
      <c r="F237" s="31"/>
      <c r="G237" s="31"/>
      <c r="H237" s="31"/>
      <c r="I237" s="31"/>
      <c r="J237" s="31"/>
      <c r="K237" s="31"/>
    </row>
    <row r="238" customFormat="false" ht="15" hidden="false" customHeight="false" outlineLevel="0" collapsed="false">
      <c r="A238" s="22" t="s">
        <v>968</v>
      </c>
      <c r="B238" s="11" t="n">
        <v>1</v>
      </c>
      <c r="C238" s="22" t="s">
        <v>1003</v>
      </c>
      <c r="D238" s="21" t="s">
        <v>1282</v>
      </c>
      <c r="E238" s="11" t="s">
        <v>1005</v>
      </c>
      <c r="F238" s="11"/>
      <c r="G238" s="11" t="s">
        <v>394</v>
      </c>
      <c r="H238" s="22"/>
      <c r="I238" s="11" t="s">
        <v>394</v>
      </c>
      <c r="J238" s="21" t="s">
        <v>1006</v>
      </c>
      <c r="K238" s="22"/>
    </row>
    <row r="239" customFormat="false" ht="15" hidden="false" customHeight="false" outlineLevel="0" collapsed="false">
      <c r="A239" s="22" t="s">
        <v>968</v>
      </c>
      <c r="B239" s="11" t="n">
        <v>2</v>
      </c>
      <c r="C239" s="22" t="s">
        <v>1283</v>
      </c>
      <c r="D239" s="21" t="s">
        <v>1284</v>
      </c>
      <c r="E239" s="11" t="s">
        <v>1009</v>
      </c>
      <c r="F239" s="11" t="s">
        <v>1010</v>
      </c>
      <c r="G239" s="11"/>
      <c r="H239" s="22"/>
      <c r="I239" s="11" t="s">
        <v>394</v>
      </c>
      <c r="J239" s="22"/>
      <c r="K239" s="22" t="s">
        <v>1285</v>
      </c>
    </row>
    <row r="240" customFormat="false" ht="15" hidden="false" customHeight="false" outlineLevel="0" collapsed="false">
      <c r="A240" s="22" t="s">
        <v>968</v>
      </c>
      <c r="B240" s="11" t="n">
        <v>3</v>
      </c>
      <c r="C240" s="22" t="s">
        <v>1277</v>
      </c>
      <c r="D240" s="21" t="s">
        <v>1266</v>
      </c>
      <c r="E240" s="11" t="s">
        <v>1005</v>
      </c>
      <c r="F240" s="11"/>
      <c r="G240" s="11"/>
      <c r="H240" s="22" t="s">
        <v>1278</v>
      </c>
      <c r="I240" s="11" t="s">
        <v>394</v>
      </c>
      <c r="J240" s="22"/>
      <c r="K240" s="22"/>
    </row>
    <row r="241" customFormat="false" ht="15" hidden="false" customHeight="false" outlineLevel="0" collapsed="false">
      <c r="A241" s="22" t="s">
        <v>968</v>
      </c>
      <c r="B241" s="11" t="n">
        <v>4</v>
      </c>
      <c r="C241" s="22" t="s">
        <v>1122</v>
      </c>
      <c r="D241" s="21" t="s">
        <v>1100</v>
      </c>
      <c r="E241" s="11" t="s">
        <v>1005</v>
      </c>
      <c r="F241" s="11"/>
      <c r="G241" s="11"/>
      <c r="H241" s="22" t="s">
        <v>553</v>
      </c>
      <c r="I241" s="11" t="s">
        <v>394</v>
      </c>
      <c r="J241" s="22"/>
      <c r="K241" s="21" t="s">
        <v>1286</v>
      </c>
    </row>
    <row r="242" customFormat="false" ht="15" hidden="false" customHeight="false" outlineLevel="0" collapsed="false">
      <c r="A242" s="22" t="s">
        <v>968</v>
      </c>
      <c r="B242" s="11" t="n">
        <v>5</v>
      </c>
      <c r="C242" s="22" t="s">
        <v>1269</v>
      </c>
      <c r="D242" s="21" t="s">
        <v>1121</v>
      </c>
      <c r="E242" s="11" t="s">
        <v>1005</v>
      </c>
      <c r="F242" s="11"/>
      <c r="G242" s="11"/>
      <c r="H242" s="22" t="s">
        <v>1270</v>
      </c>
      <c r="I242" s="11" t="s">
        <v>394</v>
      </c>
      <c r="J242" s="22"/>
      <c r="K242" s="21" t="s">
        <v>1287</v>
      </c>
    </row>
    <row r="243" customFormat="false" ht="15" hidden="false" customHeight="false" outlineLevel="0" collapsed="false">
      <c r="A243" s="22" t="s">
        <v>968</v>
      </c>
      <c r="B243" s="11" t="n">
        <v>6</v>
      </c>
      <c r="C243" s="22" t="s">
        <v>1288</v>
      </c>
      <c r="D243" s="21" t="s">
        <v>505</v>
      </c>
      <c r="E243" s="11" t="s">
        <v>1169</v>
      </c>
      <c r="F243" s="11"/>
      <c r="G243" s="11"/>
      <c r="H243" s="22"/>
      <c r="I243" s="11" t="s">
        <v>394</v>
      </c>
      <c r="J243" s="22"/>
      <c r="K243" s="22"/>
    </row>
    <row r="244" customFormat="false" ht="15" hidden="false" customHeight="false" outlineLevel="0" collapsed="false">
      <c r="A244" s="22" t="s">
        <v>968</v>
      </c>
      <c r="B244" s="11" t="n">
        <v>7</v>
      </c>
      <c r="C244" s="22" t="s">
        <v>1289</v>
      </c>
      <c r="D244" s="21" t="s">
        <v>522</v>
      </c>
      <c r="E244" s="11" t="s">
        <v>1009</v>
      </c>
      <c r="F244" s="11" t="s">
        <v>414</v>
      </c>
      <c r="G244" s="11"/>
      <c r="H244" s="22"/>
      <c r="I244" s="11"/>
      <c r="J244" s="22"/>
      <c r="K244" s="21" t="s">
        <v>1290</v>
      </c>
    </row>
    <row r="245" customFormat="false" ht="15" hidden="false" customHeight="false" outlineLevel="0" collapsed="false">
      <c r="A245" s="22" t="s">
        <v>968</v>
      </c>
      <c r="B245" s="11" t="n">
        <v>8</v>
      </c>
      <c r="C245" s="22" t="s">
        <v>1291</v>
      </c>
      <c r="D245" s="21" t="s">
        <v>525</v>
      </c>
      <c r="E245" s="11" t="s">
        <v>1009</v>
      </c>
      <c r="F245" s="11" t="s">
        <v>414</v>
      </c>
      <c r="G245" s="11"/>
      <c r="H245" s="22"/>
      <c r="I245" s="11"/>
      <c r="J245" s="22"/>
      <c r="K245" s="22"/>
    </row>
    <row r="246" customFormat="false" ht="15" hidden="false" customHeight="false" outlineLevel="0" collapsed="false">
      <c r="A246" s="22" t="s">
        <v>968</v>
      </c>
      <c r="B246" s="11" t="n">
        <v>9</v>
      </c>
      <c r="C246" s="22" t="s">
        <v>1172</v>
      </c>
      <c r="D246" s="21" t="s">
        <v>1173</v>
      </c>
      <c r="E246" s="11" t="s">
        <v>1009</v>
      </c>
      <c r="F246" s="11" t="s">
        <v>1010</v>
      </c>
      <c r="G246" s="11"/>
      <c r="H246" s="22"/>
      <c r="I246" s="11" t="s">
        <v>394</v>
      </c>
      <c r="J246" s="22" t="s">
        <v>1292</v>
      </c>
      <c r="K246" s="21" t="s">
        <v>1175</v>
      </c>
    </row>
    <row r="247" customFormat="false" ht="15" hidden="false" customHeight="false" outlineLevel="0" collapsed="false">
      <c r="A247" s="22" t="s">
        <v>968</v>
      </c>
      <c r="B247" s="11" t="n">
        <v>10</v>
      </c>
      <c r="C247" s="22" t="s">
        <v>1036</v>
      </c>
      <c r="D247" s="21" t="s">
        <v>1037</v>
      </c>
      <c r="E247" s="11" t="s">
        <v>1038</v>
      </c>
      <c r="F247" s="11"/>
      <c r="G247" s="11"/>
      <c r="H247" s="22"/>
      <c r="I247" s="11" t="s">
        <v>394</v>
      </c>
      <c r="J247" s="21" t="s">
        <v>1039</v>
      </c>
      <c r="K247" s="22"/>
    </row>
    <row r="248" customFormat="false" ht="15" hidden="false" customHeight="false" outlineLevel="0" collapsed="false">
      <c r="A248" s="22" t="s">
        <v>968</v>
      </c>
      <c r="B248" s="11" t="n">
        <v>11</v>
      </c>
      <c r="C248" s="22" t="s">
        <v>1040</v>
      </c>
      <c r="D248" s="21" t="s">
        <v>1041</v>
      </c>
      <c r="E248" s="11" t="s">
        <v>1005</v>
      </c>
      <c r="F248" s="11"/>
      <c r="G248" s="11"/>
      <c r="H248" s="22" t="s">
        <v>1042</v>
      </c>
      <c r="I248" s="11" t="s">
        <v>394</v>
      </c>
      <c r="J248" s="22"/>
      <c r="K248" s="22"/>
    </row>
    <row r="249" customFormat="false" ht="15" hidden="false" customHeight="false" outlineLevel="0" collapsed="false">
      <c r="A249" s="22" t="s">
        <v>968</v>
      </c>
      <c r="B249" s="11" t="n">
        <v>12</v>
      </c>
      <c r="C249" s="22" t="s">
        <v>1043</v>
      </c>
      <c r="D249" s="21" t="s">
        <v>1044</v>
      </c>
      <c r="E249" s="11" t="s">
        <v>1038</v>
      </c>
      <c r="F249" s="11"/>
      <c r="G249" s="11"/>
      <c r="H249" s="22"/>
      <c r="I249" s="11" t="s">
        <v>394</v>
      </c>
      <c r="J249" s="21" t="s">
        <v>1039</v>
      </c>
      <c r="K249" s="22"/>
    </row>
    <row r="250" customFormat="false" ht="15" hidden="false" customHeight="false" outlineLevel="0" collapsed="false">
      <c r="A250" s="22" t="s">
        <v>968</v>
      </c>
      <c r="B250" s="11" t="n">
        <v>13</v>
      </c>
      <c r="C250" s="22" t="s">
        <v>1045</v>
      </c>
      <c r="D250" s="21" t="s">
        <v>1046</v>
      </c>
      <c r="E250" s="11" t="s">
        <v>1005</v>
      </c>
      <c r="F250" s="11"/>
      <c r="G250" s="11"/>
      <c r="H250" s="22" t="s">
        <v>1042</v>
      </c>
      <c r="I250" s="11" t="s">
        <v>394</v>
      </c>
      <c r="J250" s="22"/>
      <c r="K250" s="22"/>
    </row>
    <row r="251" customFormat="false" ht="15" hidden="false" customHeight="false" outlineLevel="0" collapsed="false">
      <c r="A251" s="22" t="s">
        <v>968</v>
      </c>
      <c r="B251" s="11" t="n">
        <v>14</v>
      </c>
      <c r="C251" s="22" t="s">
        <v>1047</v>
      </c>
      <c r="D251" s="21" t="s">
        <v>2</v>
      </c>
      <c r="E251" s="11" t="s">
        <v>1048</v>
      </c>
      <c r="F251" s="11"/>
      <c r="G251" s="11"/>
      <c r="H251" s="22"/>
      <c r="I251" s="11" t="s">
        <v>394</v>
      </c>
      <c r="J251" s="22" t="s">
        <v>1049</v>
      </c>
      <c r="K251" s="21" t="s">
        <v>1050</v>
      </c>
    </row>
    <row r="252" customFormat="false" ht="15" hidden="false" customHeight="true" outlineLevel="0" collapsed="false">
      <c r="A252" s="30" t="s">
        <v>971</v>
      </c>
      <c r="B252" s="31" t="s">
        <v>1293</v>
      </c>
      <c r="C252" s="31"/>
      <c r="D252" s="31"/>
      <c r="E252" s="31"/>
      <c r="F252" s="31"/>
      <c r="G252" s="31"/>
      <c r="H252" s="31"/>
      <c r="I252" s="31"/>
      <c r="J252" s="31"/>
      <c r="K252" s="31"/>
    </row>
    <row r="253" customFormat="false" ht="15" hidden="false" customHeight="false" outlineLevel="0" collapsed="false">
      <c r="A253" s="22" t="s">
        <v>971</v>
      </c>
      <c r="B253" s="11" t="n">
        <v>1</v>
      </c>
      <c r="C253" s="22" t="s">
        <v>1003</v>
      </c>
      <c r="D253" s="21" t="s">
        <v>1294</v>
      </c>
      <c r="E253" s="11" t="s">
        <v>1005</v>
      </c>
      <c r="F253" s="11"/>
      <c r="G253" s="11" t="s">
        <v>394</v>
      </c>
      <c r="H253" s="22"/>
      <c r="I253" s="11" t="s">
        <v>394</v>
      </c>
      <c r="J253" s="21" t="s">
        <v>1006</v>
      </c>
      <c r="K253" s="22"/>
    </row>
    <row r="254" customFormat="false" ht="15" hidden="false" customHeight="false" outlineLevel="0" collapsed="false">
      <c r="A254" s="22" t="s">
        <v>971</v>
      </c>
      <c r="B254" s="11" t="n">
        <v>2</v>
      </c>
      <c r="C254" s="22" t="s">
        <v>1295</v>
      </c>
      <c r="D254" s="21" t="s">
        <v>1282</v>
      </c>
      <c r="E254" s="11" t="s">
        <v>1005</v>
      </c>
      <c r="F254" s="11"/>
      <c r="G254" s="11"/>
      <c r="H254" s="22" t="s">
        <v>1296</v>
      </c>
      <c r="I254" s="11" t="s">
        <v>394</v>
      </c>
      <c r="J254" s="22"/>
      <c r="K254" s="22"/>
    </row>
    <row r="255" customFormat="false" ht="15" hidden="false" customHeight="false" outlineLevel="0" collapsed="false">
      <c r="A255" s="22" t="s">
        <v>971</v>
      </c>
      <c r="B255" s="11" t="n">
        <v>3</v>
      </c>
      <c r="C255" s="22" t="s">
        <v>1297</v>
      </c>
      <c r="D255" s="21" t="s">
        <v>1276</v>
      </c>
      <c r="E255" s="11" t="s">
        <v>1005</v>
      </c>
      <c r="F255" s="11"/>
      <c r="G255" s="11"/>
      <c r="H255" s="22" t="s">
        <v>1298</v>
      </c>
      <c r="I255" s="11" t="s">
        <v>394</v>
      </c>
      <c r="J255" s="22"/>
      <c r="K255" s="22"/>
    </row>
    <row r="256" customFormat="false" ht="15" hidden="false" customHeight="false" outlineLevel="0" collapsed="false">
      <c r="A256" s="22" t="s">
        <v>971</v>
      </c>
      <c r="B256" s="11" t="n">
        <v>4</v>
      </c>
      <c r="C256" s="22" t="s">
        <v>1188</v>
      </c>
      <c r="D256" s="21" t="s">
        <v>1052</v>
      </c>
      <c r="E256" s="11" t="s">
        <v>1005</v>
      </c>
      <c r="F256" s="11"/>
      <c r="G256" s="11"/>
      <c r="H256" s="22" t="s">
        <v>1189</v>
      </c>
      <c r="I256" s="11" t="s">
        <v>394</v>
      </c>
      <c r="J256" s="22"/>
      <c r="K256" s="21" t="s">
        <v>1299</v>
      </c>
    </row>
    <row r="257" customFormat="false" ht="15" hidden="false" customHeight="false" outlineLevel="0" collapsed="false">
      <c r="A257" s="32" t="s">
        <v>971</v>
      </c>
      <c r="B257" s="33" t="n">
        <v>5</v>
      </c>
      <c r="C257" s="32" t="s">
        <v>1213</v>
      </c>
      <c r="D257" s="34" t="s">
        <v>1214</v>
      </c>
      <c r="E257" s="33" t="s">
        <v>1005</v>
      </c>
      <c r="F257" s="33"/>
      <c r="G257" s="33"/>
      <c r="H257" s="32" t="s">
        <v>1215</v>
      </c>
      <c r="I257" s="33" t="s">
        <v>394</v>
      </c>
      <c r="J257" s="32"/>
      <c r="K257" s="34" t="s">
        <v>1300</v>
      </c>
    </row>
    <row r="258" customFormat="false" ht="15" hidden="false" customHeight="false" outlineLevel="0" collapsed="false">
      <c r="A258" s="22" t="s">
        <v>971</v>
      </c>
      <c r="B258" s="11" t="n">
        <v>6</v>
      </c>
      <c r="C258" s="22" t="s">
        <v>1217</v>
      </c>
      <c r="D258" s="21" t="s">
        <v>1301</v>
      </c>
      <c r="E258" s="11" t="s">
        <v>1005</v>
      </c>
      <c r="F258" s="11"/>
      <c r="G258" s="11"/>
      <c r="H258" s="22" t="s">
        <v>1219</v>
      </c>
      <c r="I258" s="11" t="s">
        <v>394</v>
      </c>
      <c r="J258" s="22"/>
      <c r="K258" s="22"/>
    </row>
    <row r="259" customFormat="false" ht="15" hidden="false" customHeight="false" outlineLevel="0" collapsed="false">
      <c r="A259" s="22" t="s">
        <v>971</v>
      </c>
      <c r="B259" s="11" t="n">
        <v>7</v>
      </c>
      <c r="C259" s="22" t="s">
        <v>1190</v>
      </c>
      <c r="D259" s="21" t="s">
        <v>519</v>
      </c>
      <c r="E259" s="11" t="s">
        <v>1048</v>
      </c>
      <c r="F259" s="11"/>
      <c r="G259" s="11"/>
      <c r="H259" s="22"/>
      <c r="I259" s="11" t="s">
        <v>394</v>
      </c>
      <c r="J259" s="22"/>
      <c r="K259" s="22" t="s">
        <v>1192</v>
      </c>
    </row>
    <row r="260" customFormat="false" ht="15" hidden="false" customHeight="false" outlineLevel="0" collapsed="false">
      <c r="A260" s="22" t="s">
        <v>971</v>
      </c>
      <c r="B260" s="11" t="n">
        <v>8</v>
      </c>
      <c r="C260" s="22" t="s">
        <v>1193</v>
      </c>
      <c r="D260" s="21" t="s">
        <v>495</v>
      </c>
      <c r="E260" s="11" t="s">
        <v>1067</v>
      </c>
      <c r="F260" s="11" t="s">
        <v>430</v>
      </c>
      <c r="G260" s="11"/>
      <c r="H260" s="22"/>
      <c r="I260" s="11" t="s">
        <v>394</v>
      </c>
      <c r="J260" s="22"/>
      <c r="K260" s="21" t="s">
        <v>1302</v>
      </c>
    </row>
    <row r="261" customFormat="false" ht="15" hidden="false" customHeight="false" outlineLevel="0" collapsed="false">
      <c r="A261" s="22" t="s">
        <v>971</v>
      </c>
      <c r="B261" s="11" t="n">
        <v>9</v>
      </c>
      <c r="C261" s="22" t="s">
        <v>1303</v>
      </c>
      <c r="D261" s="21" t="s">
        <v>1304</v>
      </c>
      <c r="E261" s="11" t="s">
        <v>1067</v>
      </c>
      <c r="F261" s="11" t="s">
        <v>430</v>
      </c>
      <c r="G261" s="11"/>
      <c r="H261" s="22"/>
      <c r="I261" s="11" t="s">
        <v>394</v>
      </c>
      <c r="J261" s="22"/>
      <c r="K261" s="21" t="s">
        <v>1305</v>
      </c>
    </row>
    <row r="262" customFormat="false" ht="15" hidden="false" customHeight="false" outlineLevel="0" collapsed="false">
      <c r="A262" s="22" t="s">
        <v>971</v>
      </c>
      <c r="B262" s="11" t="n">
        <v>10</v>
      </c>
      <c r="C262" s="22" t="s">
        <v>1036</v>
      </c>
      <c r="D262" s="21" t="s">
        <v>1037</v>
      </c>
      <c r="E262" s="11" t="s">
        <v>1038</v>
      </c>
      <c r="F262" s="11"/>
      <c r="G262" s="11"/>
      <c r="H262" s="22"/>
      <c r="I262" s="11" t="s">
        <v>394</v>
      </c>
      <c r="J262" s="21" t="s">
        <v>1039</v>
      </c>
      <c r="K262" s="22"/>
    </row>
    <row r="263" customFormat="false" ht="15" hidden="false" customHeight="false" outlineLevel="0" collapsed="false">
      <c r="A263" s="22" t="s">
        <v>971</v>
      </c>
      <c r="B263" s="11" t="n">
        <v>11</v>
      </c>
      <c r="C263" s="22" t="s">
        <v>1040</v>
      </c>
      <c r="D263" s="21" t="s">
        <v>1041</v>
      </c>
      <c r="E263" s="11" t="s">
        <v>1005</v>
      </c>
      <c r="F263" s="11"/>
      <c r="G263" s="11"/>
      <c r="H263" s="22" t="s">
        <v>1042</v>
      </c>
      <c r="I263" s="11" t="s">
        <v>394</v>
      </c>
      <c r="J263" s="22"/>
      <c r="K263" s="22"/>
    </row>
    <row r="264" customFormat="false" ht="15" hidden="false" customHeight="false" outlineLevel="0" collapsed="false">
      <c r="A264" s="22" t="s">
        <v>971</v>
      </c>
      <c r="B264" s="11" t="n">
        <v>12</v>
      </c>
      <c r="C264" s="22" t="s">
        <v>1043</v>
      </c>
      <c r="D264" s="21" t="s">
        <v>1044</v>
      </c>
      <c r="E264" s="11" t="s">
        <v>1038</v>
      </c>
      <c r="F264" s="11"/>
      <c r="G264" s="11"/>
      <c r="H264" s="22"/>
      <c r="I264" s="11" t="s">
        <v>394</v>
      </c>
      <c r="J264" s="21" t="s">
        <v>1039</v>
      </c>
      <c r="K264" s="22"/>
    </row>
    <row r="265" customFormat="false" ht="15" hidden="false" customHeight="false" outlineLevel="0" collapsed="false">
      <c r="A265" s="22" t="s">
        <v>971</v>
      </c>
      <c r="B265" s="11" t="n">
        <v>13</v>
      </c>
      <c r="C265" s="22" t="s">
        <v>1045</v>
      </c>
      <c r="D265" s="21" t="s">
        <v>1046</v>
      </c>
      <c r="E265" s="11" t="s">
        <v>1005</v>
      </c>
      <c r="F265" s="11"/>
      <c r="G265" s="11"/>
      <c r="H265" s="22" t="s">
        <v>1042</v>
      </c>
      <c r="I265" s="11" t="s">
        <v>394</v>
      </c>
      <c r="J265" s="22"/>
      <c r="K265" s="22"/>
    </row>
    <row r="266" customFormat="false" ht="15" hidden="false" customHeight="false" outlineLevel="0" collapsed="false">
      <c r="A266" s="22" t="s">
        <v>971</v>
      </c>
      <c r="B266" s="11" t="n">
        <v>14</v>
      </c>
      <c r="C266" s="22" t="s">
        <v>1047</v>
      </c>
      <c r="D266" s="21" t="s">
        <v>2</v>
      </c>
      <c r="E266" s="11" t="s">
        <v>1048</v>
      </c>
      <c r="F266" s="11"/>
      <c r="G266" s="11"/>
      <c r="H266" s="22"/>
      <c r="I266" s="11" t="s">
        <v>394</v>
      </c>
      <c r="J266" s="22" t="s">
        <v>1049</v>
      </c>
      <c r="K266" s="21" t="s">
        <v>1050</v>
      </c>
    </row>
    <row r="267" customFormat="false" ht="15" hidden="false" customHeight="true" outlineLevel="0" collapsed="false">
      <c r="A267" s="30" t="s">
        <v>975</v>
      </c>
      <c r="B267" s="31" t="s">
        <v>1306</v>
      </c>
      <c r="C267" s="31"/>
      <c r="D267" s="31"/>
      <c r="E267" s="31"/>
      <c r="F267" s="31"/>
      <c r="G267" s="31"/>
      <c r="H267" s="31"/>
      <c r="I267" s="31"/>
      <c r="J267" s="31"/>
      <c r="K267" s="31"/>
    </row>
    <row r="268" customFormat="false" ht="15" hidden="false" customHeight="false" outlineLevel="0" collapsed="false">
      <c r="A268" s="22" t="s">
        <v>975</v>
      </c>
      <c r="B268" s="11" t="n">
        <v>1</v>
      </c>
      <c r="C268" s="22" t="s">
        <v>1003</v>
      </c>
      <c r="D268" s="21" t="s">
        <v>1307</v>
      </c>
      <c r="E268" s="11" t="s">
        <v>1005</v>
      </c>
      <c r="F268" s="11"/>
      <c r="G268" s="11" t="s">
        <v>394</v>
      </c>
      <c r="H268" s="22"/>
      <c r="I268" s="11" t="s">
        <v>394</v>
      </c>
      <c r="J268" s="21" t="s">
        <v>1006</v>
      </c>
      <c r="K268" s="22"/>
    </row>
    <row r="269" customFormat="false" ht="15" hidden="false" customHeight="false" outlineLevel="0" collapsed="false">
      <c r="A269" s="22" t="s">
        <v>975</v>
      </c>
      <c r="B269" s="11" t="n">
        <v>2</v>
      </c>
      <c r="C269" s="22" t="s">
        <v>1308</v>
      </c>
      <c r="D269" s="21" t="s">
        <v>1309</v>
      </c>
      <c r="E269" s="11" t="s">
        <v>1009</v>
      </c>
      <c r="F269" s="11" t="s">
        <v>1010</v>
      </c>
      <c r="G269" s="11"/>
      <c r="H269" s="22"/>
      <c r="I269" s="11" t="s">
        <v>394</v>
      </c>
      <c r="J269" s="22"/>
      <c r="K269" s="22" t="s">
        <v>1310</v>
      </c>
    </row>
    <row r="270" customFormat="false" ht="15" hidden="false" customHeight="false" outlineLevel="0" collapsed="false">
      <c r="A270" s="22" t="s">
        <v>975</v>
      </c>
      <c r="B270" s="11" t="n">
        <v>3</v>
      </c>
      <c r="C270" s="22" t="s">
        <v>1311</v>
      </c>
      <c r="D270" s="21" t="s">
        <v>1312</v>
      </c>
      <c r="E270" s="11" t="s">
        <v>1005</v>
      </c>
      <c r="F270" s="11"/>
      <c r="G270" s="11"/>
      <c r="H270" s="22" t="s">
        <v>1313</v>
      </c>
      <c r="I270" s="11" t="s">
        <v>394</v>
      </c>
      <c r="J270" s="22"/>
      <c r="K270" s="21" t="s">
        <v>1314</v>
      </c>
    </row>
    <row r="271" customFormat="false" ht="15" hidden="false" customHeight="false" outlineLevel="0" collapsed="false">
      <c r="A271" s="22" t="s">
        <v>975</v>
      </c>
      <c r="B271" s="11" t="n">
        <v>4</v>
      </c>
      <c r="C271" s="22" t="s">
        <v>1315</v>
      </c>
      <c r="D271" s="21" t="s">
        <v>1316</v>
      </c>
      <c r="E271" s="11" t="s">
        <v>1169</v>
      </c>
      <c r="F271" s="11"/>
      <c r="G271" s="11"/>
      <c r="H271" s="22"/>
      <c r="I271" s="11" t="s">
        <v>394</v>
      </c>
      <c r="J271" s="22"/>
      <c r="K271" s="22"/>
    </row>
    <row r="272" customFormat="false" ht="15" hidden="false" customHeight="false" outlineLevel="0" collapsed="false">
      <c r="A272" s="22" t="s">
        <v>975</v>
      </c>
      <c r="B272" s="11" t="n">
        <v>5</v>
      </c>
      <c r="C272" s="22" t="s">
        <v>1190</v>
      </c>
      <c r="D272" s="21" t="s">
        <v>1317</v>
      </c>
      <c r="E272" s="11" t="s">
        <v>1048</v>
      </c>
      <c r="F272" s="11"/>
      <c r="G272" s="11"/>
      <c r="H272" s="22"/>
      <c r="I272" s="11" t="s">
        <v>394</v>
      </c>
      <c r="J272" s="22"/>
      <c r="K272" s="22" t="s">
        <v>1318</v>
      </c>
    </row>
    <row r="273" customFormat="false" ht="15" hidden="false" customHeight="false" outlineLevel="0" collapsed="false">
      <c r="A273" s="22" t="s">
        <v>975</v>
      </c>
      <c r="B273" s="11" t="n">
        <v>6</v>
      </c>
      <c r="C273" s="22" t="s">
        <v>1262</v>
      </c>
      <c r="D273" s="21" t="s">
        <v>1319</v>
      </c>
      <c r="E273" s="11" t="s">
        <v>1181</v>
      </c>
      <c r="F273" s="11"/>
      <c r="G273" s="11"/>
      <c r="H273" s="22"/>
      <c r="I273" s="11" t="s">
        <v>394</v>
      </c>
      <c r="J273" s="22"/>
      <c r="K273" s="22"/>
    </row>
    <row r="274" customFormat="false" ht="15" hidden="false" customHeight="false" outlineLevel="0" collapsed="false">
      <c r="A274" s="22" t="s">
        <v>975</v>
      </c>
      <c r="B274" s="11" t="n">
        <v>7</v>
      </c>
      <c r="C274" s="22" t="s">
        <v>1320</v>
      </c>
      <c r="D274" s="21" t="s">
        <v>1321</v>
      </c>
      <c r="E274" s="11" t="s">
        <v>1009</v>
      </c>
      <c r="F274" s="11" t="s">
        <v>1010</v>
      </c>
      <c r="G274" s="11"/>
      <c r="H274" s="22"/>
      <c r="I274" s="11"/>
      <c r="J274" s="22"/>
      <c r="K274" s="22" t="s">
        <v>1322</v>
      </c>
    </row>
    <row r="275" customFormat="false" ht="15" hidden="false" customHeight="false" outlineLevel="0" collapsed="false">
      <c r="A275" s="22" t="s">
        <v>975</v>
      </c>
      <c r="B275" s="11" t="n">
        <v>8</v>
      </c>
      <c r="C275" s="22" t="s">
        <v>1217</v>
      </c>
      <c r="D275" s="21" t="s">
        <v>1323</v>
      </c>
      <c r="E275" s="11" t="s">
        <v>1005</v>
      </c>
      <c r="F275" s="11"/>
      <c r="G275" s="11"/>
      <c r="H275" s="22" t="s">
        <v>1219</v>
      </c>
      <c r="I275" s="11"/>
      <c r="J275" s="22"/>
      <c r="K275" s="22" t="s">
        <v>1324</v>
      </c>
    </row>
    <row r="276" customFormat="false" ht="15" hidden="false" customHeight="false" outlineLevel="0" collapsed="false">
      <c r="A276" s="22" t="s">
        <v>975</v>
      </c>
      <c r="B276" s="11" t="n">
        <v>9</v>
      </c>
      <c r="C276" s="22" t="s">
        <v>1172</v>
      </c>
      <c r="D276" s="21" t="s">
        <v>1173</v>
      </c>
      <c r="E276" s="11" t="s">
        <v>1009</v>
      </c>
      <c r="F276" s="11" t="s">
        <v>1010</v>
      </c>
      <c r="G276" s="11"/>
      <c r="H276" s="22"/>
      <c r="I276" s="11" t="s">
        <v>394</v>
      </c>
      <c r="J276" s="22" t="s">
        <v>1325</v>
      </c>
      <c r="K276" s="22" t="s">
        <v>1326</v>
      </c>
    </row>
    <row r="277" customFormat="false" ht="15" hidden="false" customHeight="false" outlineLevel="0" collapsed="false">
      <c r="A277" s="22" t="s">
        <v>975</v>
      </c>
      <c r="B277" s="11" t="n">
        <v>10</v>
      </c>
      <c r="C277" s="22" t="s">
        <v>1036</v>
      </c>
      <c r="D277" s="21" t="s">
        <v>1037</v>
      </c>
      <c r="E277" s="11" t="s">
        <v>1038</v>
      </c>
      <c r="F277" s="11"/>
      <c r="G277" s="11"/>
      <c r="H277" s="22"/>
      <c r="I277" s="11" t="s">
        <v>394</v>
      </c>
      <c r="J277" s="21" t="s">
        <v>1039</v>
      </c>
      <c r="K277" s="22"/>
    </row>
    <row r="278" customFormat="false" ht="15" hidden="false" customHeight="false" outlineLevel="0" collapsed="false">
      <c r="A278" s="22" t="s">
        <v>975</v>
      </c>
      <c r="B278" s="11" t="n">
        <v>11</v>
      </c>
      <c r="C278" s="22" t="s">
        <v>1040</v>
      </c>
      <c r="D278" s="21" t="s">
        <v>1041</v>
      </c>
      <c r="E278" s="11" t="s">
        <v>1005</v>
      </c>
      <c r="F278" s="11"/>
      <c r="G278" s="11"/>
      <c r="H278" s="22" t="s">
        <v>1042</v>
      </c>
      <c r="I278" s="11" t="s">
        <v>394</v>
      </c>
      <c r="J278" s="22"/>
      <c r="K278" s="22"/>
    </row>
    <row r="279" customFormat="false" ht="15" hidden="false" customHeight="false" outlineLevel="0" collapsed="false">
      <c r="A279" s="22" t="s">
        <v>975</v>
      </c>
      <c r="B279" s="11" t="n">
        <v>12</v>
      </c>
      <c r="C279" s="22" t="s">
        <v>1043</v>
      </c>
      <c r="D279" s="21" t="s">
        <v>1044</v>
      </c>
      <c r="E279" s="11" t="s">
        <v>1038</v>
      </c>
      <c r="F279" s="11"/>
      <c r="G279" s="11"/>
      <c r="H279" s="22"/>
      <c r="I279" s="11" t="s">
        <v>394</v>
      </c>
      <c r="J279" s="21" t="s">
        <v>1039</v>
      </c>
      <c r="K279" s="22"/>
    </row>
    <row r="280" customFormat="false" ht="15" hidden="false" customHeight="false" outlineLevel="0" collapsed="false">
      <c r="A280" s="22" t="s">
        <v>975</v>
      </c>
      <c r="B280" s="11" t="n">
        <v>13</v>
      </c>
      <c r="C280" s="22" t="s">
        <v>1045</v>
      </c>
      <c r="D280" s="21" t="s">
        <v>1046</v>
      </c>
      <c r="E280" s="11" t="s">
        <v>1005</v>
      </c>
      <c r="F280" s="11"/>
      <c r="G280" s="11"/>
      <c r="H280" s="22" t="s">
        <v>1042</v>
      </c>
      <c r="I280" s="11" t="s">
        <v>394</v>
      </c>
      <c r="J280" s="22"/>
      <c r="K280" s="22"/>
    </row>
    <row r="281" customFormat="false" ht="15" hidden="false" customHeight="false" outlineLevel="0" collapsed="false">
      <c r="A281" s="22" t="s">
        <v>975</v>
      </c>
      <c r="B281" s="11" t="n">
        <v>14</v>
      </c>
      <c r="C281" s="22" t="s">
        <v>1047</v>
      </c>
      <c r="D281" s="21" t="s">
        <v>2</v>
      </c>
      <c r="E281" s="11" t="s">
        <v>1048</v>
      </c>
      <c r="F281" s="11"/>
      <c r="G281" s="11"/>
      <c r="H281" s="22"/>
      <c r="I281" s="11" t="s">
        <v>394</v>
      </c>
      <c r="J281" s="22" t="s">
        <v>1049</v>
      </c>
      <c r="K281" s="21" t="s">
        <v>1050</v>
      </c>
    </row>
    <row r="282" customFormat="false" ht="15" hidden="false" customHeight="true" outlineLevel="0" collapsed="false">
      <c r="A282" s="30" t="s">
        <v>978</v>
      </c>
      <c r="B282" s="31" t="s">
        <v>1327</v>
      </c>
      <c r="C282" s="31"/>
      <c r="D282" s="31"/>
      <c r="E282" s="31"/>
      <c r="F282" s="31"/>
      <c r="G282" s="31"/>
      <c r="H282" s="31"/>
      <c r="I282" s="31"/>
      <c r="J282" s="31"/>
      <c r="K282" s="31"/>
    </row>
    <row r="283" customFormat="false" ht="15" hidden="false" customHeight="false" outlineLevel="0" collapsed="false">
      <c r="A283" s="22" t="s">
        <v>978</v>
      </c>
      <c r="B283" s="11" t="n">
        <v>1</v>
      </c>
      <c r="C283" s="22" t="s">
        <v>1003</v>
      </c>
      <c r="D283" s="21" t="s">
        <v>1328</v>
      </c>
      <c r="E283" s="11" t="s">
        <v>1005</v>
      </c>
      <c r="F283" s="11"/>
      <c r="G283" s="11" t="s">
        <v>394</v>
      </c>
      <c r="H283" s="22"/>
      <c r="I283" s="11" t="s">
        <v>394</v>
      </c>
      <c r="J283" s="21" t="s">
        <v>1006</v>
      </c>
      <c r="K283" s="22"/>
    </row>
    <row r="284" customFormat="false" ht="15" hidden="false" customHeight="false" outlineLevel="0" collapsed="false">
      <c r="A284" s="22" t="s">
        <v>978</v>
      </c>
      <c r="B284" s="11" t="n">
        <v>2</v>
      </c>
      <c r="C284" s="22" t="s">
        <v>1329</v>
      </c>
      <c r="D284" s="21" t="s">
        <v>560</v>
      </c>
      <c r="E284" s="11" t="s">
        <v>1009</v>
      </c>
      <c r="F284" s="11" t="s">
        <v>1010</v>
      </c>
      <c r="G284" s="11"/>
      <c r="H284" s="22"/>
      <c r="I284" s="11" t="s">
        <v>394</v>
      </c>
      <c r="J284" s="22"/>
      <c r="K284" s="22" t="s">
        <v>1330</v>
      </c>
    </row>
    <row r="285" customFormat="false" ht="15" hidden="false" customHeight="false" outlineLevel="0" collapsed="false">
      <c r="A285" s="22" t="s">
        <v>978</v>
      </c>
      <c r="B285" s="11" t="n">
        <v>3</v>
      </c>
      <c r="C285" s="22" t="s">
        <v>1331</v>
      </c>
      <c r="D285" s="21" t="s">
        <v>562</v>
      </c>
      <c r="E285" s="11" t="s">
        <v>1009</v>
      </c>
      <c r="F285" s="11" t="s">
        <v>563</v>
      </c>
      <c r="G285" s="11"/>
      <c r="H285" s="22"/>
      <c r="I285" s="11" t="s">
        <v>394</v>
      </c>
      <c r="J285" s="22"/>
      <c r="K285" s="22"/>
    </row>
    <row r="286" customFormat="false" ht="15" hidden="false" customHeight="false" outlineLevel="0" collapsed="false">
      <c r="A286" s="22" t="s">
        <v>978</v>
      </c>
      <c r="B286" s="11" t="n">
        <v>4</v>
      </c>
      <c r="C286" s="22" t="s">
        <v>1262</v>
      </c>
      <c r="D286" s="21" t="s">
        <v>565</v>
      </c>
      <c r="E286" s="11" t="s">
        <v>1181</v>
      </c>
      <c r="F286" s="11"/>
      <c r="G286" s="11"/>
      <c r="H286" s="22"/>
      <c r="I286" s="11" t="s">
        <v>394</v>
      </c>
      <c r="J286" s="22"/>
      <c r="K286" s="22"/>
    </row>
    <row r="287" customFormat="false" ht="15" hidden="false" customHeight="false" outlineLevel="0" collapsed="false">
      <c r="A287" s="22" t="s">
        <v>978</v>
      </c>
      <c r="B287" s="11" t="n">
        <v>5</v>
      </c>
      <c r="C287" s="22" t="s">
        <v>1332</v>
      </c>
      <c r="D287" s="21" t="s">
        <v>568</v>
      </c>
      <c r="E287" s="11" t="s">
        <v>1009</v>
      </c>
      <c r="F287" s="11" t="s">
        <v>1074</v>
      </c>
      <c r="G287" s="11"/>
      <c r="H287" s="22"/>
      <c r="I287" s="11" t="s">
        <v>394</v>
      </c>
      <c r="J287" s="22"/>
      <c r="K287" s="21" t="s">
        <v>1333</v>
      </c>
    </row>
    <row r="288" customFormat="false" ht="15" hidden="false" customHeight="false" outlineLevel="0" collapsed="false">
      <c r="A288" s="22" t="s">
        <v>978</v>
      </c>
      <c r="B288" s="11" t="n">
        <v>6</v>
      </c>
      <c r="C288" s="22" t="s">
        <v>1334</v>
      </c>
      <c r="D288" s="21" t="s">
        <v>1335</v>
      </c>
      <c r="E288" s="11" t="s">
        <v>1169</v>
      </c>
      <c r="F288" s="11"/>
      <c r="G288" s="11"/>
      <c r="H288" s="22"/>
      <c r="I288" s="11" t="s">
        <v>394</v>
      </c>
      <c r="J288" s="22"/>
      <c r="K288" s="22"/>
    </row>
    <row r="289" customFormat="false" ht="15" hidden="false" customHeight="false" outlineLevel="0" collapsed="false">
      <c r="A289" s="22" t="s">
        <v>978</v>
      </c>
      <c r="B289" s="11" t="n">
        <v>7</v>
      </c>
      <c r="C289" s="22" t="s">
        <v>1336</v>
      </c>
      <c r="D289" s="21" t="s">
        <v>1337</v>
      </c>
      <c r="E289" s="11" t="s">
        <v>1169</v>
      </c>
      <c r="F289" s="11"/>
      <c r="G289" s="11"/>
      <c r="H289" s="22"/>
      <c r="I289" s="11"/>
      <c r="J289" s="22"/>
      <c r="K289" s="22"/>
    </row>
    <row r="290" customFormat="false" ht="15" hidden="false" customHeight="false" outlineLevel="0" collapsed="false">
      <c r="A290" s="22" t="s">
        <v>978</v>
      </c>
      <c r="B290" s="11" t="n">
        <v>8</v>
      </c>
      <c r="C290" s="22" t="s">
        <v>1172</v>
      </c>
      <c r="D290" s="21" t="s">
        <v>1173</v>
      </c>
      <c r="E290" s="11" t="s">
        <v>1009</v>
      </c>
      <c r="F290" s="11" t="s">
        <v>1010</v>
      </c>
      <c r="G290" s="11"/>
      <c r="H290" s="22"/>
      <c r="I290" s="11" t="s">
        <v>394</v>
      </c>
      <c r="J290" s="22" t="s">
        <v>1274</v>
      </c>
      <c r="K290" s="22" t="s">
        <v>1338</v>
      </c>
    </row>
    <row r="291" customFormat="false" ht="15" hidden="false" customHeight="false" outlineLevel="0" collapsed="false">
      <c r="A291" s="22" t="s">
        <v>978</v>
      </c>
      <c r="B291" s="11" t="n">
        <v>9</v>
      </c>
      <c r="C291" s="22" t="s">
        <v>1036</v>
      </c>
      <c r="D291" s="21" t="s">
        <v>1037</v>
      </c>
      <c r="E291" s="11" t="s">
        <v>1038</v>
      </c>
      <c r="F291" s="11"/>
      <c r="G291" s="11"/>
      <c r="H291" s="22"/>
      <c r="I291" s="11" t="s">
        <v>394</v>
      </c>
      <c r="J291" s="21" t="s">
        <v>1039</v>
      </c>
      <c r="K291" s="22"/>
    </row>
    <row r="292" customFormat="false" ht="15" hidden="false" customHeight="false" outlineLevel="0" collapsed="false">
      <c r="A292" s="22" t="s">
        <v>978</v>
      </c>
      <c r="B292" s="11" t="n">
        <v>10</v>
      </c>
      <c r="C292" s="22" t="s">
        <v>1040</v>
      </c>
      <c r="D292" s="21" t="s">
        <v>1041</v>
      </c>
      <c r="E292" s="11" t="s">
        <v>1005</v>
      </c>
      <c r="F292" s="11"/>
      <c r="G292" s="11"/>
      <c r="H292" s="22" t="s">
        <v>1042</v>
      </c>
      <c r="I292" s="11" t="s">
        <v>394</v>
      </c>
      <c r="J292" s="22"/>
      <c r="K292" s="22"/>
    </row>
    <row r="293" customFormat="false" ht="15" hidden="false" customHeight="false" outlineLevel="0" collapsed="false">
      <c r="A293" s="22" t="s">
        <v>978</v>
      </c>
      <c r="B293" s="11" t="n">
        <v>11</v>
      </c>
      <c r="C293" s="22" t="s">
        <v>1043</v>
      </c>
      <c r="D293" s="21" t="s">
        <v>1044</v>
      </c>
      <c r="E293" s="11" t="s">
        <v>1038</v>
      </c>
      <c r="F293" s="11"/>
      <c r="G293" s="11"/>
      <c r="H293" s="22"/>
      <c r="I293" s="11" t="s">
        <v>394</v>
      </c>
      <c r="J293" s="21" t="s">
        <v>1039</v>
      </c>
      <c r="K293" s="22"/>
    </row>
    <row r="294" customFormat="false" ht="15" hidden="false" customHeight="false" outlineLevel="0" collapsed="false">
      <c r="A294" s="22" t="s">
        <v>978</v>
      </c>
      <c r="B294" s="11" t="n">
        <v>12</v>
      </c>
      <c r="C294" s="22" t="s">
        <v>1045</v>
      </c>
      <c r="D294" s="21" t="s">
        <v>1046</v>
      </c>
      <c r="E294" s="11" t="s">
        <v>1005</v>
      </c>
      <c r="F294" s="11"/>
      <c r="G294" s="11"/>
      <c r="H294" s="22" t="s">
        <v>1042</v>
      </c>
      <c r="I294" s="11" t="s">
        <v>394</v>
      </c>
      <c r="J294" s="22"/>
      <c r="K294" s="22"/>
    </row>
    <row r="295" customFormat="false" ht="15" hidden="false" customHeight="false" outlineLevel="0" collapsed="false">
      <c r="A295" s="22" t="s">
        <v>978</v>
      </c>
      <c r="B295" s="11" t="n">
        <v>13</v>
      </c>
      <c r="C295" s="22" t="s">
        <v>1047</v>
      </c>
      <c r="D295" s="21" t="s">
        <v>2</v>
      </c>
      <c r="E295" s="11" t="s">
        <v>1048</v>
      </c>
      <c r="F295" s="11"/>
      <c r="G295" s="11"/>
      <c r="H295" s="22"/>
      <c r="I295" s="11" t="s">
        <v>394</v>
      </c>
      <c r="J295" s="22" t="s">
        <v>1049</v>
      </c>
      <c r="K295" s="21" t="s">
        <v>1050</v>
      </c>
    </row>
    <row r="296" customFormat="false" ht="15" hidden="false" customHeight="true" outlineLevel="0" collapsed="false">
      <c r="A296" s="30" t="s">
        <v>980</v>
      </c>
      <c r="B296" s="31" t="s">
        <v>1339</v>
      </c>
      <c r="C296" s="31"/>
      <c r="D296" s="31"/>
      <c r="E296" s="31"/>
      <c r="F296" s="31"/>
      <c r="G296" s="31"/>
      <c r="H296" s="31"/>
      <c r="I296" s="31"/>
      <c r="J296" s="31"/>
      <c r="K296" s="31"/>
    </row>
    <row r="297" customFormat="false" ht="15" hidden="false" customHeight="false" outlineLevel="0" collapsed="false">
      <c r="A297" s="22" t="s">
        <v>980</v>
      </c>
      <c r="B297" s="11" t="n">
        <v>1</v>
      </c>
      <c r="C297" s="22" t="s">
        <v>1003</v>
      </c>
      <c r="D297" s="22" t="s">
        <v>1340</v>
      </c>
      <c r="E297" s="11" t="s">
        <v>1005</v>
      </c>
      <c r="F297" s="11"/>
      <c r="G297" s="11" t="s">
        <v>394</v>
      </c>
      <c r="H297" s="22"/>
      <c r="I297" s="11" t="s">
        <v>394</v>
      </c>
      <c r="J297" s="21" t="s">
        <v>1006</v>
      </c>
      <c r="K297" s="22"/>
    </row>
    <row r="298" customFormat="false" ht="15" hidden="false" customHeight="false" outlineLevel="0" collapsed="false">
      <c r="A298" s="22" t="s">
        <v>980</v>
      </c>
      <c r="B298" s="11" t="n">
        <v>2</v>
      </c>
      <c r="C298" s="22" t="s">
        <v>1341</v>
      </c>
      <c r="D298" s="21" t="s">
        <v>1328</v>
      </c>
      <c r="E298" s="11" t="s">
        <v>1005</v>
      </c>
      <c r="F298" s="11"/>
      <c r="G298" s="11"/>
      <c r="H298" s="22" t="s">
        <v>1342</v>
      </c>
      <c r="I298" s="11" t="s">
        <v>394</v>
      </c>
      <c r="J298" s="22"/>
      <c r="K298" s="22" t="s">
        <v>1343</v>
      </c>
    </row>
    <row r="299" customFormat="false" ht="15" hidden="false" customHeight="false" outlineLevel="0" collapsed="false">
      <c r="A299" s="22" t="s">
        <v>980</v>
      </c>
      <c r="B299" s="11" t="n">
        <v>3</v>
      </c>
      <c r="C299" s="22" t="s">
        <v>1213</v>
      </c>
      <c r="D299" s="21" t="s">
        <v>1214</v>
      </c>
      <c r="E299" s="11" t="s">
        <v>1005</v>
      </c>
      <c r="F299" s="11"/>
      <c r="G299" s="11"/>
      <c r="H299" s="22" t="s">
        <v>1215</v>
      </c>
      <c r="I299" s="11" t="s">
        <v>394</v>
      </c>
      <c r="J299" s="22"/>
      <c r="K299" s="22"/>
    </row>
    <row r="300" customFormat="false" ht="15" hidden="false" customHeight="false" outlineLevel="0" collapsed="false">
      <c r="A300" s="22" t="s">
        <v>980</v>
      </c>
      <c r="B300" s="11" t="n">
        <v>4</v>
      </c>
      <c r="C300" s="22" t="s">
        <v>1036</v>
      </c>
      <c r="D300" s="21" t="s">
        <v>1037</v>
      </c>
      <c r="E300" s="11" t="s">
        <v>1038</v>
      </c>
      <c r="F300" s="11"/>
      <c r="G300" s="11"/>
      <c r="H300" s="22"/>
      <c r="I300" s="11" t="s">
        <v>394</v>
      </c>
      <c r="J300" s="21" t="s">
        <v>1039</v>
      </c>
      <c r="K300" s="22"/>
    </row>
    <row r="301" customFormat="false" ht="15" hidden="false" customHeight="false" outlineLevel="0" collapsed="false">
      <c r="A301" s="22" t="s">
        <v>980</v>
      </c>
      <c r="B301" s="11" t="n">
        <v>5</v>
      </c>
      <c r="C301" s="22" t="s">
        <v>1040</v>
      </c>
      <c r="D301" s="21" t="s">
        <v>1041</v>
      </c>
      <c r="E301" s="11" t="s">
        <v>1005</v>
      </c>
      <c r="F301" s="11"/>
      <c r="G301" s="11"/>
      <c r="H301" s="22" t="s">
        <v>1042</v>
      </c>
      <c r="I301" s="11" t="s">
        <v>394</v>
      </c>
      <c r="J301" s="22"/>
      <c r="K301" s="22"/>
    </row>
    <row r="302" customFormat="false" ht="15" hidden="false" customHeight="false" outlineLevel="0" collapsed="false">
      <c r="A302" s="22" t="s">
        <v>980</v>
      </c>
      <c r="B302" s="11" t="n">
        <v>6</v>
      </c>
      <c r="C302" s="22" t="s">
        <v>1043</v>
      </c>
      <c r="D302" s="21" t="s">
        <v>1044</v>
      </c>
      <c r="E302" s="11" t="s">
        <v>1038</v>
      </c>
      <c r="F302" s="11"/>
      <c r="G302" s="11"/>
      <c r="H302" s="22"/>
      <c r="I302" s="11" t="s">
        <v>394</v>
      </c>
      <c r="J302" s="21" t="s">
        <v>1039</v>
      </c>
      <c r="K302" s="22"/>
    </row>
    <row r="303" customFormat="false" ht="15" hidden="false" customHeight="false" outlineLevel="0" collapsed="false">
      <c r="A303" s="22" t="s">
        <v>980</v>
      </c>
      <c r="B303" s="11" t="n">
        <v>7</v>
      </c>
      <c r="C303" s="22" t="s">
        <v>1045</v>
      </c>
      <c r="D303" s="21" t="s">
        <v>1046</v>
      </c>
      <c r="E303" s="11" t="s">
        <v>1005</v>
      </c>
      <c r="F303" s="11"/>
      <c r="G303" s="11"/>
      <c r="H303" s="22" t="s">
        <v>1042</v>
      </c>
      <c r="I303" s="11" t="s">
        <v>394</v>
      </c>
      <c r="J303" s="22"/>
      <c r="K303" s="22"/>
    </row>
    <row r="304" customFormat="false" ht="15" hidden="false" customHeight="false" outlineLevel="0" collapsed="false">
      <c r="A304" s="22" t="s">
        <v>980</v>
      </c>
      <c r="B304" s="11" t="n">
        <v>8</v>
      </c>
      <c r="C304" s="22" t="s">
        <v>1047</v>
      </c>
      <c r="D304" s="21" t="s">
        <v>2</v>
      </c>
      <c r="E304" s="11" t="s">
        <v>1048</v>
      </c>
      <c r="F304" s="11"/>
      <c r="G304" s="11"/>
      <c r="H304" s="22"/>
      <c r="I304" s="11" t="s">
        <v>394</v>
      </c>
      <c r="J304" s="22" t="s">
        <v>1049</v>
      </c>
      <c r="K304" s="21" t="s">
        <v>1050</v>
      </c>
    </row>
    <row r="305" customFormat="false" ht="15" hidden="false" customHeight="true" outlineLevel="0" collapsed="false">
      <c r="A305" s="30" t="s">
        <v>579</v>
      </c>
      <c r="B305" s="31" t="s">
        <v>1344</v>
      </c>
      <c r="C305" s="31"/>
      <c r="D305" s="31"/>
      <c r="E305" s="31"/>
      <c r="F305" s="31"/>
      <c r="G305" s="31"/>
      <c r="H305" s="31"/>
      <c r="I305" s="31"/>
      <c r="J305" s="31"/>
      <c r="K305" s="31"/>
    </row>
    <row r="306" customFormat="false" ht="15" hidden="false" customHeight="false" outlineLevel="0" collapsed="false">
      <c r="A306" s="22" t="s">
        <v>579</v>
      </c>
      <c r="B306" s="11" t="n">
        <v>1</v>
      </c>
      <c r="C306" s="22" t="s">
        <v>1003</v>
      </c>
      <c r="D306" s="22" t="s">
        <v>1340</v>
      </c>
      <c r="E306" s="11" t="s">
        <v>1005</v>
      </c>
      <c r="F306" s="11"/>
      <c r="G306" s="11" t="s">
        <v>394</v>
      </c>
      <c r="H306" s="22"/>
      <c r="I306" s="11" t="s">
        <v>394</v>
      </c>
      <c r="J306" s="21" t="s">
        <v>1006</v>
      </c>
      <c r="K306" s="22"/>
    </row>
    <row r="307" customFormat="false" ht="15" hidden="false" customHeight="false" outlineLevel="0" collapsed="false">
      <c r="A307" s="22" t="s">
        <v>579</v>
      </c>
      <c r="B307" s="11" t="n">
        <v>2</v>
      </c>
      <c r="C307" s="22" t="s">
        <v>1341</v>
      </c>
      <c r="D307" s="21" t="s">
        <v>1328</v>
      </c>
      <c r="E307" s="11" t="s">
        <v>1005</v>
      </c>
      <c r="F307" s="11"/>
      <c r="G307" s="11"/>
      <c r="H307" s="22" t="s">
        <v>1342</v>
      </c>
      <c r="I307" s="11" t="s">
        <v>394</v>
      </c>
      <c r="J307" s="22"/>
      <c r="K307" s="22"/>
    </row>
    <row r="308" customFormat="false" ht="15" hidden="false" customHeight="false" outlineLevel="0" collapsed="false">
      <c r="A308" s="22" t="s">
        <v>579</v>
      </c>
      <c r="B308" s="11" t="n">
        <v>3</v>
      </c>
      <c r="C308" s="22" t="s">
        <v>1122</v>
      </c>
      <c r="D308" s="21" t="s">
        <v>1100</v>
      </c>
      <c r="E308" s="11" t="s">
        <v>1005</v>
      </c>
      <c r="F308" s="11"/>
      <c r="G308" s="11"/>
      <c r="H308" s="22" t="s">
        <v>553</v>
      </c>
      <c r="I308" s="11" t="s">
        <v>394</v>
      </c>
      <c r="J308" s="22"/>
      <c r="K308" s="21" t="s">
        <v>1345</v>
      </c>
    </row>
    <row r="309" customFormat="false" ht="15" hidden="false" customHeight="false" outlineLevel="0" collapsed="false">
      <c r="A309" s="22" t="s">
        <v>579</v>
      </c>
      <c r="B309" s="11" t="n">
        <v>4</v>
      </c>
      <c r="C309" s="22" t="s">
        <v>1213</v>
      </c>
      <c r="D309" s="21" t="s">
        <v>1214</v>
      </c>
      <c r="E309" s="11" t="s">
        <v>1005</v>
      </c>
      <c r="F309" s="11"/>
      <c r="G309" s="11"/>
      <c r="H309" s="22" t="s">
        <v>1215</v>
      </c>
      <c r="I309" s="11" t="s">
        <v>394</v>
      </c>
      <c r="J309" s="22"/>
      <c r="K309" s="22" t="s">
        <v>1346</v>
      </c>
    </row>
    <row r="310" customFormat="false" ht="15" hidden="false" customHeight="false" outlineLevel="0" collapsed="false">
      <c r="A310" s="22" t="s">
        <v>579</v>
      </c>
      <c r="B310" s="11" t="n">
        <v>5</v>
      </c>
      <c r="C310" s="22" t="s">
        <v>1279</v>
      </c>
      <c r="D310" s="21" t="s">
        <v>519</v>
      </c>
      <c r="E310" s="11" t="s">
        <v>1048</v>
      </c>
      <c r="F310" s="11"/>
      <c r="G310" s="11"/>
      <c r="H310" s="22"/>
      <c r="I310" s="11" t="s">
        <v>394</v>
      </c>
      <c r="J310" s="22"/>
      <c r="K310" s="21" t="s">
        <v>1347</v>
      </c>
    </row>
    <row r="311" customFormat="false" ht="15" hidden="false" customHeight="false" outlineLevel="0" collapsed="false">
      <c r="A311" s="22" t="s">
        <v>579</v>
      </c>
      <c r="B311" s="11" t="n">
        <v>6</v>
      </c>
      <c r="C311" s="22" t="s">
        <v>1348</v>
      </c>
      <c r="D311" s="21" t="s">
        <v>1349</v>
      </c>
      <c r="E311" s="11" t="s">
        <v>1169</v>
      </c>
      <c r="F311" s="11"/>
      <c r="G311" s="11"/>
      <c r="H311" s="22"/>
      <c r="I311" s="11"/>
      <c r="J311" s="22"/>
      <c r="K311" s="22"/>
    </row>
    <row r="312" customFormat="false" ht="15" hidden="false" customHeight="false" outlineLevel="0" collapsed="false">
      <c r="A312" s="22" t="s">
        <v>579</v>
      </c>
      <c r="B312" s="11" t="n">
        <v>7</v>
      </c>
      <c r="C312" s="22" t="s">
        <v>1350</v>
      </c>
      <c r="D312" s="21" t="s">
        <v>1351</v>
      </c>
      <c r="E312" s="11" t="s">
        <v>1009</v>
      </c>
      <c r="F312" s="11" t="s">
        <v>1010</v>
      </c>
      <c r="G312" s="11"/>
      <c r="H312" s="22"/>
      <c r="I312" s="11"/>
      <c r="J312" s="22"/>
      <c r="K312" s="21" t="s">
        <v>1352</v>
      </c>
    </row>
    <row r="313" customFormat="false" ht="15" hidden="false" customHeight="false" outlineLevel="0" collapsed="false">
      <c r="A313" s="22" t="s">
        <v>579</v>
      </c>
      <c r="B313" s="11" t="n">
        <v>8</v>
      </c>
      <c r="C313" s="22" t="s">
        <v>1353</v>
      </c>
      <c r="D313" s="21" t="s">
        <v>1354</v>
      </c>
      <c r="E313" s="11" t="s">
        <v>1048</v>
      </c>
      <c r="F313" s="11"/>
      <c r="G313" s="11"/>
      <c r="H313" s="22"/>
      <c r="I313" s="11" t="s">
        <v>394</v>
      </c>
      <c r="J313" s="22" t="s">
        <v>1097</v>
      </c>
      <c r="K313" s="22"/>
    </row>
    <row r="314" customFormat="false" ht="23.85" hidden="false" customHeight="false" outlineLevel="0" collapsed="false">
      <c r="A314" s="22" t="s">
        <v>579</v>
      </c>
      <c r="B314" s="11" t="n">
        <v>9</v>
      </c>
      <c r="C314" s="22" t="s">
        <v>1172</v>
      </c>
      <c r="D314" s="21" t="s">
        <v>1173</v>
      </c>
      <c r="E314" s="11" t="s">
        <v>1009</v>
      </c>
      <c r="F314" s="11" t="s">
        <v>1010</v>
      </c>
      <c r="G314" s="11"/>
      <c r="H314" s="22"/>
      <c r="I314" s="11" t="s">
        <v>394</v>
      </c>
      <c r="J314" s="22" t="s">
        <v>1355</v>
      </c>
      <c r="K314" s="22" t="s">
        <v>1356</v>
      </c>
    </row>
    <row r="315" customFormat="false" ht="15" hidden="false" customHeight="false" outlineLevel="0" collapsed="false">
      <c r="A315" s="22" t="s">
        <v>579</v>
      </c>
      <c r="B315" s="11" t="n">
        <v>10</v>
      </c>
      <c r="C315" s="22" t="s">
        <v>1036</v>
      </c>
      <c r="D315" s="21" t="s">
        <v>1037</v>
      </c>
      <c r="E315" s="11" t="s">
        <v>1038</v>
      </c>
      <c r="F315" s="11"/>
      <c r="G315" s="11"/>
      <c r="H315" s="22"/>
      <c r="I315" s="11" t="s">
        <v>394</v>
      </c>
      <c r="J315" s="21" t="s">
        <v>1039</v>
      </c>
      <c r="K315" s="22"/>
    </row>
    <row r="316" customFormat="false" ht="15" hidden="false" customHeight="false" outlineLevel="0" collapsed="false">
      <c r="A316" s="22" t="s">
        <v>579</v>
      </c>
      <c r="B316" s="11" t="n">
        <v>11</v>
      </c>
      <c r="C316" s="22" t="s">
        <v>1040</v>
      </c>
      <c r="D316" s="21" t="s">
        <v>1041</v>
      </c>
      <c r="E316" s="11" t="s">
        <v>1005</v>
      </c>
      <c r="F316" s="11"/>
      <c r="G316" s="11"/>
      <c r="H316" s="22" t="s">
        <v>1042</v>
      </c>
      <c r="I316" s="11" t="s">
        <v>394</v>
      </c>
      <c r="J316" s="22"/>
      <c r="K316" s="22"/>
    </row>
    <row r="317" customFormat="false" ht="15" hidden="false" customHeight="false" outlineLevel="0" collapsed="false">
      <c r="A317" s="22" t="s">
        <v>579</v>
      </c>
      <c r="B317" s="11" t="n">
        <v>12</v>
      </c>
      <c r="C317" s="22" t="s">
        <v>1043</v>
      </c>
      <c r="D317" s="21" t="s">
        <v>1044</v>
      </c>
      <c r="E317" s="11" t="s">
        <v>1038</v>
      </c>
      <c r="F317" s="11"/>
      <c r="G317" s="11"/>
      <c r="H317" s="22"/>
      <c r="I317" s="11" t="s">
        <v>394</v>
      </c>
      <c r="J317" s="21" t="s">
        <v>1039</v>
      </c>
      <c r="K317" s="22"/>
    </row>
    <row r="318" customFormat="false" ht="15" hidden="false" customHeight="false" outlineLevel="0" collapsed="false">
      <c r="A318" s="22" t="s">
        <v>579</v>
      </c>
      <c r="B318" s="11" t="n">
        <v>13</v>
      </c>
      <c r="C318" s="22" t="s">
        <v>1045</v>
      </c>
      <c r="D318" s="21" t="s">
        <v>1046</v>
      </c>
      <c r="E318" s="11" t="s">
        <v>1005</v>
      </c>
      <c r="F318" s="11"/>
      <c r="G318" s="11"/>
      <c r="H318" s="22" t="s">
        <v>1042</v>
      </c>
      <c r="I318" s="11" t="s">
        <v>394</v>
      </c>
      <c r="J318" s="22"/>
      <c r="K318" s="22"/>
    </row>
    <row r="319" customFormat="false" ht="15" hidden="false" customHeight="false" outlineLevel="0" collapsed="false">
      <c r="A319" s="22" t="s">
        <v>579</v>
      </c>
      <c r="B319" s="11" t="n">
        <v>14</v>
      </c>
      <c r="C319" s="22" t="s">
        <v>1047</v>
      </c>
      <c r="D319" s="21" t="s">
        <v>2</v>
      </c>
      <c r="E319" s="11" t="s">
        <v>1048</v>
      </c>
      <c r="F319" s="11"/>
      <c r="G319" s="11"/>
      <c r="H319" s="22"/>
      <c r="I319" s="11" t="s">
        <v>394</v>
      </c>
      <c r="J319" s="22" t="s">
        <v>1049</v>
      </c>
      <c r="K319" s="21" t="s">
        <v>1050</v>
      </c>
    </row>
    <row r="320" customFormat="false" ht="15" hidden="false" customHeight="true" outlineLevel="0" collapsed="false">
      <c r="A320" s="30" t="s">
        <v>987</v>
      </c>
      <c r="B320" s="31" t="s">
        <v>1357</v>
      </c>
      <c r="C320" s="31"/>
      <c r="D320" s="31"/>
      <c r="E320" s="31"/>
      <c r="F320" s="31"/>
      <c r="G320" s="31"/>
      <c r="H320" s="31"/>
      <c r="I320" s="31"/>
      <c r="J320" s="31"/>
      <c r="K320" s="31"/>
    </row>
    <row r="321" customFormat="false" ht="15" hidden="false" customHeight="false" outlineLevel="0" collapsed="false">
      <c r="A321" s="22" t="s">
        <v>987</v>
      </c>
      <c r="B321" s="11" t="n">
        <v>1</v>
      </c>
      <c r="C321" s="22" t="s">
        <v>1003</v>
      </c>
      <c r="D321" s="22" t="s">
        <v>1340</v>
      </c>
      <c r="E321" s="11" t="s">
        <v>1005</v>
      </c>
      <c r="F321" s="11"/>
      <c r="G321" s="11" t="s">
        <v>394</v>
      </c>
      <c r="H321" s="22"/>
      <c r="I321" s="11" t="s">
        <v>394</v>
      </c>
      <c r="J321" s="21" t="s">
        <v>1006</v>
      </c>
      <c r="K321" s="22"/>
    </row>
    <row r="322" customFormat="false" ht="15" hidden="false" customHeight="false" outlineLevel="0" collapsed="false">
      <c r="A322" s="22" t="s">
        <v>987</v>
      </c>
      <c r="B322" s="11" t="n">
        <v>2</v>
      </c>
      <c r="C322" s="22" t="s">
        <v>1217</v>
      </c>
      <c r="D322" s="21" t="s">
        <v>1129</v>
      </c>
      <c r="E322" s="11" t="s">
        <v>1005</v>
      </c>
      <c r="F322" s="11"/>
      <c r="G322" s="11"/>
      <c r="H322" s="22" t="s">
        <v>1219</v>
      </c>
      <c r="I322" s="11" t="s">
        <v>394</v>
      </c>
      <c r="J322" s="22"/>
      <c r="K322" s="22"/>
    </row>
    <row r="323" customFormat="false" ht="15" hidden="false" customHeight="false" outlineLevel="0" collapsed="false">
      <c r="A323" s="22" t="s">
        <v>987</v>
      </c>
      <c r="B323" s="11" t="n">
        <v>3</v>
      </c>
      <c r="C323" s="22" t="s">
        <v>1358</v>
      </c>
      <c r="D323" s="21" t="s">
        <v>1359</v>
      </c>
      <c r="E323" s="11" t="s">
        <v>1038</v>
      </c>
      <c r="F323" s="11"/>
      <c r="G323" s="11"/>
      <c r="H323" s="22"/>
      <c r="I323" s="11" t="s">
        <v>394</v>
      </c>
      <c r="J323" s="22"/>
      <c r="K323" s="22"/>
    </row>
    <row r="324" customFormat="false" ht="15" hidden="false" customHeight="false" outlineLevel="0" collapsed="false">
      <c r="A324" s="22" t="s">
        <v>987</v>
      </c>
      <c r="B324" s="11" t="n">
        <v>4</v>
      </c>
      <c r="C324" s="22" t="s">
        <v>1360</v>
      </c>
      <c r="D324" s="21" t="s">
        <v>1361</v>
      </c>
      <c r="E324" s="11" t="s">
        <v>1067</v>
      </c>
      <c r="F324" s="11" t="s">
        <v>405</v>
      </c>
      <c r="G324" s="11"/>
      <c r="H324" s="22"/>
      <c r="I324" s="11" t="s">
        <v>394</v>
      </c>
      <c r="J324" s="22"/>
      <c r="K324" s="22"/>
    </row>
    <row r="325" customFormat="false" ht="15" hidden="false" customHeight="false" outlineLevel="0" collapsed="false">
      <c r="A325" s="22" t="s">
        <v>987</v>
      </c>
      <c r="B325" s="11" t="n">
        <v>5</v>
      </c>
      <c r="C325" s="22" t="s">
        <v>1362</v>
      </c>
      <c r="D325" s="21" t="s">
        <v>1363</v>
      </c>
      <c r="E325" s="11" t="s">
        <v>1034</v>
      </c>
      <c r="F325" s="11"/>
      <c r="G325" s="11"/>
      <c r="H325" s="22"/>
      <c r="I325" s="11" t="s">
        <v>394</v>
      </c>
      <c r="J325" s="22" t="s">
        <v>1126</v>
      </c>
      <c r="K325" s="21" t="s">
        <v>1364</v>
      </c>
    </row>
    <row r="326" customFormat="false" ht="15" hidden="false" customHeight="false" outlineLevel="0" collapsed="false">
      <c r="A326" s="22" t="s">
        <v>987</v>
      </c>
      <c r="B326" s="11" t="n">
        <v>6</v>
      </c>
      <c r="C326" s="22" t="s">
        <v>1365</v>
      </c>
      <c r="D326" s="21" t="s">
        <v>1366</v>
      </c>
      <c r="E326" s="11" t="s">
        <v>1009</v>
      </c>
      <c r="F326" s="11" t="s">
        <v>1074</v>
      </c>
      <c r="G326" s="11"/>
      <c r="H326" s="22"/>
      <c r="I326" s="11" t="s">
        <v>394</v>
      </c>
      <c r="J326" s="22" t="s">
        <v>1367</v>
      </c>
      <c r="K326" s="22" t="s">
        <v>1368</v>
      </c>
    </row>
    <row r="327" customFormat="false" ht="15" hidden="false" customHeight="false" outlineLevel="0" collapsed="false">
      <c r="A327" s="22" t="s">
        <v>987</v>
      </c>
      <c r="B327" s="11" t="n">
        <v>7</v>
      </c>
      <c r="C327" s="22" t="s">
        <v>1036</v>
      </c>
      <c r="D327" s="21" t="s">
        <v>1037</v>
      </c>
      <c r="E327" s="11" t="s">
        <v>1038</v>
      </c>
      <c r="F327" s="11"/>
      <c r="G327" s="11"/>
      <c r="H327" s="22"/>
      <c r="I327" s="11" t="s">
        <v>394</v>
      </c>
      <c r="J327" s="21" t="s">
        <v>1039</v>
      </c>
      <c r="K327" s="22"/>
    </row>
    <row r="328" customFormat="false" ht="15" hidden="false" customHeight="false" outlineLevel="0" collapsed="false">
      <c r="A328" s="22" t="s">
        <v>987</v>
      </c>
      <c r="B328" s="11" t="n">
        <v>8</v>
      </c>
      <c r="C328" s="22" t="s">
        <v>1040</v>
      </c>
      <c r="D328" s="21" t="s">
        <v>1041</v>
      </c>
      <c r="E328" s="11" t="s">
        <v>1005</v>
      </c>
      <c r="F328" s="11"/>
      <c r="G328" s="11"/>
      <c r="H328" s="22" t="s">
        <v>1042</v>
      </c>
      <c r="I328" s="11" t="s">
        <v>394</v>
      </c>
      <c r="J328" s="22"/>
      <c r="K328" s="22"/>
    </row>
    <row r="329" customFormat="false" ht="15" hidden="false" customHeight="true" outlineLevel="0" collapsed="false">
      <c r="A329" s="30" t="s">
        <v>453</v>
      </c>
      <c r="B329" s="31" t="s">
        <v>1369</v>
      </c>
      <c r="C329" s="31"/>
      <c r="D329" s="31"/>
      <c r="E329" s="31"/>
      <c r="F329" s="31"/>
      <c r="G329" s="31"/>
      <c r="H329" s="31"/>
      <c r="I329" s="31"/>
      <c r="J329" s="31"/>
      <c r="K329" s="31"/>
    </row>
    <row r="330" customFormat="false" ht="15" hidden="false" customHeight="false" outlineLevel="0" collapsed="false">
      <c r="A330" s="22" t="s">
        <v>453</v>
      </c>
      <c r="B330" s="11" t="n">
        <v>1</v>
      </c>
      <c r="C330" s="22" t="s">
        <v>1003</v>
      </c>
      <c r="D330" s="21" t="s">
        <v>1370</v>
      </c>
      <c r="E330" s="11" t="s">
        <v>1005</v>
      </c>
      <c r="F330" s="11"/>
      <c r="G330" s="11" t="s">
        <v>394</v>
      </c>
      <c r="H330" s="22"/>
      <c r="I330" s="11" t="s">
        <v>394</v>
      </c>
      <c r="J330" s="21" t="s">
        <v>1006</v>
      </c>
      <c r="K330" s="22"/>
    </row>
    <row r="331" customFormat="false" ht="15" hidden="false" customHeight="false" outlineLevel="0" collapsed="false">
      <c r="A331" s="22" t="s">
        <v>453</v>
      </c>
      <c r="B331" s="11" t="n">
        <v>2</v>
      </c>
      <c r="C331" s="22" t="s">
        <v>1371</v>
      </c>
      <c r="D331" s="21" t="s">
        <v>1372</v>
      </c>
      <c r="E331" s="11" t="s">
        <v>1009</v>
      </c>
      <c r="F331" s="11" t="s">
        <v>534</v>
      </c>
      <c r="G331" s="11"/>
      <c r="H331" s="22"/>
      <c r="I331" s="11" t="s">
        <v>394</v>
      </c>
      <c r="J331" s="22"/>
      <c r="K331" s="22" t="s">
        <v>1373</v>
      </c>
    </row>
    <row r="332" customFormat="false" ht="15" hidden="false" customHeight="false" outlineLevel="0" collapsed="false">
      <c r="A332" s="22" t="s">
        <v>453</v>
      </c>
      <c r="B332" s="11" t="n">
        <v>3</v>
      </c>
      <c r="C332" s="22" t="s">
        <v>1374</v>
      </c>
      <c r="D332" s="21" t="s">
        <v>1375</v>
      </c>
      <c r="E332" s="11" t="s">
        <v>1005</v>
      </c>
      <c r="F332" s="11"/>
      <c r="G332" s="11"/>
      <c r="H332" s="22"/>
      <c r="I332" s="11" t="s">
        <v>394</v>
      </c>
      <c r="J332" s="22"/>
      <c r="K332" s="22"/>
    </row>
    <row r="333" customFormat="false" ht="15" hidden="false" customHeight="false" outlineLevel="0" collapsed="false">
      <c r="A333" s="22" t="s">
        <v>453</v>
      </c>
      <c r="B333" s="11" t="n">
        <v>4</v>
      </c>
      <c r="C333" s="22" t="s">
        <v>1376</v>
      </c>
      <c r="D333" s="21" t="s">
        <v>1377</v>
      </c>
      <c r="E333" s="11" t="s">
        <v>1009</v>
      </c>
      <c r="F333" s="11" t="s">
        <v>1010</v>
      </c>
      <c r="G333" s="11"/>
      <c r="H333" s="22"/>
      <c r="I333" s="11" t="s">
        <v>394</v>
      </c>
      <c r="J333" s="22"/>
      <c r="K333" s="22" t="s">
        <v>1378</v>
      </c>
    </row>
    <row r="334" customFormat="false" ht="15" hidden="false" customHeight="false" outlineLevel="0" collapsed="false">
      <c r="A334" s="22" t="s">
        <v>453</v>
      </c>
      <c r="B334" s="11" t="n">
        <v>5</v>
      </c>
      <c r="C334" s="22" t="s">
        <v>1379</v>
      </c>
      <c r="D334" s="21" t="s">
        <v>1380</v>
      </c>
      <c r="E334" s="11" t="s">
        <v>1009</v>
      </c>
      <c r="F334" s="11" t="s">
        <v>1155</v>
      </c>
      <c r="G334" s="11"/>
      <c r="H334" s="22"/>
      <c r="I334" s="11" t="s">
        <v>394</v>
      </c>
      <c r="J334" s="22"/>
      <c r="K334" s="22"/>
    </row>
    <row r="335" customFormat="false" ht="15" hidden="false" customHeight="false" outlineLevel="0" collapsed="false">
      <c r="A335" s="22" t="s">
        <v>453</v>
      </c>
      <c r="B335" s="11" t="n">
        <v>6</v>
      </c>
      <c r="C335" s="22" t="s">
        <v>1381</v>
      </c>
      <c r="D335" s="21" t="s">
        <v>1382</v>
      </c>
      <c r="E335" s="11" t="s">
        <v>1009</v>
      </c>
      <c r="F335" s="11" t="s">
        <v>1383</v>
      </c>
      <c r="G335" s="11"/>
      <c r="H335" s="22"/>
      <c r="I335" s="11" t="s">
        <v>394</v>
      </c>
      <c r="J335" s="22"/>
      <c r="K335" s="21" t="s">
        <v>1384</v>
      </c>
    </row>
    <row r="336" customFormat="false" ht="15" hidden="false" customHeight="false" outlineLevel="0" collapsed="false">
      <c r="A336" s="22" t="s">
        <v>453</v>
      </c>
      <c r="B336" s="11" t="n">
        <v>7</v>
      </c>
      <c r="C336" s="22" t="s">
        <v>1385</v>
      </c>
      <c r="D336" s="21" t="s">
        <v>1386</v>
      </c>
      <c r="E336" s="11" t="s">
        <v>1387</v>
      </c>
      <c r="F336" s="11" t="s">
        <v>1388</v>
      </c>
      <c r="G336" s="11"/>
      <c r="H336" s="22"/>
      <c r="I336" s="11" t="s">
        <v>394</v>
      </c>
      <c r="J336" s="22"/>
      <c r="K336" s="21" t="s">
        <v>1389</v>
      </c>
    </row>
    <row r="337" customFormat="false" ht="15" hidden="false" customHeight="false" outlineLevel="0" collapsed="false">
      <c r="A337" s="22" t="s">
        <v>453</v>
      </c>
      <c r="B337" s="11" t="n">
        <v>8</v>
      </c>
      <c r="C337" s="22" t="s">
        <v>1036</v>
      </c>
      <c r="D337" s="21" t="s">
        <v>1037</v>
      </c>
      <c r="E337" s="11" t="s">
        <v>1038</v>
      </c>
      <c r="F337" s="11"/>
      <c r="G337" s="11"/>
      <c r="H337" s="22"/>
      <c r="I337" s="11" t="s">
        <v>394</v>
      </c>
      <c r="J337" s="21" t="s">
        <v>1039</v>
      </c>
      <c r="K337" s="22"/>
    </row>
    <row r="338" customFormat="false" ht="15" hidden="false" customHeight="false" outlineLevel="0" collapsed="false">
      <c r="A338" s="22" t="s">
        <v>453</v>
      </c>
      <c r="B338" s="11" t="n">
        <v>9</v>
      </c>
      <c r="C338" s="22" t="s">
        <v>1040</v>
      </c>
      <c r="D338" s="21" t="s">
        <v>1041</v>
      </c>
      <c r="E338" s="11" t="s">
        <v>1005</v>
      </c>
      <c r="F338" s="11"/>
      <c r="G338" s="11"/>
      <c r="H338" s="22" t="s">
        <v>1042</v>
      </c>
      <c r="I338" s="11" t="s">
        <v>394</v>
      </c>
      <c r="J338" s="22"/>
      <c r="K338" s="22"/>
    </row>
    <row r="339" customFormat="false" ht="15" hidden="false" customHeight="false" outlineLevel="0" collapsed="false">
      <c r="A339" s="22" t="s">
        <v>453</v>
      </c>
      <c r="B339" s="11" t="n">
        <v>10</v>
      </c>
      <c r="C339" s="22" t="s">
        <v>1043</v>
      </c>
      <c r="D339" s="21" t="s">
        <v>1044</v>
      </c>
      <c r="E339" s="11" t="s">
        <v>1038</v>
      </c>
      <c r="F339" s="11"/>
      <c r="G339" s="11"/>
      <c r="H339" s="22"/>
      <c r="I339" s="11" t="s">
        <v>394</v>
      </c>
      <c r="J339" s="21" t="s">
        <v>1039</v>
      </c>
      <c r="K339" s="22"/>
    </row>
    <row r="340" customFormat="false" ht="15" hidden="false" customHeight="false" outlineLevel="0" collapsed="false">
      <c r="A340" s="22" t="s">
        <v>453</v>
      </c>
      <c r="B340" s="11" t="n">
        <v>11</v>
      </c>
      <c r="C340" s="22" t="s">
        <v>1045</v>
      </c>
      <c r="D340" s="21" t="s">
        <v>1046</v>
      </c>
      <c r="E340" s="11" t="s">
        <v>1005</v>
      </c>
      <c r="F340" s="11"/>
      <c r="G340" s="11"/>
      <c r="H340" s="22" t="s">
        <v>1042</v>
      </c>
      <c r="I340" s="11" t="s">
        <v>394</v>
      </c>
      <c r="J340" s="22"/>
      <c r="K340" s="22"/>
    </row>
    <row r="341" customFormat="false" ht="15" hidden="false" customHeight="false" outlineLevel="0" collapsed="false">
      <c r="A341" s="22" t="s">
        <v>453</v>
      </c>
      <c r="B341" s="11" t="n">
        <v>12</v>
      </c>
      <c r="C341" s="22" t="s">
        <v>1047</v>
      </c>
      <c r="D341" s="21" t="s">
        <v>2</v>
      </c>
      <c r="E341" s="11" t="s">
        <v>1048</v>
      </c>
      <c r="F341" s="11"/>
      <c r="G341" s="11"/>
      <c r="H341" s="22"/>
      <c r="I341" s="11" t="s">
        <v>394</v>
      </c>
      <c r="J341" s="22" t="s">
        <v>1049</v>
      </c>
      <c r="K341" s="21" t="s">
        <v>1050</v>
      </c>
    </row>
    <row r="342" customFormat="false" ht="15" hidden="false" customHeight="true" outlineLevel="0" collapsed="false">
      <c r="A342" s="30" t="s">
        <v>991</v>
      </c>
      <c r="B342" s="31" t="s">
        <v>1390</v>
      </c>
      <c r="C342" s="31"/>
      <c r="D342" s="31"/>
      <c r="E342" s="31"/>
      <c r="F342" s="31"/>
      <c r="G342" s="31"/>
      <c r="H342" s="31"/>
      <c r="I342" s="31"/>
      <c r="J342" s="31"/>
      <c r="K342" s="31"/>
    </row>
    <row r="343" customFormat="false" ht="15" hidden="false" customHeight="false" outlineLevel="0" collapsed="false">
      <c r="A343" s="22" t="s">
        <v>991</v>
      </c>
      <c r="B343" s="11" t="n">
        <v>1</v>
      </c>
      <c r="C343" s="22" t="s">
        <v>1003</v>
      </c>
      <c r="D343" s="22" t="s">
        <v>1340</v>
      </c>
      <c r="E343" s="11" t="s">
        <v>1005</v>
      </c>
      <c r="F343" s="11"/>
      <c r="G343" s="11" t="s">
        <v>394</v>
      </c>
      <c r="H343" s="22"/>
      <c r="I343" s="11" t="s">
        <v>394</v>
      </c>
      <c r="J343" s="21" t="s">
        <v>1006</v>
      </c>
      <c r="K343" s="22"/>
    </row>
    <row r="344" customFormat="false" ht="15" hidden="false" customHeight="false" outlineLevel="0" collapsed="false">
      <c r="A344" s="22" t="s">
        <v>991</v>
      </c>
      <c r="B344" s="11" t="n">
        <v>2</v>
      </c>
      <c r="C344" s="22" t="s">
        <v>1391</v>
      </c>
      <c r="D344" s="21" t="s">
        <v>1251</v>
      </c>
      <c r="E344" s="11" t="s">
        <v>1038</v>
      </c>
      <c r="F344" s="11"/>
      <c r="G344" s="11"/>
      <c r="H344" s="22"/>
      <c r="I344" s="11" t="s">
        <v>394</v>
      </c>
      <c r="J344" s="22"/>
      <c r="K344" s="22"/>
    </row>
    <row r="345" customFormat="false" ht="15" hidden="false" customHeight="false" outlineLevel="0" collapsed="false">
      <c r="A345" s="22" t="s">
        <v>991</v>
      </c>
      <c r="B345" s="11" t="n">
        <v>3</v>
      </c>
      <c r="C345" s="22" t="s">
        <v>1392</v>
      </c>
      <c r="D345" s="21" t="s">
        <v>1147</v>
      </c>
      <c r="E345" s="11" t="s">
        <v>1005</v>
      </c>
      <c r="F345" s="11"/>
      <c r="G345" s="11"/>
      <c r="H345" s="22" t="s">
        <v>1042</v>
      </c>
      <c r="I345" s="11"/>
      <c r="J345" s="22"/>
      <c r="K345" s="21" t="s">
        <v>1393</v>
      </c>
    </row>
    <row r="346" customFormat="false" ht="15" hidden="false" customHeight="false" outlineLevel="0" collapsed="false">
      <c r="A346" s="22" t="s">
        <v>991</v>
      </c>
      <c r="B346" s="11" t="n">
        <v>4</v>
      </c>
      <c r="C346" s="22" t="s">
        <v>1394</v>
      </c>
      <c r="D346" s="21" t="s">
        <v>1395</v>
      </c>
      <c r="E346" s="11" t="s">
        <v>1009</v>
      </c>
      <c r="F346" s="11" t="s">
        <v>1010</v>
      </c>
      <c r="G346" s="11"/>
      <c r="H346" s="22"/>
      <c r="I346" s="11" t="s">
        <v>394</v>
      </c>
      <c r="J346" s="22"/>
      <c r="K346" s="22" t="s">
        <v>1396</v>
      </c>
    </row>
    <row r="347" customFormat="false" ht="15" hidden="false" customHeight="false" outlineLevel="0" collapsed="false">
      <c r="A347" s="22" t="s">
        <v>991</v>
      </c>
      <c r="B347" s="11" t="n">
        <v>5</v>
      </c>
      <c r="C347" s="22" t="s">
        <v>1397</v>
      </c>
      <c r="D347" s="21" t="s">
        <v>1398</v>
      </c>
      <c r="E347" s="11" t="s">
        <v>1009</v>
      </c>
      <c r="F347" s="11" t="s">
        <v>414</v>
      </c>
      <c r="G347" s="11"/>
      <c r="H347" s="22"/>
      <c r="I347" s="11"/>
      <c r="J347" s="22"/>
      <c r="K347" s="22"/>
    </row>
    <row r="348" customFormat="false" ht="15" hidden="false" customHeight="false" outlineLevel="0" collapsed="false">
      <c r="A348" s="22" t="s">
        <v>991</v>
      </c>
      <c r="B348" s="11" t="n">
        <v>6</v>
      </c>
      <c r="C348" s="22" t="s">
        <v>1399</v>
      </c>
      <c r="D348" s="21" t="s">
        <v>1400</v>
      </c>
      <c r="E348" s="11" t="s">
        <v>1005</v>
      </c>
      <c r="F348" s="11"/>
      <c r="G348" s="11"/>
      <c r="H348" s="22"/>
      <c r="I348" s="11"/>
      <c r="J348" s="22"/>
      <c r="K348" s="22"/>
    </row>
    <row r="349" customFormat="false" ht="15" hidden="false" customHeight="false" outlineLevel="0" collapsed="false">
      <c r="A349" s="22" t="s">
        <v>991</v>
      </c>
      <c r="B349" s="11" t="n">
        <v>7</v>
      </c>
      <c r="C349" s="22" t="s">
        <v>1401</v>
      </c>
      <c r="D349" s="21" t="s">
        <v>1402</v>
      </c>
      <c r="E349" s="11" t="s">
        <v>1403</v>
      </c>
      <c r="F349" s="11"/>
      <c r="G349" s="11"/>
      <c r="H349" s="22"/>
      <c r="I349" s="11"/>
      <c r="J349" s="22"/>
      <c r="K349" s="22"/>
    </row>
    <row r="350" customFormat="false" ht="15" hidden="false" customHeight="false" outlineLevel="0" collapsed="false">
      <c r="A350" s="22" t="s">
        <v>991</v>
      </c>
      <c r="B350" s="11" t="n">
        <v>8</v>
      </c>
      <c r="C350" s="22" t="s">
        <v>1404</v>
      </c>
      <c r="D350" s="21" t="s">
        <v>1405</v>
      </c>
      <c r="E350" s="11" t="s">
        <v>1403</v>
      </c>
      <c r="F350" s="11"/>
      <c r="G350" s="11"/>
      <c r="H350" s="22"/>
      <c r="I350" s="11"/>
      <c r="J350" s="22"/>
      <c r="K350" s="22"/>
    </row>
    <row r="351" customFormat="false" ht="15" hidden="false" customHeight="false" outlineLevel="0" collapsed="false">
      <c r="A351" s="22" t="s">
        <v>991</v>
      </c>
      <c r="B351" s="11" t="n">
        <v>9</v>
      </c>
      <c r="C351" s="22" t="s">
        <v>1406</v>
      </c>
      <c r="D351" s="22" t="s">
        <v>1407</v>
      </c>
      <c r="E351" s="11" t="s">
        <v>1009</v>
      </c>
      <c r="F351" s="11" t="s">
        <v>1408</v>
      </c>
      <c r="G351" s="11"/>
      <c r="H351" s="22"/>
      <c r="I351" s="11"/>
      <c r="J351" s="22"/>
      <c r="K351" s="22"/>
    </row>
    <row r="352" customFormat="false" ht="15" hidden="false" customHeight="false" outlineLevel="0" collapsed="false">
      <c r="A352" s="22" t="s">
        <v>991</v>
      </c>
      <c r="B352" s="11" t="n">
        <v>10</v>
      </c>
      <c r="C352" s="22" t="s">
        <v>1036</v>
      </c>
      <c r="D352" s="21" t="s">
        <v>1037</v>
      </c>
      <c r="E352" s="11" t="s">
        <v>1038</v>
      </c>
      <c r="F352" s="11"/>
      <c r="G352" s="11"/>
      <c r="H352" s="22"/>
      <c r="I352" s="11" t="s">
        <v>394</v>
      </c>
      <c r="J352" s="21" t="s">
        <v>1039</v>
      </c>
      <c r="K352" s="22"/>
    </row>
    <row r="353" customFormat="false" ht="15" hidden="false" customHeight="false" outlineLevel="0" collapsed="false">
      <c r="A353" s="22" t="s">
        <v>991</v>
      </c>
      <c r="B353" s="11" t="n">
        <v>11</v>
      </c>
      <c r="C353" s="22" t="s">
        <v>1040</v>
      </c>
      <c r="D353" s="21" t="s">
        <v>1041</v>
      </c>
      <c r="E353" s="11" t="s">
        <v>1005</v>
      </c>
      <c r="F353" s="11"/>
      <c r="G353" s="11"/>
      <c r="H353" s="22" t="s">
        <v>1042</v>
      </c>
      <c r="I353" s="11" t="s">
        <v>394</v>
      </c>
      <c r="J353" s="22"/>
      <c r="K353" s="22"/>
    </row>
  </sheetData>
  <autoFilter ref="A3:K353"/>
  <mergeCells count="25">
    <mergeCell ref="B4:K4"/>
    <mergeCell ref="B20:K20"/>
    <mergeCell ref="B43:K43"/>
    <mergeCell ref="B61:K61"/>
    <mergeCell ref="B75:K75"/>
    <mergeCell ref="B88:K88"/>
    <mergeCell ref="B98:K98"/>
    <mergeCell ref="B112:K112"/>
    <mergeCell ref="B127:K127"/>
    <mergeCell ref="B140:K140"/>
    <mergeCell ref="B154:K154"/>
    <mergeCell ref="B168:K168"/>
    <mergeCell ref="B186:K186"/>
    <mergeCell ref="B197:K197"/>
    <mergeCell ref="B209:K209"/>
    <mergeCell ref="B224:K224"/>
    <mergeCell ref="B237:K237"/>
    <mergeCell ref="B252:K252"/>
    <mergeCell ref="B267:K267"/>
    <mergeCell ref="B282:K282"/>
    <mergeCell ref="B296:K296"/>
    <mergeCell ref="B305:K305"/>
    <mergeCell ref="B320:K320"/>
    <mergeCell ref="B329:K329"/>
    <mergeCell ref="B342:K342"/>
  </mergeCells>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28"/>
    <col collapsed="false" customWidth="true" hidden="false" outlineLevel="0" max="4" min="4" style="0" width="40"/>
    <col collapsed="false" customWidth="true" hidden="false" outlineLevel="0" max="5" min="5" style="0" width="60"/>
  </cols>
  <sheetData>
    <row r="1" customFormat="false" ht="15" hidden="false" customHeight="false" outlineLevel="0" collapsed="false">
      <c r="A1" s="5" t="s">
        <v>1409</v>
      </c>
      <c r="E1" s="19" t="s">
        <v>78</v>
      </c>
    </row>
    <row r="2" customFormat="false" ht="15" hidden="false" customHeight="false" outlineLevel="0" collapsed="false">
      <c r="A2" s="35" t="s">
        <v>1410</v>
      </c>
    </row>
    <row r="3" customFormat="false" ht="15" hidden="false" customHeight="false" outlineLevel="0" collapsed="false">
      <c r="A3" s="10" t="s">
        <v>995</v>
      </c>
      <c r="B3" s="10" t="s">
        <v>380</v>
      </c>
      <c r="C3" s="10" t="s">
        <v>1411</v>
      </c>
      <c r="D3" s="10" t="s">
        <v>1412</v>
      </c>
      <c r="E3" s="10" t="s">
        <v>96</v>
      </c>
    </row>
    <row r="4" customFormat="false" ht="15" hidden="false" customHeight="false" outlineLevel="0" collapsed="false">
      <c r="A4" s="22" t="s">
        <v>926</v>
      </c>
      <c r="B4" s="11" t="s">
        <v>1413</v>
      </c>
      <c r="C4" s="22" t="s">
        <v>1414</v>
      </c>
      <c r="D4" s="22" t="s">
        <v>1007</v>
      </c>
      <c r="E4" s="21" t="s">
        <v>1415</v>
      </c>
    </row>
    <row r="5" customFormat="false" ht="15" hidden="false" customHeight="false" outlineLevel="0" collapsed="false">
      <c r="A5" s="22" t="s">
        <v>928</v>
      </c>
      <c r="B5" s="11" t="s">
        <v>1413</v>
      </c>
      <c r="C5" s="22" t="s">
        <v>1416</v>
      </c>
      <c r="D5" s="22" t="s">
        <v>1053</v>
      </c>
      <c r="E5" s="21" t="s">
        <v>1415</v>
      </c>
    </row>
    <row r="6" customFormat="false" ht="15" hidden="false" customHeight="false" outlineLevel="0" collapsed="false">
      <c r="A6" s="22" t="s">
        <v>930</v>
      </c>
      <c r="B6" s="11" t="s">
        <v>1413</v>
      </c>
      <c r="C6" s="22" t="s">
        <v>1417</v>
      </c>
      <c r="D6" s="22" t="s">
        <v>1101</v>
      </c>
      <c r="E6" s="21" t="s">
        <v>1415</v>
      </c>
    </row>
    <row r="7" customFormat="false" ht="15" hidden="false" customHeight="false" outlineLevel="0" collapsed="false">
      <c r="A7" s="22" t="s">
        <v>930</v>
      </c>
      <c r="B7" s="11" t="s">
        <v>1418</v>
      </c>
      <c r="C7" s="22" t="s">
        <v>1419</v>
      </c>
      <c r="D7" s="22" t="s">
        <v>1420</v>
      </c>
      <c r="E7" s="22" t="s">
        <v>1421</v>
      </c>
    </row>
    <row r="8" customFormat="false" ht="15" hidden="false" customHeight="false" outlineLevel="0" collapsed="false">
      <c r="A8" s="22" t="s">
        <v>932</v>
      </c>
      <c r="B8" s="11" t="s">
        <v>1422</v>
      </c>
      <c r="C8" s="22" t="s">
        <v>1423</v>
      </c>
      <c r="D8" s="22" t="s">
        <v>1424</v>
      </c>
      <c r="E8" s="21" t="s">
        <v>1425</v>
      </c>
    </row>
    <row r="9" customFormat="false" ht="15" hidden="false" customHeight="false" outlineLevel="0" collapsed="false">
      <c r="A9" s="22" t="s">
        <v>934</v>
      </c>
      <c r="B9" s="11" t="s">
        <v>1413</v>
      </c>
      <c r="C9" s="22" t="s">
        <v>1426</v>
      </c>
      <c r="D9" s="22" t="s">
        <v>1130</v>
      </c>
      <c r="E9" s="21" t="s">
        <v>1415</v>
      </c>
    </row>
    <row r="10" customFormat="false" ht="15" hidden="false" customHeight="false" outlineLevel="0" collapsed="false">
      <c r="A10" s="22" t="s">
        <v>934</v>
      </c>
      <c r="B10" s="11" t="s">
        <v>1418</v>
      </c>
      <c r="C10" s="22" t="s">
        <v>1427</v>
      </c>
      <c r="D10" s="22" t="s">
        <v>1428</v>
      </c>
      <c r="E10" s="22" t="s">
        <v>1429</v>
      </c>
    </row>
    <row r="11" customFormat="false" ht="15" hidden="false" customHeight="false" outlineLevel="0" collapsed="false">
      <c r="A11" s="22" t="s">
        <v>936</v>
      </c>
      <c r="B11" s="11" t="s">
        <v>1413</v>
      </c>
      <c r="C11" s="22" t="s">
        <v>1430</v>
      </c>
      <c r="D11" s="22" t="s">
        <v>1431</v>
      </c>
      <c r="E11" s="21" t="s">
        <v>1432</v>
      </c>
    </row>
    <row r="12" customFormat="false" ht="15" hidden="false" customHeight="false" outlineLevel="0" collapsed="false">
      <c r="A12" s="22" t="s">
        <v>938</v>
      </c>
      <c r="B12" s="11" t="s">
        <v>1413</v>
      </c>
      <c r="C12" s="22" t="s">
        <v>1433</v>
      </c>
      <c r="D12" s="22" t="s">
        <v>1026</v>
      </c>
      <c r="E12" s="21" t="s">
        <v>1434</v>
      </c>
    </row>
    <row r="13" customFormat="false" ht="15" hidden="false" customHeight="false" outlineLevel="0" collapsed="false">
      <c r="A13" s="22" t="s">
        <v>941</v>
      </c>
      <c r="B13" s="11" t="s">
        <v>1413</v>
      </c>
      <c r="C13" s="22" t="s">
        <v>1435</v>
      </c>
      <c r="D13" s="22" t="s">
        <v>1165</v>
      </c>
      <c r="E13" s="21" t="s">
        <v>1436</v>
      </c>
    </row>
    <row r="14" customFormat="false" ht="15" hidden="false" customHeight="false" outlineLevel="0" collapsed="false">
      <c r="A14" s="22" t="s">
        <v>945</v>
      </c>
      <c r="B14" s="11" t="s">
        <v>1413</v>
      </c>
      <c r="C14" s="22" t="s">
        <v>1437</v>
      </c>
      <c r="D14" s="22" t="s">
        <v>1438</v>
      </c>
      <c r="E14" s="21" t="s">
        <v>1439</v>
      </c>
    </row>
    <row r="15" customFormat="false" ht="15" hidden="false" customHeight="false" outlineLevel="0" collapsed="false">
      <c r="A15" s="22" t="s">
        <v>947</v>
      </c>
      <c r="B15" s="11" t="s">
        <v>1413</v>
      </c>
      <c r="C15" s="22" t="s">
        <v>1440</v>
      </c>
      <c r="D15" s="22" t="s">
        <v>1199</v>
      </c>
      <c r="E15" s="21" t="s">
        <v>1436</v>
      </c>
    </row>
    <row r="16" customFormat="false" ht="15" hidden="false" customHeight="false" outlineLevel="0" collapsed="false">
      <c r="A16" s="22" t="s">
        <v>955</v>
      </c>
      <c r="B16" s="11" t="s">
        <v>1413</v>
      </c>
      <c r="C16" s="22" t="s">
        <v>1441</v>
      </c>
      <c r="D16" s="22" t="s">
        <v>1221</v>
      </c>
      <c r="E16" s="21" t="s">
        <v>1442</v>
      </c>
    </row>
    <row r="17" customFormat="false" ht="15" hidden="false" customHeight="false" outlineLevel="0" collapsed="false">
      <c r="A17" s="22" t="s">
        <v>955</v>
      </c>
      <c r="B17" s="11" t="s">
        <v>1413</v>
      </c>
      <c r="C17" s="22" t="s">
        <v>1443</v>
      </c>
      <c r="D17" s="22" t="s">
        <v>1444</v>
      </c>
      <c r="E17" s="22" t="s">
        <v>1445</v>
      </c>
    </row>
    <row r="18" customFormat="false" ht="15" hidden="false" customHeight="false" outlineLevel="0" collapsed="false">
      <c r="A18" s="22" t="s">
        <v>955</v>
      </c>
      <c r="B18" s="11" t="s">
        <v>1446</v>
      </c>
      <c r="C18" s="22" t="s">
        <v>1447</v>
      </c>
      <c r="D18" s="22" t="s">
        <v>1448</v>
      </c>
      <c r="E18" s="22" t="s">
        <v>1449</v>
      </c>
    </row>
    <row r="19" customFormat="false" ht="15" hidden="false" customHeight="false" outlineLevel="0" collapsed="false">
      <c r="A19" s="22" t="s">
        <v>542</v>
      </c>
      <c r="B19" s="11" t="s">
        <v>1413</v>
      </c>
      <c r="C19" s="22" t="s">
        <v>1450</v>
      </c>
      <c r="D19" s="22" t="s">
        <v>1451</v>
      </c>
      <c r="E19" s="21" t="s">
        <v>1452</v>
      </c>
    </row>
    <row r="20" customFormat="false" ht="15" hidden="false" customHeight="false" outlineLevel="0" collapsed="false">
      <c r="A20" s="22" t="s">
        <v>542</v>
      </c>
      <c r="B20" s="11" t="s">
        <v>1418</v>
      </c>
      <c r="C20" s="22" t="s">
        <v>1453</v>
      </c>
      <c r="D20" s="22" t="s">
        <v>1454</v>
      </c>
      <c r="E20" s="22" t="s">
        <v>1455</v>
      </c>
    </row>
    <row r="21" customFormat="false" ht="15" hidden="false" customHeight="false" outlineLevel="0" collapsed="false">
      <c r="A21" s="22" t="s">
        <v>960</v>
      </c>
      <c r="B21" s="11" t="s">
        <v>1446</v>
      </c>
      <c r="C21" s="22" t="s">
        <v>1456</v>
      </c>
      <c r="D21" s="22" t="s">
        <v>1457</v>
      </c>
      <c r="E21" s="21" t="s">
        <v>1458</v>
      </c>
    </row>
    <row r="22" customFormat="false" ht="15" hidden="false" customHeight="false" outlineLevel="0" collapsed="false">
      <c r="A22" s="22" t="s">
        <v>960</v>
      </c>
      <c r="B22" s="11" t="s">
        <v>1446</v>
      </c>
      <c r="C22" s="22" t="s">
        <v>1459</v>
      </c>
      <c r="D22" s="22" t="s">
        <v>1460</v>
      </c>
      <c r="E22" s="21" t="s">
        <v>1461</v>
      </c>
    </row>
    <row r="23" customFormat="false" ht="15" hidden="false" customHeight="false" outlineLevel="0" collapsed="false">
      <c r="A23" s="22" t="s">
        <v>963</v>
      </c>
      <c r="B23" s="11" t="s">
        <v>1413</v>
      </c>
      <c r="C23" s="22" t="s">
        <v>1462</v>
      </c>
      <c r="D23" s="22" t="s">
        <v>1267</v>
      </c>
      <c r="E23" s="21" t="s">
        <v>1436</v>
      </c>
    </row>
    <row r="24" customFormat="false" ht="15" hidden="false" customHeight="false" outlineLevel="0" collapsed="false">
      <c r="A24" s="22" t="s">
        <v>963</v>
      </c>
      <c r="B24" s="11" t="s">
        <v>1446</v>
      </c>
      <c r="C24" s="22" t="s">
        <v>1463</v>
      </c>
      <c r="D24" s="22" t="s">
        <v>1464</v>
      </c>
      <c r="E24" s="21" t="s">
        <v>1465</v>
      </c>
    </row>
    <row r="25" customFormat="false" ht="15" hidden="false" customHeight="false" outlineLevel="0" collapsed="false">
      <c r="A25" s="22" t="s">
        <v>508</v>
      </c>
      <c r="B25" s="11" t="s">
        <v>1413</v>
      </c>
      <c r="C25" s="22" t="s">
        <v>1466</v>
      </c>
      <c r="D25" s="22" t="s">
        <v>1467</v>
      </c>
      <c r="E25" s="21" t="s">
        <v>1439</v>
      </c>
    </row>
    <row r="26" customFormat="false" ht="15" hidden="false" customHeight="false" outlineLevel="0" collapsed="false">
      <c r="A26" s="22" t="s">
        <v>968</v>
      </c>
      <c r="B26" s="11" t="s">
        <v>1413</v>
      </c>
      <c r="C26" s="22" t="s">
        <v>1468</v>
      </c>
      <c r="D26" s="22" t="s">
        <v>1283</v>
      </c>
      <c r="E26" s="21" t="s">
        <v>1436</v>
      </c>
    </row>
    <row r="27" customFormat="false" ht="15" hidden="false" customHeight="false" outlineLevel="0" collapsed="false">
      <c r="A27" s="22" t="s">
        <v>968</v>
      </c>
      <c r="B27" s="11" t="s">
        <v>1446</v>
      </c>
      <c r="C27" s="22" t="s">
        <v>1469</v>
      </c>
      <c r="D27" s="22" t="s">
        <v>1470</v>
      </c>
      <c r="E27" s="21" t="s">
        <v>1471</v>
      </c>
    </row>
    <row r="28" customFormat="false" ht="15" hidden="false" customHeight="false" outlineLevel="0" collapsed="false">
      <c r="A28" s="22" t="s">
        <v>971</v>
      </c>
      <c r="B28" s="11" t="s">
        <v>1446</v>
      </c>
      <c r="C28" s="22" t="s">
        <v>1472</v>
      </c>
      <c r="D28" s="22" t="s">
        <v>1213</v>
      </c>
      <c r="E28" s="21" t="s">
        <v>1473</v>
      </c>
    </row>
    <row r="29" customFormat="false" ht="15" hidden="false" customHeight="false" outlineLevel="0" collapsed="false">
      <c r="A29" s="22" t="s">
        <v>971</v>
      </c>
      <c r="B29" s="11" t="s">
        <v>1418</v>
      </c>
      <c r="C29" s="22" t="s">
        <v>1474</v>
      </c>
      <c r="D29" s="22" t="s">
        <v>1190</v>
      </c>
      <c r="E29" s="22" t="s">
        <v>1475</v>
      </c>
    </row>
    <row r="30" customFormat="false" ht="15" hidden="false" customHeight="false" outlineLevel="0" collapsed="false">
      <c r="A30" s="22" t="s">
        <v>975</v>
      </c>
      <c r="B30" s="11" t="s">
        <v>1413</v>
      </c>
      <c r="C30" s="22" t="s">
        <v>1476</v>
      </c>
      <c r="D30" s="22" t="s">
        <v>1308</v>
      </c>
      <c r="E30" s="21" t="s">
        <v>1436</v>
      </c>
    </row>
    <row r="31" customFormat="false" ht="15" hidden="false" customHeight="false" outlineLevel="0" collapsed="false">
      <c r="A31" s="22" t="s">
        <v>975</v>
      </c>
      <c r="B31" s="11" t="s">
        <v>1446</v>
      </c>
      <c r="C31" s="22" t="s">
        <v>1477</v>
      </c>
      <c r="D31" s="22" t="s">
        <v>1311</v>
      </c>
      <c r="E31" s="21" t="s">
        <v>1478</v>
      </c>
    </row>
    <row r="32" customFormat="false" ht="15" hidden="false" customHeight="false" outlineLevel="0" collapsed="false">
      <c r="A32" s="22" t="s">
        <v>978</v>
      </c>
      <c r="B32" s="11" t="s">
        <v>1413</v>
      </c>
      <c r="C32" s="22" t="s">
        <v>1479</v>
      </c>
      <c r="D32" s="22" t="s">
        <v>1329</v>
      </c>
      <c r="E32" s="21" t="s">
        <v>1436</v>
      </c>
    </row>
    <row r="33" customFormat="false" ht="15" hidden="false" customHeight="false" outlineLevel="0" collapsed="false">
      <c r="A33" s="22" t="s">
        <v>980</v>
      </c>
      <c r="B33" s="11" t="s">
        <v>1413</v>
      </c>
      <c r="C33" s="22" t="s">
        <v>1480</v>
      </c>
      <c r="D33" s="22" t="s">
        <v>1481</v>
      </c>
      <c r="E33" s="21" t="s">
        <v>1482</v>
      </c>
    </row>
    <row r="34" customFormat="false" ht="15" hidden="false" customHeight="false" outlineLevel="0" collapsed="false">
      <c r="A34" s="22" t="s">
        <v>579</v>
      </c>
      <c r="B34" s="11" t="s">
        <v>1413</v>
      </c>
      <c r="C34" s="22" t="s">
        <v>1483</v>
      </c>
      <c r="D34" s="22" t="s">
        <v>1484</v>
      </c>
      <c r="E34" s="22" t="s">
        <v>1485</v>
      </c>
    </row>
    <row r="35" customFormat="false" ht="15" hidden="false" customHeight="false" outlineLevel="0" collapsed="false">
      <c r="A35" s="22" t="s">
        <v>987</v>
      </c>
      <c r="B35" s="11" t="s">
        <v>1446</v>
      </c>
      <c r="C35" s="22" t="s">
        <v>1486</v>
      </c>
      <c r="D35" s="22" t="s">
        <v>1487</v>
      </c>
      <c r="E35" s="21" t="s">
        <v>1488</v>
      </c>
    </row>
    <row r="36" customFormat="false" ht="15" hidden="false" customHeight="false" outlineLevel="0" collapsed="false">
      <c r="A36" s="22" t="s">
        <v>453</v>
      </c>
      <c r="B36" s="11" t="s">
        <v>1446</v>
      </c>
      <c r="C36" s="22" t="s">
        <v>1489</v>
      </c>
      <c r="D36" s="22" t="s">
        <v>1490</v>
      </c>
      <c r="E36" s="21" t="s">
        <v>1491</v>
      </c>
    </row>
    <row r="37" customFormat="false" ht="15" hidden="false" customHeight="false" outlineLevel="0" collapsed="false">
      <c r="A37" s="22" t="s">
        <v>991</v>
      </c>
      <c r="B37" s="11" t="s">
        <v>1446</v>
      </c>
      <c r="C37" s="22" t="s">
        <v>1492</v>
      </c>
      <c r="D37" s="22" t="s">
        <v>1493</v>
      </c>
      <c r="E37" s="21" t="s">
        <v>1494</v>
      </c>
    </row>
    <row r="38" customFormat="false" ht="15" hidden="false" customHeight="false" outlineLevel="0" collapsed="false">
      <c r="A38" s="22" t="s">
        <v>991</v>
      </c>
      <c r="B38" s="11" t="s">
        <v>1446</v>
      </c>
      <c r="C38" s="22" t="s">
        <v>1495</v>
      </c>
      <c r="D38" s="22" t="s">
        <v>1496</v>
      </c>
      <c r="E38" s="21" t="s">
        <v>1497</v>
      </c>
    </row>
  </sheetData>
  <autoFilter ref="A3:E38"/>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8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4.9" hidden="false" customHeight="false" outlineLevel="0" collapsed="false">
      <c r="A1" s="25" t="s">
        <v>1498</v>
      </c>
      <c r="B1" s="19" t="s">
        <v>78</v>
      </c>
    </row>
    <row r="3" customFormat="false" ht="15" hidden="false" customHeight="false" outlineLevel="0" collapsed="false">
      <c r="A3" s="36" t="s">
        <v>1499</v>
      </c>
    </row>
    <row r="4" customFormat="false" ht="15" hidden="false" customHeight="false" outlineLevel="0" collapsed="false">
      <c r="A4" s="36" t="s">
        <v>1500</v>
      </c>
    </row>
    <row r="5" customFormat="false" ht="15" hidden="false" customHeight="false" outlineLevel="0" collapsed="false">
      <c r="A5" s="36"/>
    </row>
    <row r="6" customFormat="false" ht="15" hidden="false" customHeight="false" outlineLevel="0" collapsed="false">
      <c r="A6" s="36" t="s">
        <v>1501</v>
      </c>
    </row>
    <row r="7" customFormat="false" ht="15" hidden="false" customHeight="false" outlineLevel="0" collapsed="false">
      <c r="A7" s="36" t="s">
        <v>1502</v>
      </c>
    </row>
    <row r="8" customFormat="false" ht="15" hidden="false" customHeight="false" outlineLevel="0" collapsed="false">
      <c r="A8" s="36" t="s">
        <v>1503</v>
      </c>
    </row>
    <row r="9" customFormat="false" ht="15" hidden="false" customHeight="false" outlineLevel="0" collapsed="false">
      <c r="A9" s="36" t="s">
        <v>1504</v>
      </c>
    </row>
    <row r="10" customFormat="false" ht="15" hidden="false" customHeight="false" outlineLevel="0" collapsed="false">
      <c r="A10" s="36" t="s">
        <v>1505</v>
      </c>
    </row>
    <row r="11" customFormat="false" ht="15" hidden="false" customHeight="false" outlineLevel="0" collapsed="false">
      <c r="A11" s="36" t="s">
        <v>1506</v>
      </c>
    </row>
    <row r="12" customFormat="false" ht="15" hidden="false" customHeight="false" outlineLevel="0" collapsed="false">
      <c r="A12" s="36" t="s">
        <v>1507</v>
      </c>
    </row>
    <row r="13" customFormat="false" ht="15" hidden="false" customHeight="false" outlineLevel="0" collapsed="false">
      <c r="A13" s="36" t="s">
        <v>1508</v>
      </c>
    </row>
    <row r="14" customFormat="false" ht="15" hidden="false" customHeight="false" outlineLevel="0" collapsed="false">
      <c r="A14" s="36" t="s">
        <v>1509</v>
      </c>
    </row>
    <row r="15" customFormat="false" ht="15" hidden="false" customHeight="false" outlineLevel="0" collapsed="false">
      <c r="A15" s="36" t="s">
        <v>1510</v>
      </c>
    </row>
    <row r="16" customFormat="false" ht="15" hidden="false" customHeight="false" outlineLevel="0" collapsed="false">
      <c r="A16" s="36" t="s">
        <v>1511</v>
      </c>
    </row>
    <row r="17" customFormat="false" ht="15" hidden="false" customHeight="false" outlineLevel="0" collapsed="false">
      <c r="A17" s="36" t="s">
        <v>1512</v>
      </c>
    </row>
    <row r="18" customFormat="false" ht="15" hidden="false" customHeight="false" outlineLevel="0" collapsed="false">
      <c r="A18" s="36" t="s">
        <v>1513</v>
      </c>
    </row>
    <row r="19" customFormat="false" ht="15" hidden="false" customHeight="false" outlineLevel="0" collapsed="false">
      <c r="A19" s="36" t="s">
        <v>1514</v>
      </c>
    </row>
    <row r="20" customFormat="false" ht="15" hidden="false" customHeight="false" outlineLevel="0" collapsed="false">
      <c r="A20" s="36" t="s">
        <v>1515</v>
      </c>
    </row>
    <row r="21" customFormat="false" ht="15" hidden="false" customHeight="false" outlineLevel="0" collapsed="false">
      <c r="A21" s="36" t="s">
        <v>1516</v>
      </c>
    </row>
    <row r="22" customFormat="false" ht="15" hidden="false" customHeight="false" outlineLevel="0" collapsed="false">
      <c r="A22" s="36" t="s">
        <v>1517</v>
      </c>
    </row>
    <row r="23" customFormat="false" ht="15" hidden="false" customHeight="false" outlineLevel="0" collapsed="false">
      <c r="A23" s="36" t="s">
        <v>1518</v>
      </c>
    </row>
    <row r="24" customFormat="false" ht="15" hidden="false" customHeight="false" outlineLevel="0" collapsed="false">
      <c r="A24" s="36" t="s">
        <v>1519</v>
      </c>
    </row>
    <row r="25" customFormat="false" ht="15" hidden="false" customHeight="false" outlineLevel="0" collapsed="false">
      <c r="A25" s="36" t="s">
        <v>1520</v>
      </c>
    </row>
    <row r="26" customFormat="false" ht="15" hidden="false" customHeight="false" outlineLevel="0" collapsed="false">
      <c r="A26" s="36" t="s">
        <v>1521</v>
      </c>
    </row>
    <row r="27" customFormat="false" ht="15" hidden="false" customHeight="false" outlineLevel="0" collapsed="false">
      <c r="A27" s="36" t="s">
        <v>1522</v>
      </c>
    </row>
    <row r="28" customFormat="false" ht="15" hidden="false" customHeight="false" outlineLevel="0" collapsed="false">
      <c r="A28" s="36" t="s">
        <v>1523</v>
      </c>
    </row>
    <row r="29" customFormat="false" ht="15" hidden="false" customHeight="false" outlineLevel="0" collapsed="false">
      <c r="A29" s="36" t="s">
        <v>1524</v>
      </c>
    </row>
    <row r="30" customFormat="false" ht="15" hidden="false" customHeight="false" outlineLevel="0" collapsed="false">
      <c r="A30" s="36" t="s">
        <v>1525</v>
      </c>
    </row>
    <row r="31" customFormat="false" ht="15" hidden="false" customHeight="false" outlineLevel="0" collapsed="false">
      <c r="A31" s="36" t="s">
        <v>1526</v>
      </c>
    </row>
    <row r="32" customFormat="false" ht="15" hidden="false" customHeight="false" outlineLevel="0" collapsed="false">
      <c r="A32" s="36" t="s">
        <v>1527</v>
      </c>
    </row>
    <row r="33" customFormat="false" ht="15" hidden="false" customHeight="false" outlineLevel="0" collapsed="false">
      <c r="A33" s="36" t="s">
        <v>1528</v>
      </c>
    </row>
    <row r="34" customFormat="false" ht="15" hidden="false" customHeight="false" outlineLevel="0" collapsed="false">
      <c r="A34" s="36" t="s">
        <v>1529</v>
      </c>
    </row>
    <row r="35" customFormat="false" ht="15" hidden="false" customHeight="false" outlineLevel="0" collapsed="false">
      <c r="A35" s="36" t="s">
        <v>1530</v>
      </c>
    </row>
    <row r="36" customFormat="false" ht="15" hidden="false" customHeight="false" outlineLevel="0" collapsed="false">
      <c r="A36" s="36"/>
    </row>
    <row r="37" customFormat="false" ht="15" hidden="false" customHeight="false" outlineLevel="0" collapsed="false">
      <c r="A37" s="36" t="s">
        <v>1531</v>
      </c>
    </row>
    <row r="38" customFormat="false" ht="15" hidden="false" customHeight="false" outlineLevel="0" collapsed="false">
      <c r="A38" s="36" t="s">
        <v>1532</v>
      </c>
    </row>
    <row r="39" customFormat="false" ht="15" hidden="false" customHeight="false" outlineLevel="0" collapsed="false">
      <c r="A39" s="36" t="s">
        <v>1503</v>
      </c>
    </row>
    <row r="40" customFormat="false" ht="15" hidden="false" customHeight="false" outlineLevel="0" collapsed="false">
      <c r="A40" s="36" t="s">
        <v>1533</v>
      </c>
    </row>
    <row r="41" customFormat="false" ht="15" hidden="false" customHeight="false" outlineLevel="0" collapsed="false">
      <c r="A41" s="36" t="s">
        <v>1534</v>
      </c>
    </row>
    <row r="42" customFormat="false" ht="15" hidden="false" customHeight="false" outlineLevel="0" collapsed="false">
      <c r="A42" s="36" t="s">
        <v>1535</v>
      </c>
    </row>
    <row r="43" customFormat="false" ht="15" hidden="false" customHeight="false" outlineLevel="0" collapsed="false">
      <c r="A43" s="36" t="s">
        <v>1536</v>
      </c>
    </row>
    <row r="44" customFormat="false" ht="15" hidden="false" customHeight="false" outlineLevel="0" collapsed="false">
      <c r="A44" s="36" t="s">
        <v>1537</v>
      </c>
    </row>
    <row r="45" customFormat="false" ht="15" hidden="false" customHeight="false" outlineLevel="0" collapsed="false">
      <c r="A45" s="36" t="s">
        <v>1538</v>
      </c>
    </row>
    <row r="46" customFormat="false" ht="15" hidden="false" customHeight="false" outlineLevel="0" collapsed="false">
      <c r="A46" s="36" t="s">
        <v>1539</v>
      </c>
    </row>
    <row r="47" customFormat="false" ht="15" hidden="false" customHeight="false" outlineLevel="0" collapsed="false">
      <c r="A47" s="36" t="s">
        <v>1540</v>
      </c>
    </row>
    <row r="48" customFormat="false" ht="15" hidden="false" customHeight="false" outlineLevel="0" collapsed="false">
      <c r="A48" s="36" t="s">
        <v>1510</v>
      </c>
    </row>
    <row r="49" customFormat="false" ht="15" hidden="false" customHeight="false" outlineLevel="0" collapsed="false">
      <c r="A49" s="36" t="s">
        <v>1511</v>
      </c>
    </row>
    <row r="50" customFormat="false" ht="15" hidden="false" customHeight="false" outlineLevel="0" collapsed="false">
      <c r="A50" s="36" t="s">
        <v>1512</v>
      </c>
    </row>
    <row r="51" customFormat="false" ht="15" hidden="false" customHeight="false" outlineLevel="0" collapsed="false">
      <c r="A51" s="36" t="s">
        <v>1513</v>
      </c>
    </row>
    <row r="52" customFormat="false" ht="15" hidden="false" customHeight="false" outlineLevel="0" collapsed="false">
      <c r="A52" s="36" t="s">
        <v>1514</v>
      </c>
    </row>
    <row r="53" customFormat="false" ht="15" hidden="false" customHeight="false" outlineLevel="0" collapsed="false">
      <c r="A53" s="36" t="s">
        <v>1515</v>
      </c>
    </row>
    <row r="54" customFormat="false" ht="15" hidden="false" customHeight="false" outlineLevel="0" collapsed="false">
      <c r="A54" s="36" t="s">
        <v>1516</v>
      </c>
    </row>
    <row r="55" customFormat="false" ht="15" hidden="false" customHeight="false" outlineLevel="0" collapsed="false">
      <c r="A55" s="36" t="s">
        <v>1541</v>
      </c>
    </row>
    <row r="56" customFormat="false" ht="15" hidden="false" customHeight="false" outlineLevel="0" collapsed="false">
      <c r="A56" s="36" t="s">
        <v>1542</v>
      </c>
    </row>
    <row r="57" customFormat="false" ht="15" hidden="false" customHeight="false" outlineLevel="0" collapsed="false">
      <c r="A57" s="36" t="s">
        <v>1543</v>
      </c>
    </row>
    <row r="58" customFormat="false" ht="15" hidden="false" customHeight="false" outlineLevel="0" collapsed="false">
      <c r="A58" s="36" t="s">
        <v>1544</v>
      </c>
    </row>
    <row r="59" customFormat="false" ht="15" hidden="false" customHeight="false" outlineLevel="0" collapsed="false">
      <c r="A59" s="36" t="s">
        <v>1545</v>
      </c>
    </row>
    <row r="60" customFormat="false" ht="15" hidden="false" customHeight="false" outlineLevel="0" collapsed="false">
      <c r="A60" s="36" t="s">
        <v>1546</v>
      </c>
    </row>
    <row r="61" customFormat="false" ht="15" hidden="false" customHeight="false" outlineLevel="0" collapsed="false">
      <c r="A61" s="36" t="s">
        <v>1547</v>
      </c>
    </row>
    <row r="62" customFormat="false" ht="15" hidden="false" customHeight="false" outlineLevel="0" collapsed="false">
      <c r="A62" s="36" t="s">
        <v>1548</v>
      </c>
    </row>
    <row r="63" customFormat="false" ht="15" hidden="false" customHeight="false" outlineLevel="0" collapsed="false">
      <c r="A63" s="36" t="s">
        <v>1549</v>
      </c>
    </row>
    <row r="64" customFormat="false" ht="15" hidden="false" customHeight="false" outlineLevel="0" collapsed="false">
      <c r="A64" s="36" t="s">
        <v>1550</v>
      </c>
    </row>
    <row r="65" customFormat="false" ht="15" hidden="false" customHeight="false" outlineLevel="0" collapsed="false">
      <c r="A65" s="36" t="s">
        <v>1551</v>
      </c>
    </row>
    <row r="66" customFormat="false" ht="15" hidden="false" customHeight="false" outlineLevel="0" collapsed="false">
      <c r="A66" s="36" t="s">
        <v>1552</v>
      </c>
    </row>
    <row r="67" customFormat="false" ht="15" hidden="false" customHeight="false" outlineLevel="0" collapsed="false">
      <c r="A67" s="36" t="s">
        <v>1553</v>
      </c>
    </row>
    <row r="68" customFormat="false" ht="15" hidden="false" customHeight="false" outlineLevel="0" collapsed="false">
      <c r="A68" s="36" t="s">
        <v>1554</v>
      </c>
    </row>
    <row r="69" customFormat="false" ht="15" hidden="false" customHeight="false" outlineLevel="0" collapsed="false">
      <c r="A69" s="36" t="s">
        <v>1555</v>
      </c>
    </row>
    <row r="70" customFormat="false" ht="15" hidden="false" customHeight="false" outlineLevel="0" collapsed="false">
      <c r="A70" s="36" t="s">
        <v>1556</v>
      </c>
    </row>
    <row r="71" customFormat="false" ht="15" hidden="false" customHeight="false" outlineLevel="0" collapsed="false">
      <c r="A71" s="36"/>
    </row>
    <row r="72" customFormat="false" ht="15" hidden="false" customHeight="false" outlineLevel="0" collapsed="false">
      <c r="A72" s="36" t="s">
        <v>1557</v>
      </c>
    </row>
    <row r="73" customFormat="false" ht="15" hidden="false" customHeight="false" outlineLevel="0" collapsed="false">
      <c r="A73" s="36" t="s">
        <v>1558</v>
      </c>
    </row>
    <row r="74" customFormat="false" ht="15" hidden="false" customHeight="false" outlineLevel="0" collapsed="false">
      <c r="A74" s="36" t="s">
        <v>1503</v>
      </c>
    </row>
    <row r="75" customFormat="false" ht="15" hidden="false" customHeight="false" outlineLevel="0" collapsed="false">
      <c r="A75" s="36" t="s">
        <v>1559</v>
      </c>
    </row>
    <row r="76" customFormat="false" ht="15" hidden="false" customHeight="false" outlineLevel="0" collapsed="false">
      <c r="A76" s="36" t="s">
        <v>1534</v>
      </c>
    </row>
    <row r="77" customFormat="false" ht="15" hidden="false" customHeight="false" outlineLevel="0" collapsed="false">
      <c r="A77" s="36" t="s">
        <v>1560</v>
      </c>
    </row>
    <row r="78" customFormat="false" ht="15" hidden="false" customHeight="false" outlineLevel="0" collapsed="false">
      <c r="A78" s="36" t="s">
        <v>1561</v>
      </c>
    </row>
    <row r="79" customFormat="false" ht="15" hidden="false" customHeight="false" outlineLevel="0" collapsed="false">
      <c r="A79" s="36" t="s">
        <v>1562</v>
      </c>
    </row>
    <row r="80" customFormat="false" ht="15" hidden="false" customHeight="false" outlineLevel="0" collapsed="false">
      <c r="A80" s="36" t="s">
        <v>1563</v>
      </c>
    </row>
    <row r="81" customFormat="false" ht="15" hidden="false" customHeight="false" outlineLevel="0" collapsed="false">
      <c r="A81" s="36" t="s">
        <v>1564</v>
      </c>
    </row>
    <row r="82" customFormat="false" ht="15" hidden="false" customHeight="false" outlineLevel="0" collapsed="false">
      <c r="A82" s="36" t="s">
        <v>1538</v>
      </c>
    </row>
    <row r="83" customFormat="false" ht="15" hidden="false" customHeight="false" outlineLevel="0" collapsed="false">
      <c r="A83" s="36" t="s">
        <v>1539</v>
      </c>
    </row>
    <row r="84" customFormat="false" ht="15" hidden="false" customHeight="false" outlineLevel="0" collapsed="false">
      <c r="A84" s="36" t="s">
        <v>1565</v>
      </c>
    </row>
    <row r="85" customFormat="false" ht="15" hidden="false" customHeight="false" outlineLevel="0" collapsed="false">
      <c r="A85" s="36" t="s">
        <v>1510</v>
      </c>
    </row>
    <row r="86" customFormat="false" ht="15" hidden="false" customHeight="false" outlineLevel="0" collapsed="false">
      <c r="A86" s="36" t="s">
        <v>1511</v>
      </c>
    </row>
    <row r="87" customFormat="false" ht="15" hidden="false" customHeight="false" outlineLevel="0" collapsed="false">
      <c r="A87" s="36" t="s">
        <v>1512</v>
      </c>
    </row>
    <row r="88" customFormat="false" ht="15" hidden="false" customHeight="false" outlineLevel="0" collapsed="false">
      <c r="A88" s="36" t="s">
        <v>1513</v>
      </c>
    </row>
    <row r="89" customFormat="false" ht="15" hidden="false" customHeight="false" outlineLevel="0" collapsed="false">
      <c r="A89" s="36" t="s">
        <v>1514</v>
      </c>
    </row>
    <row r="90" customFormat="false" ht="15" hidden="false" customHeight="false" outlineLevel="0" collapsed="false">
      <c r="A90" s="36" t="s">
        <v>1515</v>
      </c>
    </row>
    <row r="91" customFormat="false" ht="15" hidden="false" customHeight="false" outlineLevel="0" collapsed="false">
      <c r="A91" s="36" t="s">
        <v>1516</v>
      </c>
    </row>
    <row r="92" customFormat="false" ht="15" hidden="false" customHeight="false" outlineLevel="0" collapsed="false">
      <c r="A92" s="36" t="s">
        <v>1566</v>
      </c>
    </row>
    <row r="93" customFormat="false" ht="15" hidden="false" customHeight="false" outlineLevel="0" collapsed="false">
      <c r="A93" s="36" t="s">
        <v>1567</v>
      </c>
    </row>
    <row r="94" customFormat="false" ht="15" hidden="false" customHeight="false" outlineLevel="0" collapsed="false">
      <c r="A94" s="36" t="s">
        <v>1568</v>
      </c>
    </row>
    <row r="95" customFormat="false" ht="15" hidden="false" customHeight="false" outlineLevel="0" collapsed="false">
      <c r="A95" s="36" t="s">
        <v>1569</v>
      </c>
    </row>
    <row r="96" customFormat="false" ht="15" hidden="false" customHeight="false" outlineLevel="0" collapsed="false">
      <c r="A96" s="36" t="s">
        <v>1570</v>
      </c>
    </row>
    <row r="97" customFormat="false" ht="15" hidden="false" customHeight="false" outlineLevel="0" collapsed="false">
      <c r="A97" s="36" t="s">
        <v>1571</v>
      </c>
    </row>
    <row r="98" customFormat="false" ht="15" hidden="false" customHeight="false" outlineLevel="0" collapsed="false">
      <c r="A98" s="36" t="s">
        <v>1572</v>
      </c>
    </row>
    <row r="99" customFormat="false" ht="15" hidden="false" customHeight="false" outlineLevel="0" collapsed="false">
      <c r="A99" s="36" t="s">
        <v>1573</v>
      </c>
    </row>
    <row r="100" customFormat="false" ht="15" hidden="false" customHeight="false" outlineLevel="0" collapsed="false">
      <c r="A100" s="36" t="s">
        <v>1574</v>
      </c>
    </row>
    <row r="101" customFormat="false" ht="15" hidden="false" customHeight="false" outlineLevel="0" collapsed="false">
      <c r="A101" s="36" t="s">
        <v>1575</v>
      </c>
    </row>
    <row r="102" customFormat="false" ht="15" hidden="false" customHeight="false" outlineLevel="0" collapsed="false">
      <c r="A102" s="36" t="s">
        <v>1576</v>
      </c>
    </row>
    <row r="103" customFormat="false" ht="15" hidden="false" customHeight="false" outlineLevel="0" collapsed="false">
      <c r="A103" s="36" t="s">
        <v>1577</v>
      </c>
    </row>
    <row r="104" customFormat="false" ht="15" hidden="false" customHeight="false" outlineLevel="0" collapsed="false">
      <c r="A104" s="36" t="s">
        <v>1578</v>
      </c>
    </row>
    <row r="105" customFormat="false" ht="15" hidden="false" customHeight="false" outlineLevel="0" collapsed="false">
      <c r="A105" s="36" t="s">
        <v>1579</v>
      </c>
    </row>
    <row r="106" customFormat="false" ht="15" hidden="false" customHeight="false" outlineLevel="0" collapsed="false">
      <c r="A106" s="36" t="s">
        <v>1580</v>
      </c>
    </row>
    <row r="107" customFormat="false" ht="15" hidden="false" customHeight="false" outlineLevel="0" collapsed="false">
      <c r="A107" s="36" t="s">
        <v>1581</v>
      </c>
    </row>
    <row r="108" customFormat="false" ht="15" hidden="false" customHeight="false" outlineLevel="0" collapsed="false">
      <c r="A108" s="36" t="s">
        <v>1582</v>
      </c>
    </row>
    <row r="109" customFormat="false" ht="15" hidden="false" customHeight="false" outlineLevel="0" collapsed="false">
      <c r="A109" s="36" t="s">
        <v>1583</v>
      </c>
    </row>
    <row r="110" customFormat="false" ht="15" hidden="false" customHeight="false" outlineLevel="0" collapsed="false">
      <c r="A110" s="36"/>
    </row>
    <row r="111" customFormat="false" ht="15" hidden="false" customHeight="false" outlineLevel="0" collapsed="false">
      <c r="A111" s="36" t="s">
        <v>1584</v>
      </c>
    </row>
    <row r="112" customFormat="false" ht="15" hidden="false" customHeight="false" outlineLevel="0" collapsed="false">
      <c r="A112" s="36" t="s">
        <v>1585</v>
      </c>
    </row>
    <row r="113" customFormat="false" ht="15" hidden="false" customHeight="false" outlineLevel="0" collapsed="false">
      <c r="A113" s="36" t="s">
        <v>1503</v>
      </c>
    </row>
    <row r="114" customFormat="false" ht="15" hidden="false" customHeight="false" outlineLevel="0" collapsed="false">
      <c r="A114" s="36" t="s">
        <v>1586</v>
      </c>
    </row>
    <row r="115" customFormat="false" ht="15" hidden="false" customHeight="false" outlineLevel="0" collapsed="false">
      <c r="A115" s="36" t="s">
        <v>1505</v>
      </c>
    </row>
    <row r="116" customFormat="false" ht="15" hidden="false" customHeight="false" outlineLevel="0" collapsed="false">
      <c r="A116" s="36" t="s">
        <v>1587</v>
      </c>
    </row>
    <row r="117" customFormat="false" ht="15" hidden="false" customHeight="false" outlineLevel="0" collapsed="false">
      <c r="A117" s="36" t="s">
        <v>1588</v>
      </c>
    </row>
    <row r="118" customFormat="false" ht="15" hidden="false" customHeight="false" outlineLevel="0" collapsed="false">
      <c r="A118" s="36" t="s">
        <v>1589</v>
      </c>
    </row>
    <row r="119" customFormat="false" ht="15" hidden="false" customHeight="false" outlineLevel="0" collapsed="false">
      <c r="A119" s="36" t="s">
        <v>1510</v>
      </c>
    </row>
    <row r="120" customFormat="false" ht="15" hidden="false" customHeight="false" outlineLevel="0" collapsed="false">
      <c r="A120" s="36" t="s">
        <v>1511</v>
      </c>
    </row>
    <row r="121" customFormat="false" ht="15" hidden="false" customHeight="false" outlineLevel="0" collapsed="false">
      <c r="A121" s="36" t="s">
        <v>1512</v>
      </c>
    </row>
    <row r="122" customFormat="false" ht="15" hidden="false" customHeight="false" outlineLevel="0" collapsed="false">
      <c r="A122" s="36" t="s">
        <v>1513</v>
      </c>
    </row>
    <row r="123" customFormat="false" ht="15" hidden="false" customHeight="false" outlineLevel="0" collapsed="false">
      <c r="A123" s="36" t="s">
        <v>1514</v>
      </c>
    </row>
    <row r="124" customFormat="false" ht="15" hidden="false" customHeight="false" outlineLevel="0" collapsed="false">
      <c r="A124" s="36" t="s">
        <v>1515</v>
      </c>
    </row>
    <row r="125" customFormat="false" ht="15" hidden="false" customHeight="false" outlineLevel="0" collapsed="false">
      <c r="A125" s="36" t="s">
        <v>1516</v>
      </c>
    </row>
    <row r="126" customFormat="false" ht="15" hidden="false" customHeight="false" outlineLevel="0" collapsed="false">
      <c r="A126" s="36" t="s">
        <v>1590</v>
      </c>
    </row>
    <row r="127" customFormat="false" ht="15" hidden="false" customHeight="false" outlineLevel="0" collapsed="false">
      <c r="A127" s="36" t="s">
        <v>1591</v>
      </c>
    </row>
    <row r="128" customFormat="false" ht="15" hidden="false" customHeight="false" outlineLevel="0" collapsed="false">
      <c r="A128" s="36" t="s">
        <v>1592</v>
      </c>
    </row>
    <row r="129" customFormat="false" ht="15" hidden="false" customHeight="false" outlineLevel="0" collapsed="false">
      <c r="A129" s="36" t="s">
        <v>1593</v>
      </c>
    </row>
    <row r="130" customFormat="false" ht="15" hidden="false" customHeight="false" outlineLevel="0" collapsed="false">
      <c r="A130" s="36" t="s">
        <v>1594</v>
      </c>
    </row>
    <row r="131" customFormat="false" ht="15" hidden="false" customHeight="false" outlineLevel="0" collapsed="false">
      <c r="A131" s="36" t="s">
        <v>1595</v>
      </c>
    </row>
    <row r="132" customFormat="false" ht="15" hidden="false" customHeight="false" outlineLevel="0" collapsed="false">
      <c r="A132" s="36" t="s">
        <v>1596</v>
      </c>
    </row>
    <row r="133" customFormat="false" ht="15" hidden="false" customHeight="false" outlineLevel="0" collapsed="false">
      <c r="A133" s="36" t="s">
        <v>1597</v>
      </c>
    </row>
    <row r="134" customFormat="false" ht="15" hidden="false" customHeight="false" outlineLevel="0" collapsed="false">
      <c r="A134" s="36" t="s">
        <v>1598</v>
      </c>
    </row>
    <row r="135" customFormat="false" ht="15" hidden="false" customHeight="false" outlineLevel="0" collapsed="false">
      <c r="A135" s="36" t="s">
        <v>1599</v>
      </c>
    </row>
    <row r="136" customFormat="false" ht="15" hidden="false" customHeight="false" outlineLevel="0" collapsed="false">
      <c r="A136" s="36" t="s">
        <v>1600</v>
      </c>
    </row>
    <row r="137" customFormat="false" ht="15" hidden="false" customHeight="false" outlineLevel="0" collapsed="false">
      <c r="A137" s="36" t="s">
        <v>1601</v>
      </c>
    </row>
    <row r="138" customFormat="false" ht="15" hidden="false" customHeight="false" outlineLevel="0" collapsed="false">
      <c r="A138" s="36" t="s">
        <v>1602</v>
      </c>
    </row>
    <row r="139" customFormat="false" ht="15" hidden="false" customHeight="false" outlineLevel="0" collapsed="false">
      <c r="A139" s="36"/>
    </row>
    <row r="140" customFormat="false" ht="15" hidden="false" customHeight="false" outlineLevel="0" collapsed="false">
      <c r="A140" s="36" t="s">
        <v>1603</v>
      </c>
    </row>
    <row r="141" customFormat="false" ht="15" hidden="false" customHeight="false" outlineLevel="0" collapsed="false">
      <c r="A141" s="36" t="s">
        <v>1604</v>
      </c>
    </row>
    <row r="142" customFormat="false" ht="15" hidden="false" customHeight="false" outlineLevel="0" collapsed="false">
      <c r="A142" s="36" t="s">
        <v>1503</v>
      </c>
    </row>
    <row r="143" customFormat="false" ht="15" hidden="false" customHeight="false" outlineLevel="0" collapsed="false">
      <c r="A143" s="36" t="s">
        <v>1605</v>
      </c>
    </row>
    <row r="144" customFormat="false" ht="15" hidden="false" customHeight="false" outlineLevel="0" collapsed="false">
      <c r="A144" s="36" t="s">
        <v>1560</v>
      </c>
    </row>
    <row r="145" customFormat="false" ht="15" hidden="false" customHeight="false" outlineLevel="0" collapsed="false">
      <c r="A145" s="36" t="s">
        <v>1606</v>
      </c>
    </row>
    <row r="146" customFormat="false" ht="15" hidden="false" customHeight="false" outlineLevel="0" collapsed="false">
      <c r="A146" s="36" t="s">
        <v>1511</v>
      </c>
    </row>
    <row r="147" customFormat="false" ht="15" hidden="false" customHeight="false" outlineLevel="0" collapsed="false">
      <c r="A147" s="36" t="s">
        <v>1512</v>
      </c>
    </row>
    <row r="148" customFormat="false" ht="15" hidden="false" customHeight="false" outlineLevel="0" collapsed="false">
      <c r="A148" s="36" t="s">
        <v>1513</v>
      </c>
    </row>
    <row r="149" customFormat="false" ht="15" hidden="false" customHeight="false" outlineLevel="0" collapsed="false">
      <c r="A149" s="36" t="s">
        <v>1514</v>
      </c>
    </row>
    <row r="150" customFormat="false" ht="15" hidden="false" customHeight="false" outlineLevel="0" collapsed="false">
      <c r="A150" s="36" t="s">
        <v>1515</v>
      </c>
    </row>
    <row r="151" customFormat="false" ht="15" hidden="false" customHeight="false" outlineLevel="0" collapsed="false">
      <c r="A151" s="36" t="s">
        <v>1516</v>
      </c>
    </row>
    <row r="152" customFormat="false" ht="15" hidden="false" customHeight="false" outlineLevel="0" collapsed="false">
      <c r="A152" s="36" t="s">
        <v>1607</v>
      </c>
    </row>
    <row r="153" customFormat="false" ht="15" hidden="false" customHeight="false" outlineLevel="0" collapsed="false">
      <c r="A153" s="36" t="s">
        <v>1608</v>
      </c>
    </row>
    <row r="154" customFormat="false" ht="15" hidden="false" customHeight="false" outlineLevel="0" collapsed="false">
      <c r="A154" s="36" t="s">
        <v>1609</v>
      </c>
    </row>
    <row r="155" customFormat="false" ht="15" hidden="false" customHeight="false" outlineLevel="0" collapsed="false">
      <c r="A155" s="36" t="s">
        <v>1610</v>
      </c>
    </row>
    <row r="156" customFormat="false" ht="15" hidden="false" customHeight="false" outlineLevel="0" collapsed="false">
      <c r="A156" s="36" t="s">
        <v>1611</v>
      </c>
    </row>
    <row r="157" customFormat="false" ht="15" hidden="false" customHeight="false" outlineLevel="0" collapsed="false">
      <c r="A157" s="36" t="s">
        <v>1612</v>
      </c>
    </row>
    <row r="158" customFormat="false" ht="15" hidden="false" customHeight="false" outlineLevel="0" collapsed="false">
      <c r="A158" s="36" t="s">
        <v>1613</v>
      </c>
    </row>
    <row r="159" customFormat="false" ht="15" hidden="false" customHeight="false" outlineLevel="0" collapsed="false">
      <c r="A159" s="36" t="s">
        <v>1614</v>
      </c>
    </row>
    <row r="160" customFormat="false" ht="15" hidden="false" customHeight="false" outlineLevel="0" collapsed="false">
      <c r="A160" s="36" t="s">
        <v>1615</v>
      </c>
    </row>
    <row r="161" customFormat="false" ht="15" hidden="false" customHeight="false" outlineLevel="0" collapsed="false">
      <c r="A161" s="36" t="s">
        <v>1616</v>
      </c>
    </row>
    <row r="162" customFormat="false" ht="15" hidden="false" customHeight="false" outlineLevel="0" collapsed="false">
      <c r="A162" s="36"/>
    </row>
    <row r="163" customFormat="false" ht="15" hidden="false" customHeight="false" outlineLevel="0" collapsed="false">
      <c r="A163" s="36" t="s">
        <v>1617</v>
      </c>
    </row>
    <row r="164" customFormat="false" ht="15" hidden="false" customHeight="false" outlineLevel="0" collapsed="false">
      <c r="A164" s="36" t="s">
        <v>1618</v>
      </c>
    </row>
    <row r="165" customFormat="false" ht="15" hidden="false" customHeight="false" outlineLevel="0" collapsed="false">
      <c r="A165" s="36" t="s">
        <v>1503</v>
      </c>
    </row>
    <row r="166" customFormat="false" ht="15" hidden="false" customHeight="false" outlineLevel="0" collapsed="false">
      <c r="A166" s="36" t="s">
        <v>1619</v>
      </c>
    </row>
    <row r="167" customFormat="false" ht="15" hidden="false" customHeight="false" outlineLevel="0" collapsed="false">
      <c r="A167" s="36" t="s">
        <v>1620</v>
      </c>
    </row>
    <row r="168" customFormat="false" ht="15" hidden="false" customHeight="false" outlineLevel="0" collapsed="false">
      <c r="A168" s="36" t="s">
        <v>1621</v>
      </c>
    </row>
    <row r="169" customFormat="false" ht="15" hidden="false" customHeight="false" outlineLevel="0" collapsed="false">
      <c r="A169" s="36" t="s">
        <v>1622</v>
      </c>
    </row>
    <row r="170" customFormat="false" ht="15" hidden="false" customHeight="false" outlineLevel="0" collapsed="false">
      <c r="A170" s="36" t="s">
        <v>1623</v>
      </c>
    </row>
    <row r="171" customFormat="false" ht="15" hidden="false" customHeight="false" outlineLevel="0" collapsed="false">
      <c r="A171" s="36" t="s">
        <v>1624</v>
      </c>
    </row>
    <row r="172" customFormat="false" ht="15" hidden="false" customHeight="false" outlineLevel="0" collapsed="false">
      <c r="A172" s="36" t="s">
        <v>1625</v>
      </c>
    </row>
    <row r="173" customFormat="false" ht="15" hidden="false" customHeight="false" outlineLevel="0" collapsed="false">
      <c r="A173" s="36" t="s">
        <v>1511</v>
      </c>
    </row>
    <row r="174" customFormat="false" ht="15" hidden="false" customHeight="false" outlineLevel="0" collapsed="false">
      <c r="A174" s="36" t="s">
        <v>1512</v>
      </c>
    </row>
    <row r="175" customFormat="false" ht="15" hidden="false" customHeight="false" outlineLevel="0" collapsed="false">
      <c r="A175" s="36" t="s">
        <v>1513</v>
      </c>
    </row>
    <row r="176" customFormat="false" ht="15" hidden="false" customHeight="false" outlineLevel="0" collapsed="false">
      <c r="A176" s="36" t="s">
        <v>1514</v>
      </c>
    </row>
    <row r="177" customFormat="false" ht="15" hidden="false" customHeight="false" outlineLevel="0" collapsed="false">
      <c r="A177" s="36" t="s">
        <v>1515</v>
      </c>
    </row>
    <row r="178" customFormat="false" ht="15" hidden="false" customHeight="false" outlineLevel="0" collapsed="false">
      <c r="A178" s="36" t="s">
        <v>1516</v>
      </c>
    </row>
    <row r="179" customFormat="false" ht="15" hidden="false" customHeight="false" outlineLevel="0" collapsed="false">
      <c r="A179" s="36" t="s">
        <v>1626</v>
      </c>
    </row>
    <row r="180" customFormat="false" ht="15" hidden="false" customHeight="false" outlineLevel="0" collapsed="false">
      <c r="A180" s="36" t="s">
        <v>1627</v>
      </c>
    </row>
    <row r="181" customFormat="false" ht="15" hidden="false" customHeight="false" outlineLevel="0" collapsed="false">
      <c r="A181" s="36" t="s">
        <v>1628</v>
      </c>
    </row>
    <row r="182" customFormat="false" ht="15" hidden="false" customHeight="false" outlineLevel="0" collapsed="false">
      <c r="A182" s="36" t="s">
        <v>1629</v>
      </c>
    </row>
    <row r="183" customFormat="false" ht="15" hidden="false" customHeight="false" outlineLevel="0" collapsed="false">
      <c r="A183" s="36" t="s">
        <v>1630</v>
      </c>
    </row>
    <row r="184" customFormat="false" ht="15" hidden="false" customHeight="false" outlineLevel="0" collapsed="false">
      <c r="A184" s="36" t="s">
        <v>1631</v>
      </c>
    </row>
    <row r="185" customFormat="false" ht="15" hidden="false" customHeight="false" outlineLevel="0" collapsed="false">
      <c r="A185" s="36" t="s">
        <v>1632</v>
      </c>
    </row>
    <row r="186" customFormat="false" ht="15" hidden="false" customHeight="false" outlineLevel="0" collapsed="false">
      <c r="A186" s="36" t="s">
        <v>1633</v>
      </c>
    </row>
    <row r="187" customFormat="false" ht="15" hidden="false" customHeight="false" outlineLevel="0" collapsed="false">
      <c r="A187" s="36" t="s">
        <v>1634</v>
      </c>
    </row>
    <row r="188" customFormat="false" ht="15" hidden="false" customHeight="false" outlineLevel="0" collapsed="false">
      <c r="A188" s="36" t="s">
        <v>1635</v>
      </c>
    </row>
    <row r="189" customFormat="false" ht="15" hidden="false" customHeight="false" outlineLevel="0" collapsed="false">
      <c r="A189" s="36" t="s">
        <v>1636</v>
      </c>
    </row>
    <row r="190" customFormat="false" ht="15" hidden="false" customHeight="false" outlineLevel="0" collapsed="false">
      <c r="A190" s="36" t="s">
        <v>1637</v>
      </c>
    </row>
    <row r="191" customFormat="false" ht="15" hidden="false" customHeight="false" outlineLevel="0" collapsed="false">
      <c r="A191" s="36" t="s">
        <v>1638</v>
      </c>
    </row>
    <row r="192" customFormat="false" ht="15" hidden="false" customHeight="false" outlineLevel="0" collapsed="false">
      <c r="A192" s="36" t="s">
        <v>1639</v>
      </c>
    </row>
    <row r="193" customFormat="false" ht="15" hidden="false" customHeight="false" outlineLevel="0" collapsed="false">
      <c r="A193" s="36"/>
    </row>
    <row r="194" customFormat="false" ht="15" hidden="false" customHeight="false" outlineLevel="0" collapsed="false">
      <c r="A194" s="36" t="s">
        <v>1640</v>
      </c>
    </row>
    <row r="195" customFormat="false" ht="15" hidden="false" customHeight="false" outlineLevel="0" collapsed="false">
      <c r="A195" s="36" t="s">
        <v>1641</v>
      </c>
    </row>
    <row r="196" customFormat="false" ht="15" hidden="false" customHeight="false" outlineLevel="0" collapsed="false">
      <c r="A196" s="36" t="s">
        <v>1503</v>
      </c>
    </row>
    <row r="197" customFormat="false" ht="15" hidden="false" customHeight="false" outlineLevel="0" collapsed="false">
      <c r="A197" s="36" t="s">
        <v>1642</v>
      </c>
    </row>
    <row r="198" customFormat="false" ht="15" hidden="false" customHeight="false" outlineLevel="0" collapsed="false">
      <c r="A198" s="36" t="s">
        <v>1643</v>
      </c>
    </row>
    <row r="199" customFormat="false" ht="15" hidden="false" customHeight="false" outlineLevel="0" collapsed="false">
      <c r="A199" s="36" t="s">
        <v>1644</v>
      </c>
    </row>
    <row r="200" customFormat="false" ht="15" hidden="false" customHeight="false" outlineLevel="0" collapsed="false">
      <c r="A200" s="36" t="s">
        <v>1645</v>
      </c>
    </row>
    <row r="201" customFormat="false" ht="15" hidden="false" customHeight="false" outlineLevel="0" collapsed="false">
      <c r="A201" s="36" t="s">
        <v>1646</v>
      </c>
    </row>
    <row r="202" customFormat="false" ht="15" hidden="false" customHeight="false" outlineLevel="0" collapsed="false">
      <c r="A202" s="36" t="s">
        <v>1647</v>
      </c>
    </row>
    <row r="203" customFormat="false" ht="15" hidden="false" customHeight="false" outlineLevel="0" collapsed="false">
      <c r="A203" s="36" t="s">
        <v>1511</v>
      </c>
    </row>
    <row r="204" customFormat="false" ht="15" hidden="false" customHeight="false" outlineLevel="0" collapsed="false">
      <c r="A204" s="36" t="s">
        <v>1512</v>
      </c>
    </row>
    <row r="205" customFormat="false" ht="15" hidden="false" customHeight="false" outlineLevel="0" collapsed="false">
      <c r="A205" s="36" t="s">
        <v>1513</v>
      </c>
    </row>
    <row r="206" customFormat="false" ht="15" hidden="false" customHeight="false" outlineLevel="0" collapsed="false">
      <c r="A206" s="36" t="s">
        <v>1514</v>
      </c>
    </row>
    <row r="207" customFormat="false" ht="15" hidden="false" customHeight="false" outlineLevel="0" collapsed="false">
      <c r="A207" s="36" t="s">
        <v>1515</v>
      </c>
    </row>
    <row r="208" customFormat="false" ht="15" hidden="false" customHeight="false" outlineLevel="0" collapsed="false">
      <c r="A208" s="36" t="s">
        <v>1516</v>
      </c>
    </row>
    <row r="209" customFormat="false" ht="15" hidden="false" customHeight="false" outlineLevel="0" collapsed="false">
      <c r="A209" s="36" t="s">
        <v>1648</v>
      </c>
    </row>
    <row r="210" customFormat="false" ht="15" hidden="false" customHeight="false" outlineLevel="0" collapsed="false">
      <c r="A210" s="36" t="s">
        <v>1649</v>
      </c>
    </row>
    <row r="211" customFormat="false" ht="15" hidden="false" customHeight="false" outlineLevel="0" collapsed="false">
      <c r="A211" s="36" t="s">
        <v>1650</v>
      </c>
    </row>
    <row r="212" customFormat="false" ht="15" hidden="false" customHeight="false" outlineLevel="0" collapsed="false">
      <c r="A212" s="36" t="s">
        <v>1651</v>
      </c>
    </row>
    <row r="213" customFormat="false" ht="15" hidden="false" customHeight="false" outlineLevel="0" collapsed="false">
      <c r="A213" s="36" t="s">
        <v>1652</v>
      </c>
    </row>
    <row r="214" customFormat="false" ht="15" hidden="false" customHeight="false" outlineLevel="0" collapsed="false">
      <c r="A214" s="36" t="s">
        <v>1653</v>
      </c>
    </row>
    <row r="215" customFormat="false" ht="15" hidden="false" customHeight="false" outlineLevel="0" collapsed="false">
      <c r="A215" s="36" t="s">
        <v>1654</v>
      </c>
    </row>
    <row r="216" customFormat="false" ht="15" hidden="false" customHeight="false" outlineLevel="0" collapsed="false">
      <c r="A216" s="36" t="s">
        <v>1655</v>
      </c>
    </row>
    <row r="217" customFormat="false" ht="15" hidden="false" customHeight="false" outlineLevel="0" collapsed="false">
      <c r="A217" s="36" t="s">
        <v>1656</v>
      </c>
    </row>
    <row r="218" customFormat="false" ht="15" hidden="false" customHeight="false" outlineLevel="0" collapsed="false">
      <c r="A218" s="36" t="s">
        <v>1657</v>
      </c>
    </row>
    <row r="219" customFormat="false" ht="15" hidden="false" customHeight="false" outlineLevel="0" collapsed="false">
      <c r="A219" s="36" t="s">
        <v>1658</v>
      </c>
    </row>
    <row r="220" customFormat="false" ht="15" hidden="false" customHeight="false" outlineLevel="0" collapsed="false">
      <c r="A220" s="36" t="s">
        <v>1659</v>
      </c>
    </row>
    <row r="221" customFormat="false" ht="15" hidden="false" customHeight="false" outlineLevel="0" collapsed="false">
      <c r="A221" s="36" t="s">
        <v>1660</v>
      </c>
    </row>
    <row r="222" customFormat="false" ht="15" hidden="false" customHeight="false" outlineLevel="0" collapsed="false">
      <c r="A222" s="36"/>
    </row>
    <row r="223" customFormat="false" ht="15" hidden="false" customHeight="false" outlineLevel="0" collapsed="false">
      <c r="A223" s="36" t="s">
        <v>1661</v>
      </c>
    </row>
    <row r="224" customFormat="false" ht="15" hidden="false" customHeight="false" outlineLevel="0" collapsed="false">
      <c r="A224" s="36" t="s">
        <v>1662</v>
      </c>
    </row>
    <row r="225" customFormat="false" ht="15" hidden="false" customHeight="false" outlineLevel="0" collapsed="false">
      <c r="A225" s="36" t="s">
        <v>1503</v>
      </c>
    </row>
    <row r="226" customFormat="false" ht="15" hidden="false" customHeight="false" outlineLevel="0" collapsed="false">
      <c r="A226" s="36" t="s">
        <v>1663</v>
      </c>
    </row>
    <row r="227" customFormat="false" ht="15" hidden="false" customHeight="false" outlineLevel="0" collapsed="false">
      <c r="A227" s="36" t="s">
        <v>1664</v>
      </c>
    </row>
    <row r="228" customFormat="false" ht="15" hidden="false" customHeight="false" outlineLevel="0" collapsed="false">
      <c r="A228" s="36" t="s">
        <v>1665</v>
      </c>
    </row>
    <row r="229" customFormat="false" ht="15" hidden="false" customHeight="false" outlineLevel="0" collapsed="false">
      <c r="A229" s="36" t="s">
        <v>1666</v>
      </c>
    </row>
    <row r="230" customFormat="false" ht="15" hidden="false" customHeight="false" outlineLevel="0" collapsed="false">
      <c r="A230" s="36" t="s">
        <v>1667</v>
      </c>
    </row>
    <row r="231" customFormat="false" ht="15" hidden="false" customHeight="false" outlineLevel="0" collapsed="false">
      <c r="A231" s="36" t="s">
        <v>1668</v>
      </c>
    </row>
    <row r="232" customFormat="false" ht="15" hidden="false" customHeight="false" outlineLevel="0" collapsed="false">
      <c r="A232" s="36" t="s">
        <v>1669</v>
      </c>
    </row>
    <row r="233" customFormat="false" ht="15" hidden="false" customHeight="false" outlineLevel="0" collapsed="false">
      <c r="A233" s="36" t="s">
        <v>1670</v>
      </c>
    </row>
    <row r="234" customFormat="false" ht="15" hidden="false" customHeight="false" outlineLevel="0" collapsed="false">
      <c r="A234" s="36" t="s">
        <v>1511</v>
      </c>
    </row>
    <row r="235" customFormat="false" ht="15" hidden="false" customHeight="false" outlineLevel="0" collapsed="false">
      <c r="A235" s="36" t="s">
        <v>1671</v>
      </c>
    </row>
    <row r="236" customFormat="false" ht="15" hidden="false" customHeight="false" outlineLevel="0" collapsed="false">
      <c r="A236" s="36" t="s">
        <v>1516</v>
      </c>
    </row>
    <row r="237" customFormat="false" ht="15" hidden="false" customHeight="false" outlineLevel="0" collapsed="false">
      <c r="A237" s="36" t="s">
        <v>1672</v>
      </c>
    </row>
    <row r="238" customFormat="false" ht="15" hidden="false" customHeight="false" outlineLevel="0" collapsed="false">
      <c r="A238" s="36" t="s">
        <v>1673</v>
      </c>
    </row>
    <row r="239" customFormat="false" ht="15" hidden="false" customHeight="false" outlineLevel="0" collapsed="false">
      <c r="A239" s="36" t="s">
        <v>1674</v>
      </c>
    </row>
    <row r="240" customFormat="false" ht="15" hidden="false" customHeight="false" outlineLevel="0" collapsed="false">
      <c r="A240" s="36" t="s">
        <v>1675</v>
      </c>
    </row>
    <row r="241" customFormat="false" ht="15" hidden="false" customHeight="false" outlineLevel="0" collapsed="false">
      <c r="A241" s="36" t="s">
        <v>1676</v>
      </c>
    </row>
    <row r="242" customFormat="false" ht="15" hidden="false" customHeight="false" outlineLevel="0" collapsed="false">
      <c r="A242" s="36" t="s">
        <v>1677</v>
      </c>
    </row>
    <row r="243" customFormat="false" ht="15" hidden="false" customHeight="false" outlineLevel="0" collapsed="false">
      <c r="A243" s="36" t="s">
        <v>1678</v>
      </c>
    </row>
    <row r="244" customFormat="false" ht="15" hidden="false" customHeight="false" outlineLevel="0" collapsed="false">
      <c r="A244" s="36" t="s">
        <v>1679</v>
      </c>
    </row>
    <row r="245" customFormat="false" ht="15" hidden="false" customHeight="false" outlineLevel="0" collapsed="false">
      <c r="A245" s="36" t="s">
        <v>1680</v>
      </c>
    </row>
    <row r="246" customFormat="false" ht="15" hidden="false" customHeight="false" outlineLevel="0" collapsed="false">
      <c r="A246" s="36" t="s">
        <v>1681</v>
      </c>
    </row>
    <row r="247" customFormat="false" ht="15" hidden="false" customHeight="false" outlineLevel="0" collapsed="false">
      <c r="A247" s="36" t="s">
        <v>1682</v>
      </c>
    </row>
    <row r="248" customFormat="false" ht="15" hidden="false" customHeight="false" outlineLevel="0" collapsed="false">
      <c r="A248" s="36" t="s">
        <v>1683</v>
      </c>
    </row>
    <row r="249" customFormat="false" ht="15" hidden="false" customHeight="false" outlineLevel="0" collapsed="false">
      <c r="A249" s="36"/>
    </row>
    <row r="250" customFormat="false" ht="15" hidden="false" customHeight="false" outlineLevel="0" collapsed="false">
      <c r="A250" s="36" t="s">
        <v>1684</v>
      </c>
    </row>
    <row r="251" customFormat="false" ht="15" hidden="false" customHeight="false" outlineLevel="0" collapsed="false">
      <c r="A251" s="36" t="s">
        <v>1685</v>
      </c>
    </row>
    <row r="252" customFormat="false" ht="15" hidden="false" customHeight="false" outlineLevel="0" collapsed="false">
      <c r="A252" s="36" t="s">
        <v>1503</v>
      </c>
    </row>
    <row r="253" customFormat="false" ht="15" hidden="false" customHeight="false" outlineLevel="0" collapsed="false">
      <c r="A253" s="36" t="s">
        <v>1686</v>
      </c>
    </row>
    <row r="254" customFormat="false" ht="15" hidden="false" customHeight="false" outlineLevel="0" collapsed="false">
      <c r="A254" s="36" t="s">
        <v>1534</v>
      </c>
    </row>
    <row r="255" customFormat="false" ht="15" hidden="false" customHeight="false" outlineLevel="0" collapsed="false">
      <c r="A255" s="36" t="s">
        <v>1687</v>
      </c>
    </row>
    <row r="256" customFormat="false" ht="15" hidden="false" customHeight="false" outlineLevel="0" collapsed="false">
      <c r="A256" s="36" t="s">
        <v>1688</v>
      </c>
    </row>
    <row r="257" customFormat="false" ht="15" hidden="false" customHeight="false" outlineLevel="0" collapsed="false">
      <c r="A257" s="36" t="s">
        <v>1689</v>
      </c>
    </row>
    <row r="258" customFormat="false" ht="15" hidden="false" customHeight="false" outlineLevel="0" collapsed="false">
      <c r="A258" s="36" t="s">
        <v>1690</v>
      </c>
    </row>
    <row r="259" customFormat="false" ht="15" hidden="false" customHeight="false" outlineLevel="0" collapsed="false">
      <c r="A259" s="36" t="s">
        <v>1691</v>
      </c>
    </row>
    <row r="260" customFormat="false" ht="15" hidden="false" customHeight="false" outlineLevel="0" collapsed="false">
      <c r="A260" s="36" t="s">
        <v>1692</v>
      </c>
    </row>
    <row r="261" customFormat="false" ht="15" hidden="false" customHeight="false" outlineLevel="0" collapsed="false">
      <c r="A261" s="36" t="s">
        <v>1587</v>
      </c>
    </row>
    <row r="262" customFormat="false" ht="15" hidden="false" customHeight="false" outlineLevel="0" collapsed="false">
      <c r="A262" s="36" t="s">
        <v>1693</v>
      </c>
    </row>
    <row r="263" customFormat="false" ht="15" hidden="false" customHeight="false" outlineLevel="0" collapsed="false">
      <c r="A263" s="36" t="s">
        <v>1694</v>
      </c>
    </row>
    <row r="264" customFormat="false" ht="15" hidden="false" customHeight="false" outlineLevel="0" collapsed="false">
      <c r="A264" s="36" t="s">
        <v>1605</v>
      </c>
    </row>
    <row r="265" customFormat="false" ht="15" hidden="false" customHeight="false" outlineLevel="0" collapsed="false">
      <c r="A265" s="36" t="s">
        <v>1695</v>
      </c>
    </row>
    <row r="266" customFormat="false" ht="15" hidden="false" customHeight="false" outlineLevel="0" collapsed="false">
      <c r="A266" s="36" t="s">
        <v>1696</v>
      </c>
    </row>
    <row r="267" customFormat="false" ht="15" hidden="false" customHeight="false" outlineLevel="0" collapsed="false">
      <c r="A267" s="36" t="s">
        <v>1697</v>
      </c>
    </row>
    <row r="268" customFormat="false" ht="15" hidden="false" customHeight="false" outlineLevel="0" collapsed="false">
      <c r="A268" s="36" t="s">
        <v>1510</v>
      </c>
    </row>
    <row r="269" customFormat="false" ht="15" hidden="false" customHeight="false" outlineLevel="0" collapsed="false">
      <c r="A269" s="36" t="s">
        <v>1511</v>
      </c>
    </row>
    <row r="270" customFormat="false" ht="15" hidden="false" customHeight="false" outlineLevel="0" collapsed="false">
      <c r="A270" s="36" t="s">
        <v>1512</v>
      </c>
    </row>
    <row r="271" customFormat="false" ht="15" hidden="false" customHeight="false" outlineLevel="0" collapsed="false">
      <c r="A271" s="36" t="s">
        <v>1513</v>
      </c>
    </row>
    <row r="272" customFormat="false" ht="15" hidden="false" customHeight="false" outlineLevel="0" collapsed="false">
      <c r="A272" s="36" t="s">
        <v>1514</v>
      </c>
    </row>
    <row r="273" customFormat="false" ht="15" hidden="false" customHeight="false" outlineLevel="0" collapsed="false">
      <c r="A273" s="36" t="s">
        <v>1515</v>
      </c>
    </row>
    <row r="274" customFormat="false" ht="15" hidden="false" customHeight="false" outlineLevel="0" collapsed="false">
      <c r="A274" s="36" t="s">
        <v>1516</v>
      </c>
    </row>
    <row r="275" customFormat="false" ht="15" hidden="false" customHeight="false" outlineLevel="0" collapsed="false">
      <c r="A275" s="36" t="s">
        <v>1698</v>
      </c>
    </row>
    <row r="276" customFormat="false" ht="15" hidden="false" customHeight="false" outlineLevel="0" collapsed="false">
      <c r="A276" s="36" t="s">
        <v>1699</v>
      </c>
    </row>
    <row r="277" customFormat="false" ht="15" hidden="false" customHeight="false" outlineLevel="0" collapsed="false">
      <c r="A277" s="36" t="s">
        <v>1700</v>
      </c>
    </row>
    <row r="278" customFormat="false" ht="15" hidden="false" customHeight="false" outlineLevel="0" collapsed="false">
      <c r="A278" s="36" t="s">
        <v>1701</v>
      </c>
    </row>
    <row r="279" customFormat="false" ht="15" hidden="false" customHeight="false" outlineLevel="0" collapsed="false">
      <c r="A279" s="36" t="s">
        <v>1702</v>
      </c>
    </row>
    <row r="280" customFormat="false" ht="15" hidden="false" customHeight="false" outlineLevel="0" collapsed="false">
      <c r="A280" s="36" t="s">
        <v>1703</v>
      </c>
    </row>
    <row r="281" customFormat="false" ht="15" hidden="false" customHeight="false" outlineLevel="0" collapsed="false">
      <c r="A281" s="36" t="s">
        <v>1704</v>
      </c>
    </row>
    <row r="282" customFormat="false" ht="15" hidden="false" customHeight="false" outlineLevel="0" collapsed="false">
      <c r="A282" s="36" t="s">
        <v>1705</v>
      </c>
    </row>
    <row r="283" customFormat="false" ht="15" hidden="false" customHeight="false" outlineLevel="0" collapsed="false">
      <c r="A283" s="36" t="s">
        <v>1706</v>
      </c>
    </row>
    <row r="284" customFormat="false" ht="15" hidden="false" customHeight="false" outlineLevel="0" collapsed="false">
      <c r="A284" s="36" t="s">
        <v>1707</v>
      </c>
    </row>
    <row r="285" customFormat="false" ht="15" hidden="false" customHeight="false" outlineLevel="0" collapsed="false">
      <c r="A285" s="36" t="s">
        <v>1708</v>
      </c>
    </row>
    <row r="286" customFormat="false" ht="15" hidden="false" customHeight="false" outlineLevel="0" collapsed="false">
      <c r="A286" s="36" t="s">
        <v>1709</v>
      </c>
    </row>
    <row r="287" customFormat="false" ht="15" hidden="false" customHeight="false" outlineLevel="0" collapsed="false">
      <c r="A287" s="36" t="s">
        <v>1710</v>
      </c>
    </row>
    <row r="288" customFormat="false" ht="15" hidden="false" customHeight="false" outlineLevel="0" collapsed="false">
      <c r="A288" s="36" t="s">
        <v>1711</v>
      </c>
    </row>
    <row r="289" customFormat="false" ht="15" hidden="false" customHeight="false" outlineLevel="0" collapsed="false">
      <c r="A289" s="36" t="s">
        <v>1712</v>
      </c>
    </row>
    <row r="290" customFormat="false" ht="15" hidden="false" customHeight="false" outlineLevel="0" collapsed="false">
      <c r="A290" s="36" t="s">
        <v>1713</v>
      </c>
    </row>
    <row r="291" customFormat="false" ht="15" hidden="false" customHeight="false" outlineLevel="0" collapsed="false">
      <c r="A291" s="36" t="s">
        <v>1714</v>
      </c>
    </row>
    <row r="292" customFormat="false" ht="15" hidden="false" customHeight="false" outlineLevel="0" collapsed="false">
      <c r="A292" s="36" t="s">
        <v>1715</v>
      </c>
    </row>
    <row r="293" customFormat="false" ht="15" hidden="false" customHeight="false" outlineLevel="0" collapsed="false">
      <c r="A293" s="36" t="s">
        <v>1716</v>
      </c>
    </row>
    <row r="294" customFormat="false" ht="15" hidden="false" customHeight="false" outlineLevel="0" collapsed="false">
      <c r="A294" s="36" t="s">
        <v>1717</v>
      </c>
    </row>
    <row r="295" customFormat="false" ht="15" hidden="false" customHeight="false" outlineLevel="0" collapsed="false">
      <c r="A295" s="36" t="s">
        <v>1718</v>
      </c>
    </row>
    <row r="296" customFormat="false" ht="15" hidden="false" customHeight="false" outlineLevel="0" collapsed="false">
      <c r="A296" s="36" t="s">
        <v>1719</v>
      </c>
    </row>
    <row r="297" customFormat="false" ht="15" hidden="false" customHeight="false" outlineLevel="0" collapsed="false">
      <c r="A297" s="36" t="s">
        <v>1720</v>
      </c>
    </row>
    <row r="298" customFormat="false" ht="15" hidden="false" customHeight="false" outlineLevel="0" collapsed="false">
      <c r="A298" s="36"/>
    </row>
    <row r="299" customFormat="false" ht="15" hidden="false" customHeight="false" outlineLevel="0" collapsed="false">
      <c r="A299" s="36" t="s">
        <v>1721</v>
      </c>
    </row>
    <row r="300" customFormat="false" ht="15" hidden="false" customHeight="false" outlineLevel="0" collapsed="false">
      <c r="A300" s="36" t="s">
        <v>1722</v>
      </c>
    </row>
    <row r="301" customFormat="false" ht="15" hidden="false" customHeight="false" outlineLevel="0" collapsed="false">
      <c r="A301" s="36" t="s">
        <v>1503</v>
      </c>
    </row>
    <row r="302" customFormat="false" ht="15" hidden="false" customHeight="false" outlineLevel="0" collapsed="false">
      <c r="A302" s="36" t="s">
        <v>1723</v>
      </c>
    </row>
    <row r="303" customFormat="false" ht="15" hidden="false" customHeight="false" outlineLevel="0" collapsed="false">
      <c r="A303" s="36" t="s">
        <v>1534</v>
      </c>
    </row>
    <row r="304" customFormat="false" ht="15" hidden="false" customHeight="false" outlineLevel="0" collapsed="false">
      <c r="A304" s="36" t="s">
        <v>1563</v>
      </c>
    </row>
    <row r="305" customFormat="false" ht="15" hidden="false" customHeight="false" outlineLevel="0" collapsed="false">
      <c r="A305" s="36" t="s">
        <v>1564</v>
      </c>
    </row>
    <row r="306" customFormat="false" ht="15" hidden="false" customHeight="false" outlineLevel="0" collapsed="false">
      <c r="A306" s="36" t="s">
        <v>1538</v>
      </c>
    </row>
    <row r="307" customFormat="false" ht="15" hidden="false" customHeight="false" outlineLevel="0" collapsed="false">
      <c r="A307" s="36" t="s">
        <v>1724</v>
      </c>
    </row>
    <row r="308" customFormat="false" ht="15" hidden="false" customHeight="false" outlineLevel="0" collapsed="false">
      <c r="A308" s="36" t="s">
        <v>1510</v>
      </c>
    </row>
    <row r="309" customFormat="false" ht="15" hidden="false" customHeight="false" outlineLevel="0" collapsed="false">
      <c r="A309" s="36" t="s">
        <v>1511</v>
      </c>
    </row>
    <row r="310" customFormat="false" ht="15" hidden="false" customHeight="false" outlineLevel="0" collapsed="false">
      <c r="A310" s="36" t="s">
        <v>1512</v>
      </c>
    </row>
    <row r="311" customFormat="false" ht="15" hidden="false" customHeight="false" outlineLevel="0" collapsed="false">
      <c r="A311" s="36" t="s">
        <v>1513</v>
      </c>
    </row>
    <row r="312" customFormat="false" ht="15" hidden="false" customHeight="false" outlineLevel="0" collapsed="false">
      <c r="A312" s="36" t="s">
        <v>1514</v>
      </c>
    </row>
    <row r="313" customFormat="false" ht="15" hidden="false" customHeight="false" outlineLevel="0" collapsed="false">
      <c r="A313" s="36" t="s">
        <v>1515</v>
      </c>
    </row>
    <row r="314" customFormat="false" ht="15" hidden="false" customHeight="false" outlineLevel="0" collapsed="false">
      <c r="A314" s="36" t="s">
        <v>1516</v>
      </c>
    </row>
    <row r="315" customFormat="false" ht="15" hidden="false" customHeight="false" outlineLevel="0" collapsed="false">
      <c r="A315" s="36" t="s">
        <v>1725</v>
      </c>
    </row>
    <row r="316" customFormat="false" ht="15" hidden="false" customHeight="false" outlineLevel="0" collapsed="false">
      <c r="A316" s="36" t="s">
        <v>1726</v>
      </c>
    </row>
    <row r="317" customFormat="false" ht="15" hidden="false" customHeight="false" outlineLevel="0" collapsed="false">
      <c r="A317" s="36" t="s">
        <v>1727</v>
      </c>
    </row>
    <row r="318" customFormat="false" ht="15" hidden="false" customHeight="false" outlineLevel="0" collapsed="false">
      <c r="A318" s="36" t="s">
        <v>1728</v>
      </c>
    </row>
    <row r="319" customFormat="false" ht="15" hidden="false" customHeight="false" outlineLevel="0" collapsed="false">
      <c r="A319" s="36" t="s">
        <v>1729</v>
      </c>
    </row>
    <row r="320" customFormat="false" ht="15" hidden="false" customHeight="false" outlineLevel="0" collapsed="false">
      <c r="A320" s="36" t="s">
        <v>1730</v>
      </c>
    </row>
    <row r="321" customFormat="false" ht="15" hidden="false" customHeight="false" outlineLevel="0" collapsed="false">
      <c r="A321" s="36" t="s">
        <v>1731</v>
      </c>
    </row>
    <row r="322" customFormat="false" ht="15" hidden="false" customHeight="false" outlineLevel="0" collapsed="false">
      <c r="A322" s="36" t="s">
        <v>1732</v>
      </c>
    </row>
    <row r="323" customFormat="false" ht="15" hidden="false" customHeight="false" outlineLevel="0" collapsed="false">
      <c r="A323" s="36" t="s">
        <v>1733</v>
      </c>
    </row>
    <row r="324" customFormat="false" ht="15" hidden="false" customHeight="false" outlineLevel="0" collapsed="false">
      <c r="A324" s="36" t="s">
        <v>1734</v>
      </c>
    </row>
    <row r="325" customFormat="false" ht="15" hidden="false" customHeight="false" outlineLevel="0" collapsed="false">
      <c r="A325" s="36" t="s">
        <v>1735</v>
      </c>
    </row>
    <row r="326" customFormat="false" ht="15" hidden="false" customHeight="false" outlineLevel="0" collapsed="false">
      <c r="A326" s="36" t="s">
        <v>1736</v>
      </c>
    </row>
    <row r="327" customFormat="false" ht="15" hidden="false" customHeight="false" outlineLevel="0" collapsed="false">
      <c r="A327" s="36" t="s">
        <v>1737</v>
      </c>
    </row>
    <row r="328" customFormat="false" ht="15" hidden="false" customHeight="false" outlineLevel="0" collapsed="false">
      <c r="A328" s="36" t="s">
        <v>1738</v>
      </c>
    </row>
    <row r="329" customFormat="false" ht="15" hidden="false" customHeight="false" outlineLevel="0" collapsed="false">
      <c r="A329" s="36"/>
    </row>
    <row r="330" customFormat="false" ht="15" hidden="false" customHeight="false" outlineLevel="0" collapsed="false">
      <c r="A330" s="36" t="s">
        <v>1739</v>
      </c>
    </row>
    <row r="331" customFormat="false" ht="15" hidden="false" customHeight="false" outlineLevel="0" collapsed="false">
      <c r="A331" s="36" t="s">
        <v>1740</v>
      </c>
    </row>
    <row r="332" customFormat="false" ht="15" hidden="false" customHeight="false" outlineLevel="0" collapsed="false">
      <c r="A332" s="36" t="s">
        <v>1503</v>
      </c>
    </row>
    <row r="333" customFormat="false" ht="15" hidden="false" customHeight="false" outlineLevel="0" collapsed="false">
      <c r="A333" s="36" t="s">
        <v>1741</v>
      </c>
    </row>
    <row r="334" customFormat="false" ht="15" hidden="false" customHeight="false" outlineLevel="0" collapsed="false">
      <c r="A334" s="36" t="s">
        <v>1742</v>
      </c>
    </row>
    <row r="335" customFormat="false" ht="15" hidden="false" customHeight="false" outlineLevel="0" collapsed="false">
      <c r="A335" s="36" t="s">
        <v>1743</v>
      </c>
    </row>
    <row r="336" customFormat="false" ht="15" hidden="false" customHeight="false" outlineLevel="0" collapsed="false">
      <c r="A336" s="36" t="s">
        <v>1744</v>
      </c>
    </row>
    <row r="337" customFormat="false" ht="15" hidden="false" customHeight="false" outlineLevel="0" collapsed="false">
      <c r="A337" s="36" t="s">
        <v>1745</v>
      </c>
    </row>
    <row r="338" customFormat="false" ht="15" hidden="false" customHeight="false" outlineLevel="0" collapsed="false">
      <c r="A338" s="36" t="s">
        <v>1746</v>
      </c>
    </row>
    <row r="339" customFormat="false" ht="15" hidden="false" customHeight="false" outlineLevel="0" collapsed="false">
      <c r="A339" s="36" t="s">
        <v>1747</v>
      </c>
    </row>
    <row r="340" customFormat="false" ht="15" hidden="false" customHeight="false" outlineLevel="0" collapsed="false">
      <c r="A340" s="36" t="s">
        <v>1748</v>
      </c>
    </row>
    <row r="341" customFormat="false" ht="15" hidden="false" customHeight="false" outlineLevel="0" collapsed="false">
      <c r="A341" s="36" t="s">
        <v>1511</v>
      </c>
    </row>
    <row r="342" customFormat="false" ht="15" hidden="false" customHeight="false" outlineLevel="0" collapsed="false">
      <c r="A342" s="36" t="s">
        <v>1512</v>
      </c>
    </row>
    <row r="343" customFormat="false" ht="15" hidden="false" customHeight="false" outlineLevel="0" collapsed="false">
      <c r="A343" s="36" t="s">
        <v>1513</v>
      </c>
    </row>
    <row r="344" customFormat="false" ht="15" hidden="false" customHeight="false" outlineLevel="0" collapsed="false">
      <c r="A344" s="36" t="s">
        <v>1514</v>
      </c>
    </row>
    <row r="345" customFormat="false" ht="15" hidden="false" customHeight="false" outlineLevel="0" collapsed="false">
      <c r="A345" s="36" t="s">
        <v>1515</v>
      </c>
    </row>
    <row r="346" customFormat="false" ht="15" hidden="false" customHeight="false" outlineLevel="0" collapsed="false">
      <c r="A346" s="36" t="s">
        <v>1516</v>
      </c>
    </row>
    <row r="347" customFormat="false" ht="15" hidden="false" customHeight="false" outlineLevel="0" collapsed="false">
      <c r="A347" s="36" t="s">
        <v>1749</v>
      </c>
    </row>
    <row r="348" customFormat="false" ht="15" hidden="false" customHeight="false" outlineLevel="0" collapsed="false">
      <c r="A348" s="36" t="s">
        <v>1750</v>
      </c>
    </row>
    <row r="349" customFormat="false" ht="15" hidden="false" customHeight="false" outlineLevel="0" collapsed="false">
      <c r="A349" s="36" t="s">
        <v>1751</v>
      </c>
    </row>
    <row r="350" customFormat="false" ht="15" hidden="false" customHeight="false" outlineLevel="0" collapsed="false">
      <c r="A350" s="36" t="s">
        <v>1752</v>
      </c>
    </row>
    <row r="351" customFormat="false" ht="15" hidden="false" customHeight="false" outlineLevel="0" collapsed="false">
      <c r="A351" s="36" t="s">
        <v>1753</v>
      </c>
    </row>
    <row r="352" customFormat="false" ht="15" hidden="false" customHeight="false" outlineLevel="0" collapsed="false">
      <c r="A352" s="36" t="s">
        <v>1754</v>
      </c>
    </row>
    <row r="353" customFormat="false" ht="15" hidden="false" customHeight="false" outlineLevel="0" collapsed="false">
      <c r="A353" s="36" t="s">
        <v>1755</v>
      </c>
    </row>
    <row r="354" customFormat="false" ht="15" hidden="false" customHeight="false" outlineLevel="0" collapsed="false">
      <c r="A354" s="36" t="s">
        <v>1756</v>
      </c>
    </row>
    <row r="355" customFormat="false" ht="15" hidden="false" customHeight="false" outlineLevel="0" collapsed="false">
      <c r="A355" s="36" t="s">
        <v>1757</v>
      </c>
    </row>
    <row r="356" customFormat="false" ht="15" hidden="false" customHeight="false" outlineLevel="0" collapsed="false">
      <c r="A356" s="36" t="s">
        <v>1758</v>
      </c>
    </row>
    <row r="357" customFormat="false" ht="15" hidden="false" customHeight="false" outlineLevel="0" collapsed="false">
      <c r="A357" s="36" t="s">
        <v>1759</v>
      </c>
    </row>
    <row r="358" customFormat="false" ht="15" hidden="false" customHeight="false" outlineLevel="0" collapsed="false">
      <c r="A358" s="36" t="s">
        <v>1760</v>
      </c>
    </row>
    <row r="359" customFormat="false" ht="15" hidden="false" customHeight="false" outlineLevel="0" collapsed="false">
      <c r="A359" s="36" t="s">
        <v>1761</v>
      </c>
    </row>
    <row r="360" customFormat="false" ht="15" hidden="false" customHeight="false" outlineLevel="0" collapsed="false">
      <c r="A360" s="36" t="s">
        <v>1762</v>
      </c>
    </row>
    <row r="361" customFormat="false" ht="15" hidden="false" customHeight="false" outlineLevel="0" collapsed="false">
      <c r="A361" s="36" t="s">
        <v>1763</v>
      </c>
    </row>
    <row r="362" customFormat="false" ht="15" hidden="false" customHeight="false" outlineLevel="0" collapsed="false">
      <c r="A362" s="36"/>
    </row>
    <row r="363" customFormat="false" ht="15" hidden="false" customHeight="false" outlineLevel="0" collapsed="false">
      <c r="A363" s="36" t="s">
        <v>1764</v>
      </c>
    </row>
    <row r="364" customFormat="false" ht="15" hidden="false" customHeight="false" outlineLevel="0" collapsed="false">
      <c r="A364" s="36" t="s">
        <v>1765</v>
      </c>
    </row>
    <row r="365" customFormat="false" ht="15" hidden="false" customHeight="false" outlineLevel="0" collapsed="false">
      <c r="A365" s="36" t="s">
        <v>1503</v>
      </c>
    </row>
    <row r="366" customFormat="false" ht="15" hidden="false" customHeight="false" outlineLevel="0" collapsed="false">
      <c r="A366" s="36" t="s">
        <v>1766</v>
      </c>
    </row>
    <row r="367" customFormat="false" ht="15" hidden="false" customHeight="false" outlineLevel="0" collapsed="false">
      <c r="A367" s="36" t="s">
        <v>1767</v>
      </c>
    </row>
    <row r="368" customFormat="false" ht="15" hidden="false" customHeight="false" outlineLevel="0" collapsed="false">
      <c r="A368" s="36" t="s">
        <v>1768</v>
      </c>
    </row>
    <row r="369" customFormat="false" ht="15" hidden="false" customHeight="false" outlineLevel="0" collapsed="false">
      <c r="A369" s="36" t="s">
        <v>1769</v>
      </c>
    </row>
    <row r="370" customFormat="false" ht="15" hidden="false" customHeight="false" outlineLevel="0" collapsed="false">
      <c r="A370" s="36" t="s">
        <v>1770</v>
      </c>
    </row>
    <row r="371" customFormat="false" ht="15" hidden="false" customHeight="false" outlineLevel="0" collapsed="false">
      <c r="A371" s="36" t="s">
        <v>1511</v>
      </c>
    </row>
    <row r="372" customFormat="false" ht="15" hidden="false" customHeight="false" outlineLevel="0" collapsed="false">
      <c r="A372" s="36" t="s">
        <v>1671</v>
      </c>
    </row>
    <row r="373" customFormat="false" ht="15" hidden="false" customHeight="false" outlineLevel="0" collapsed="false">
      <c r="A373" s="36" t="s">
        <v>1516</v>
      </c>
    </row>
    <row r="374" customFormat="false" ht="15" hidden="false" customHeight="false" outlineLevel="0" collapsed="false">
      <c r="A374" s="36" t="s">
        <v>1771</v>
      </c>
    </row>
    <row r="375" customFormat="false" ht="15" hidden="false" customHeight="false" outlineLevel="0" collapsed="false">
      <c r="A375" s="36" t="s">
        <v>1772</v>
      </c>
    </row>
    <row r="376" customFormat="false" ht="15" hidden="false" customHeight="false" outlineLevel="0" collapsed="false">
      <c r="A376" s="36" t="s">
        <v>1773</v>
      </c>
    </row>
    <row r="377" customFormat="false" ht="15" hidden="false" customHeight="false" outlineLevel="0" collapsed="false">
      <c r="A377" s="36" t="s">
        <v>1774</v>
      </c>
    </row>
    <row r="378" customFormat="false" ht="15" hidden="false" customHeight="false" outlineLevel="0" collapsed="false">
      <c r="A378" s="36" t="s">
        <v>1775</v>
      </c>
    </row>
    <row r="379" customFormat="false" ht="15" hidden="false" customHeight="false" outlineLevel="0" collapsed="false">
      <c r="A379" s="36" t="s">
        <v>1776</v>
      </c>
    </row>
    <row r="380" customFormat="false" ht="15" hidden="false" customHeight="false" outlineLevel="0" collapsed="false">
      <c r="A380" s="36" t="s">
        <v>1777</v>
      </c>
    </row>
    <row r="381" customFormat="false" ht="15" hidden="false" customHeight="false" outlineLevel="0" collapsed="false">
      <c r="A381" s="36" t="s">
        <v>1778</v>
      </c>
    </row>
    <row r="382" customFormat="false" ht="15" hidden="false" customHeight="false" outlineLevel="0" collapsed="false">
      <c r="A382" s="36" t="s">
        <v>1779</v>
      </c>
    </row>
    <row r="383" customFormat="false" ht="15" hidden="false" customHeight="false" outlineLevel="0" collapsed="false">
      <c r="A383" s="36"/>
    </row>
    <row r="384" customFormat="false" ht="15" hidden="false" customHeight="false" outlineLevel="0" collapsed="false">
      <c r="A384" s="36" t="s">
        <v>1780</v>
      </c>
    </row>
    <row r="385" customFormat="false" ht="15" hidden="false" customHeight="false" outlineLevel="0" collapsed="false">
      <c r="A385" s="36" t="s">
        <v>1781</v>
      </c>
    </row>
    <row r="386" customFormat="false" ht="15" hidden="false" customHeight="false" outlineLevel="0" collapsed="false">
      <c r="A386" s="36" t="s">
        <v>1503</v>
      </c>
    </row>
    <row r="387" customFormat="false" ht="15" hidden="false" customHeight="false" outlineLevel="0" collapsed="false">
      <c r="A387" s="36" t="s">
        <v>1782</v>
      </c>
    </row>
    <row r="388" customFormat="false" ht="15" hidden="false" customHeight="false" outlineLevel="0" collapsed="false">
      <c r="A388" s="36" t="s">
        <v>1783</v>
      </c>
    </row>
    <row r="389" customFormat="false" ht="15" hidden="false" customHeight="false" outlineLevel="0" collapsed="false">
      <c r="A389" s="36" t="s">
        <v>1784</v>
      </c>
    </row>
    <row r="390" customFormat="false" ht="15" hidden="false" customHeight="false" outlineLevel="0" collapsed="false">
      <c r="A390" s="36" t="s">
        <v>1785</v>
      </c>
    </row>
    <row r="391" customFormat="false" ht="15" hidden="false" customHeight="false" outlineLevel="0" collapsed="false">
      <c r="A391" s="36" t="s">
        <v>1786</v>
      </c>
    </row>
    <row r="392" customFormat="false" ht="15" hidden="false" customHeight="false" outlineLevel="0" collapsed="false">
      <c r="A392" s="36" t="s">
        <v>1787</v>
      </c>
    </row>
    <row r="393" customFormat="false" ht="15" hidden="false" customHeight="false" outlineLevel="0" collapsed="false">
      <c r="A393" s="36" t="s">
        <v>1511</v>
      </c>
    </row>
    <row r="394" customFormat="false" ht="15" hidden="false" customHeight="false" outlineLevel="0" collapsed="false">
      <c r="A394" s="36" t="s">
        <v>1512</v>
      </c>
    </row>
    <row r="395" customFormat="false" ht="15" hidden="false" customHeight="false" outlineLevel="0" collapsed="false">
      <c r="A395" s="36" t="s">
        <v>1513</v>
      </c>
    </row>
    <row r="396" customFormat="false" ht="15" hidden="false" customHeight="false" outlineLevel="0" collapsed="false">
      <c r="A396" s="36" t="s">
        <v>1514</v>
      </c>
    </row>
    <row r="397" customFormat="false" ht="15" hidden="false" customHeight="false" outlineLevel="0" collapsed="false">
      <c r="A397" s="36" t="s">
        <v>1515</v>
      </c>
    </row>
    <row r="398" customFormat="false" ht="15" hidden="false" customHeight="false" outlineLevel="0" collapsed="false">
      <c r="A398" s="36" t="s">
        <v>1516</v>
      </c>
    </row>
    <row r="399" customFormat="false" ht="15" hidden="false" customHeight="false" outlineLevel="0" collapsed="false">
      <c r="A399" s="36" t="s">
        <v>1788</v>
      </c>
    </row>
    <row r="400" customFormat="false" ht="15" hidden="false" customHeight="false" outlineLevel="0" collapsed="false">
      <c r="A400" s="36" t="s">
        <v>1789</v>
      </c>
    </row>
    <row r="401" customFormat="false" ht="15" hidden="false" customHeight="false" outlineLevel="0" collapsed="false">
      <c r="A401" s="36" t="s">
        <v>1790</v>
      </c>
    </row>
    <row r="402" customFormat="false" ht="15" hidden="false" customHeight="false" outlineLevel="0" collapsed="false">
      <c r="A402" s="36" t="s">
        <v>1791</v>
      </c>
    </row>
    <row r="403" customFormat="false" ht="15" hidden="false" customHeight="false" outlineLevel="0" collapsed="false">
      <c r="A403" s="36" t="s">
        <v>1792</v>
      </c>
    </row>
    <row r="404" customFormat="false" ht="15" hidden="false" customHeight="false" outlineLevel="0" collapsed="false">
      <c r="A404" s="36" t="s">
        <v>1793</v>
      </c>
    </row>
    <row r="405" customFormat="false" ht="15" hidden="false" customHeight="false" outlineLevel="0" collapsed="false">
      <c r="A405" s="36" t="s">
        <v>1794</v>
      </c>
    </row>
    <row r="406" customFormat="false" ht="15" hidden="false" customHeight="false" outlineLevel="0" collapsed="false">
      <c r="A406" s="36" t="s">
        <v>1795</v>
      </c>
    </row>
    <row r="407" customFormat="false" ht="15" hidden="false" customHeight="false" outlineLevel="0" collapsed="false">
      <c r="A407" s="36" t="s">
        <v>1796</v>
      </c>
    </row>
    <row r="408" customFormat="false" ht="15" hidden="false" customHeight="false" outlineLevel="0" collapsed="false">
      <c r="A408" s="36" t="s">
        <v>1797</v>
      </c>
    </row>
    <row r="409" customFormat="false" ht="15" hidden="false" customHeight="false" outlineLevel="0" collapsed="false">
      <c r="A409" s="36" t="s">
        <v>1798</v>
      </c>
    </row>
    <row r="410" customFormat="false" ht="15" hidden="false" customHeight="false" outlineLevel="0" collapsed="false">
      <c r="A410" s="36" t="s">
        <v>1799</v>
      </c>
    </row>
    <row r="411" customFormat="false" ht="15" hidden="false" customHeight="false" outlineLevel="0" collapsed="false">
      <c r="A411" s="36" t="s">
        <v>1800</v>
      </c>
    </row>
    <row r="412" customFormat="false" ht="15" hidden="false" customHeight="false" outlineLevel="0" collapsed="false">
      <c r="A412" s="36"/>
    </row>
    <row r="413" customFormat="false" ht="15" hidden="false" customHeight="false" outlineLevel="0" collapsed="false">
      <c r="A413" s="36" t="s">
        <v>1801</v>
      </c>
    </row>
    <row r="414" customFormat="false" ht="15" hidden="false" customHeight="false" outlineLevel="0" collapsed="false">
      <c r="A414" s="36" t="s">
        <v>1802</v>
      </c>
    </row>
    <row r="415" customFormat="false" ht="15" hidden="false" customHeight="false" outlineLevel="0" collapsed="false">
      <c r="A415" s="36" t="s">
        <v>1503</v>
      </c>
    </row>
    <row r="416" customFormat="false" ht="15" hidden="false" customHeight="false" outlineLevel="0" collapsed="false">
      <c r="A416" s="36" t="s">
        <v>1803</v>
      </c>
    </row>
    <row r="417" customFormat="false" ht="15" hidden="false" customHeight="false" outlineLevel="0" collapsed="false">
      <c r="A417" s="36" t="s">
        <v>1742</v>
      </c>
    </row>
    <row r="418" customFormat="false" ht="15" hidden="false" customHeight="false" outlineLevel="0" collapsed="false">
      <c r="A418" s="36" t="s">
        <v>1804</v>
      </c>
    </row>
    <row r="419" customFormat="false" ht="15" hidden="false" customHeight="false" outlineLevel="0" collapsed="false">
      <c r="A419" s="36" t="s">
        <v>1805</v>
      </c>
    </row>
    <row r="420" customFormat="false" ht="15" hidden="false" customHeight="false" outlineLevel="0" collapsed="false">
      <c r="A420" s="36" t="s">
        <v>1806</v>
      </c>
    </row>
    <row r="421" customFormat="false" ht="15" hidden="false" customHeight="false" outlineLevel="0" collapsed="false">
      <c r="A421" s="36" t="s">
        <v>1745</v>
      </c>
    </row>
    <row r="422" customFormat="false" ht="15" hidden="false" customHeight="false" outlineLevel="0" collapsed="false">
      <c r="A422" s="36" t="s">
        <v>1748</v>
      </c>
    </row>
    <row r="423" customFormat="false" ht="15" hidden="false" customHeight="false" outlineLevel="0" collapsed="false">
      <c r="A423" s="36" t="s">
        <v>1511</v>
      </c>
    </row>
    <row r="424" customFormat="false" ht="15" hidden="false" customHeight="false" outlineLevel="0" collapsed="false">
      <c r="A424" s="36" t="s">
        <v>1512</v>
      </c>
    </row>
    <row r="425" customFormat="false" ht="15" hidden="false" customHeight="false" outlineLevel="0" collapsed="false">
      <c r="A425" s="36" t="s">
        <v>1513</v>
      </c>
    </row>
    <row r="426" customFormat="false" ht="15" hidden="false" customHeight="false" outlineLevel="0" collapsed="false">
      <c r="A426" s="36" t="s">
        <v>1514</v>
      </c>
    </row>
    <row r="427" customFormat="false" ht="15" hidden="false" customHeight="false" outlineLevel="0" collapsed="false">
      <c r="A427" s="36" t="s">
        <v>1515</v>
      </c>
    </row>
    <row r="428" customFormat="false" ht="15" hidden="false" customHeight="false" outlineLevel="0" collapsed="false">
      <c r="A428" s="36" t="s">
        <v>1516</v>
      </c>
    </row>
    <row r="429" customFormat="false" ht="15" hidden="false" customHeight="false" outlineLevel="0" collapsed="false">
      <c r="A429" s="36" t="s">
        <v>1807</v>
      </c>
    </row>
    <row r="430" customFormat="false" ht="15" hidden="false" customHeight="false" outlineLevel="0" collapsed="false">
      <c r="A430" s="36" t="s">
        <v>1808</v>
      </c>
    </row>
    <row r="431" customFormat="false" ht="15" hidden="false" customHeight="false" outlineLevel="0" collapsed="false">
      <c r="A431" s="36" t="s">
        <v>1809</v>
      </c>
    </row>
    <row r="432" customFormat="false" ht="15" hidden="false" customHeight="false" outlineLevel="0" collapsed="false">
      <c r="A432" s="36" t="s">
        <v>1810</v>
      </c>
    </row>
    <row r="433" customFormat="false" ht="15" hidden="false" customHeight="false" outlineLevel="0" collapsed="false">
      <c r="A433" s="36" t="s">
        <v>1811</v>
      </c>
    </row>
    <row r="434" customFormat="false" ht="15" hidden="false" customHeight="false" outlineLevel="0" collapsed="false">
      <c r="A434" s="36" t="s">
        <v>1812</v>
      </c>
    </row>
    <row r="435" customFormat="false" ht="15" hidden="false" customHeight="false" outlineLevel="0" collapsed="false">
      <c r="A435" s="36" t="s">
        <v>1813</v>
      </c>
    </row>
    <row r="436" customFormat="false" ht="15" hidden="false" customHeight="false" outlineLevel="0" collapsed="false">
      <c r="A436" s="36" t="s">
        <v>1814</v>
      </c>
    </row>
    <row r="437" customFormat="false" ht="15" hidden="false" customHeight="false" outlineLevel="0" collapsed="false">
      <c r="A437" s="36" t="s">
        <v>1815</v>
      </c>
    </row>
    <row r="438" customFormat="false" ht="15" hidden="false" customHeight="false" outlineLevel="0" collapsed="false">
      <c r="A438" s="36" t="s">
        <v>1816</v>
      </c>
    </row>
    <row r="439" customFormat="false" ht="15" hidden="false" customHeight="false" outlineLevel="0" collapsed="false">
      <c r="A439" s="36" t="s">
        <v>1817</v>
      </c>
    </row>
    <row r="440" customFormat="false" ht="15" hidden="false" customHeight="false" outlineLevel="0" collapsed="false">
      <c r="A440" s="36" t="s">
        <v>1818</v>
      </c>
    </row>
    <row r="441" customFormat="false" ht="15" hidden="false" customHeight="false" outlineLevel="0" collapsed="false">
      <c r="A441" s="36" t="s">
        <v>1819</v>
      </c>
    </row>
    <row r="442" customFormat="false" ht="15" hidden="false" customHeight="false" outlineLevel="0" collapsed="false">
      <c r="A442" s="36" t="s">
        <v>1820</v>
      </c>
    </row>
    <row r="443" customFormat="false" ht="15" hidden="false" customHeight="false" outlineLevel="0" collapsed="false">
      <c r="A443" s="36"/>
    </row>
    <row r="444" customFormat="false" ht="15" hidden="false" customHeight="false" outlineLevel="0" collapsed="false">
      <c r="A444" s="36" t="s">
        <v>1821</v>
      </c>
    </row>
    <row r="445" customFormat="false" ht="15" hidden="false" customHeight="false" outlineLevel="0" collapsed="false">
      <c r="A445" s="36" t="s">
        <v>1822</v>
      </c>
    </row>
    <row r="446" customFormat="false" ht="15" hidden="false" customHeight="false" outlineLevel="0" collapsed="false">
      <c r="A446" s="36" t="s">
        <v>1503</v>
      </c>
    </row>
    <row r="447" customFormat="false" ht="15" hidden="false" customHeight="false" outlineLevel="0" collapsed="false">
      <c r="A447" s="36" t="s">
        <v>1823</v>
      </c>
    </row>
    <row r="448" customFormat="false" ht="15" hidden="false" customHeight="false" outlineLevel="0" collapsed="false">
      <c r="A448" s="36" t="s">
        <v>1784</v>
      </c>
    </row>
    <row r="449" customFormat="false" ht="15" hidden="false" customHeight="false" outlineLevel="0" collapsed="false">
      <c r="A449" s="36" t="s">
        <v>1742</v>
      </c>
    </row>
    <row r="450" customFormat="false" ht="15" hidden="false" customHeight="false" outlineLevel="0" collapsed="false">
      <c r="A450" s="36" t="s">
        <v>1824</v>
      </c>
    </row>
    <row r="451" customFormat="false" ht="15" hidden="false" customHeight="false" outlineLevel="0" collapsed="false">
      <c r="A451" s="36" t="s">
        <v>1825</v>
      </c>
    </row>
    <row r="452" customFormat="false" ht="15" hidden="false" customHeight="false" outlineLevel="0" collapsed="false">
      <c r="A452" s="36" t="s">
        <v>1826</v>
      </c>
    </row>
    <row r="453" customFormat="false" ht="15" hidden="false" customHeight="false" outlineLevel="0" collapsed="false">
      <c r="A453" s="36" t="s">
        <v>1827</v>
      </c>
    </row>
    <row r="454" customFormat="false" ht="15" hidden="false" customHeight="false" outlineLevel="0" collapsed="false">
      <c r="A454" s="36" t="s">
        <v>1828</v>
      </c>
    </row>
    <row r="455" customFormat="false" ht="15" hidden="false" customHeight="false" outlineLevel="0" collapsed="false">
      <c r="A455" s="36" t="s">
        <v>1829</v>
      </c>
    </row>
    <row r="456" customFormat="false" ht="15" hidden="false" customHeight="false" outlineLevel="0" collapsed="false">
      <c r="A456" s="36" t="s">
        <v>1830</v>
      </c>
    </row>
    <row r="457" customFormat="false" ht="15" hidden="false" customHeight="false" outlineLevel="0" collapsed="false">
      <c r="A457" s="36" t="s">
        <v>1831</v>
      </c>
    </row>
    <row r="458" customFormat="false" ht="15" hidden="false" customHeight="false" outlineLevel="0" collapsed="false">
      <c r="A458" s="36" t="s">
        <v>1511</v>
      </c>
    </row>
    <row r="459" customFormat="false" ht="15" hidden="false" customHeight="false" outlineLevel="0" collapsed="false">
      <c r="A459" s="36" t="s">
        <v>1512</v>
      </c>
    </row>
    <row r="460" customFormat="false" ht="15" hidden="false" customHeight="false" outlineLevel="0" collapsed="false">
      <c r="A460" s="36" t="s">
        <v>1513</v>
      </c>
    </row>
    <row r="461" customFormat="false" ht="15" hidden="false" customHeight="false" outlineLevel="0" collapsed="false">
      <c r="A461" s="36" t="s">
        <v>1514</v>
      </c>
    </row>
    <row r="462" customFormat="false" ht="15" hidden="false" customHeight="false" outlineLevel="0" collapsed="false">
      <c r="A462" s="36" t="s">
        <v>1515</v>
      </c>
    </row>
    <row r="463" customFormat="false" ht="15" hidden="false" customHeight="false" outlineLevel="0" collapsed="false">
      <c r="A463" s="36" t="s">
        <v>1516</v>
      </c>
    </row>
    <row r="464" customFormat="false" ht="15" hidden="false" customHeight="false" outlineLevel="0" collapsed="false">
      <c r="A464" s="36" t="s">
        <v>1832</v>
      </c>
    </row>
    <row r="465" customFormat="false" ht="15" hidden="false" customHeight="false" outlineLevel="0" collapsed="false">
      <c r="A465" s="36" t="s">
        <v>1833</v>
      </c>
    </row>
    <row r="466" customFormat="false" ht="15" hidden="false" customHeight="false" outlineLevel="0" collapsed="false">
      <c r="A466" s="36" t="s">
        <v>1834</v>
      </c>
    </row>
    <row r="467" customFormat="false" ht="15" hidden="false" customHeight="false" outlineLevel="0" collapsed="false">
      <c r="A467" s="36" t="s">
        <v>1835</v>
      </c>
    </row>
    <row r="468" customFormat="false" ht="15" hidden="false" customHeight="false" outlineLevel="0" collapsed="false">
      <c r="A468" s="36" t="s">
        <v>1836</v>
      </c>
    </row>
    <row r="469" customFormat="false" ht="15" hidden="false" customHeight="false" outlineLevel="0" collapsed="false">
      <c r="A469" s="36" t="s">
        <v>1837</v>
      </c>
    </row>
    <row r="470" customFormat="false" ht="15" hidden="false" customHeight="false" outlineLevel="0" collapsed="false">
      <c r="A470" s="36" t="s">
        <v>1838</v>
      </c>
    </row>
    <row r="471" customFormat="false" ht="15" hidden="false" customHeight="false" outlineLevel="0" collapsed="false">
      <c r="A471" s="36" t="s">
        <v>1839</v>
      </c>
    </row>
    <row r="472" customFormat="false" ht="15" hidden="false" customHeight="false" outlineLevel="0" collapsed="false">
      <c r="A472" s="36" t="s">
        <v>1840</v>
      </c>
    </row>
    <row r="473" customFormat="false" ht="15" hidden="false" customHeight="false" outlineLevel="0" collapsed="false">
      <c r="A473" s="36" t="s">
        <v>1841</v>
      </c>
    </row>
    <row r="474" customFormat="false" ht="15" hidden="false" customHeight="false" outlineLevel="0" collapsed="false">
      <c r="A474" s="36" t="s">
        <v>1842</v>
      </c>
    </row>
    <row r="475" customFormat="false" ht="15" hidden="false" customHeight="false" outlineLevel="0" collapsed="false">
      <c r="A475" s="36" t="s">
        <v>1843</v>
      </c>
    </row>
    <row r="476" customFormat="false" ht="15" hidden="false" customHeight="false" outlineLevel="0" collapsed="false">
      <c r="A476" s="36" t="s">
        <v>1844</v>
      </c>
    </row>
    <row r="477" customFormat="false" ht="15" hidden="false" customHeight="false" outlineLevel="0" collapsed="false">
      <c r="A477" s="36" t="s">
        <v>1845</v>
      </c>
    </row>
    <row r="478" customFormat="false" ht="15" hidden="false" customHeight="false" outlineLevel="0" collapsed="false">
      <c r="A478" s="36" t="s">
        <v>1846</v>
      </c>
    </row>
    <row r="479" customFormat="false" ht="15" hidden="false" customHeight="false" outlineLevel="0" collapsed="false">
      <c r="A479" s="36" t="s">
        <v>1847</v>
      </c>
    </row>
    <row r="480" customFormat="false" ht="15" hidden="false" customHeight="false" outlineLevel="0" collapsed="false">
      <c r="A480" s="36" t="s">
        <v>1848</v>
      </c>
    </row>
    <row r="481" customFormat="false" ht="15" hidden="false" customHeight="false" outlineLevel="0" collapsed="false">
      <c r="A481" s="36" t="s">
        <v>1849</v>
      </c>
    </row>
    <row r="482" customFormat="false" ht="15" hidden="false" customHeight="false" outlineLevel="0" collapsed="false">
      <c r="A482" s="36"/>
    </row>
    <row r="483" customFormat="false" ht="15" hidden="false" customHeight="false" outlineLevel="0" collapsed="false">
      <c r="A483" s="36" t="s">
        <v>1850</v>
      </c>
    </row>
    <row r="484" customFormat="false" ht="15" hidden="false" customHeight="false" outlineLevel="0" collapsed="false">
      <c r="A484" s="36" t="s">
        <v>1851</v>
      </c>
    </row>
    <row r="485" customFormat="false" ht="15" hidden="false" customHeight="false" outlineLevel="0" collapsed="false">
      <c r="A485" s="36" t="s">
        <v>1503</v>
      </c>
    </row>
    <row r="486" customFormat="false" ht="15" hidden="false" customHeight="false" outlineLevel="0" collapsed="false">
      <c r="A486" s="36" t="s">
        <v>1852</v>
      </c>
    </row>
    <row r="487" customFormat="false" ht="15" hidden="false" customHeight="false" outlineLevel="0" collapsed="false">
      <c r="A487" s="36" t="s">
        <v>1723</v>
      </c>
    </row>
    <row r="488" customFormat="false" ht="15" hidden="false" customHeight="false" outlineLevel="0" collapsed="false">
      <c r="A488" s="36" t="s">
        <v>1853</v>
      </c>
    </row>
    <row r="489" customFormat="false" ht="15" hidden="false" customHeight="false" outlineLevel="0" collapsed="false">
      <c r="A489" s="36" t="s">
        <v>1743</v>
      </c>
    </row>
    <row r="490" customFormat="false" ht="15" hidden="false" customHeight="false" outlineLevel="0" collapsed="false">
      <c r="A490" s="36" t="s">
        <v>1854</v>
      </c>
    </row>
    <row r="491" customFormat="false" ht="15" hidden="false" customHeight="false" outlineLevel="0" collapsed="false">
      <c r="A491" s="36" t="s">
        <v>1855</v>
      </c>
    </row>
    <row r="492" customFormat="false" ht="15" hidden="false" customHeight="false" outlineLevel="0" collapsed="false">
      <c r="A492" s="36" t="s">
        <v>1625</v>
      </c>
    </row>
    <row r="493" customFormat="false" ht="15" hidden="false" customHeight="false" outlineLevel="0" collapsed="false">
      <c r="A493" s="36" t="s">
        <v>1748</v>
      </c>
    </row>
    <row r="494" customFormat="false" ht="15" hidden="false" customHeight="false" outlineLevel="0" collapsed="false">
      <c r="A494" s="36" t="s">
        <v>1511</v>
      </c>
    </row>
    <row r="495" customFormat="false" ht="15" hidden="false" customHeight="false" outlineLevel="0" collapsed="false">
      <c r="A495" s="36" t="s">
        <v>1512</v>
      </c>
    </row>
    <row r="496" customFormat="false" ht="15" hidden="false" customHeight="false" outlineLevel="0" collapsed="false">
      <c r="A496" s="36" t="s">
        <v>1513</v>
      </c>
    </row>
    <row r="497" customFormat="false" ht="15" hidden="false" customHeight="false" outlineLevel="0" collapsed="false">
      <c r="A497" s="36" t="s">
        <v>1514</v>
      </c>
    </row>
    <row r="498" customFormat="false" ht="15" hidden="false" customHeight="false" outlineLevel="0" collapsed="false">
      <c r="A498" s="36" t="s">
        <v>1515</v>
      </c>
    </row>
    <row r="499" customFormat="false" ht="15" hidden="false" customHeight="false" outlineLevel="0" collapsed="false">
      <c r="A499" s="36" t="s">
        <v>1516</v>
      </c>
    </row>
    <row r="500" customFormat="false" ht="15" hidden="false" customHeight="false" outlineLevel="0" collapsed="false">
      <c r="A500" s="36" t="s">
        <v>1856</v>
      </c>
    </row>
    <row r="501" customFormat="false" ht="15" hidden="false" customHeight="false" outlineLevel="0" collapsed="false">
      <c r="A501" s="36" t="s">
        <v>1857</v>
      </c>
    </row>
    <row r="502" customFormat="false" ht="15" hidden="false" customHeight="false" outlineLevel="0" collapsed="false">
      <c r="A502" s="36" t="s">
        <v>1858</v>
      </c>
    </row>
    <row r="503" customFormat="false" ht="15" hidden="false" customHeight="false" outlineLevel="0" collapsed="false">
      <c r="A503" s="36" t="s">
        <v>1859</v>
      </c>
    </row>
    <row r="504" customFormat="false" ht="15" hidden="false" customHeight="false" outlineLevel="0" collapsed="false">
      <c r="A504" s="36" t="s">
        <v>1860</v>
      </c>
    </row>
    <row r="505" customFormat="false" ht="15" hidden="false" customHeight="false" outlineLevel="0" collapsed="false">
      <c r="A505" s="36" t="s">
        <v>1861</v>
      </c>
    </row>
    <row r="506" customFormat="false" ht="15" hidden="false" customHeight="false" outlineLevel="0" collapsed="false">
      <c r="A506" s="36" t="s">
        <v>1862</v>
      </c>
    </row>
    <row r="507" customFormat="false" ht="15" hidden="false" customHeight="false" outlineLevel="0" collapsed="false">
      <c r="A507" s="36" t="s">
        <v>1863</v>
      </c>
    </row>
    <row r="508" customFormat="false" ht="15" hidden="false" customHeight="false" outlineLevel="0" collapsed="false">
      <c r="A508" s="36" t="s">
        <v>1864</v>
      </c>
    </row>
    <row r="509" customFormat="false" ht="15" hidden="false" customHeight="false" outlineLevel="0" collapsed="false">
      <c r="A509" s="36" t="s">
        <v>1865</v>
      </c>
    </row>
    <row r="510" customFormat="false" ht="15" hidden="false" customHeight="false" outlineLevel="0" collapsed="false">
      <c r="A510" s="36" t="s">
        <v>1866</v>
      </c>
    </row>
    <row r="511" customFormat="false" ht="15" hidden="false" customHeight="false" outlineLevel="0" collapsed="false">
      <c r="A511" s="36" t="s">
        <v>1867</v>
      </c>
    </row>
    <row r="512" customFormat="false" ht="15" hidden="false" customHeight="false" outlineLevel="0" collapsed="false">
      <c r="A512" s="36" t="s">
        <v>1868</v>
      </c>
    </row>
    <row r="513" customFormat="false" ht="15" hidden="false" customHeight="false" outlineLevel="0" collapsed="false">
      <c r="A513" s="36" t="s">
        <v>1869</v>
      </c>
    </row>
    <row r="514" customFormat="false" ht="15" hidden="false" customHeight="false" outlineLevel="0" collapsed="false">
      <c r="A514" s="36" t="s">
        <v>1870</v>
      </c>
    </row>
    <row r="515" customFormat="false" ht="15" hidden="false" customHeight="false" outlineLevel="0" collapsed="false">
      <c r="A515" s="36"/>
    </row>
    <row r="516" customFormat="false" ht="15" hidden="false" customHeight="false" outlineLevel="0" collapsed="false">
      <c r="A516" s="36" t="s">
        <v>1871</v>
      </c>
    </row>
    <row r="517" customFormat="false" ht="15" hidden="false" customHeight="false" outlineLevel="0" collapsed="false">
      <c r="A517" s="36" t="s">
        <v>1872</v>
      </c>
    </row>
    <row r="518" customFormat="false" ht="15" hidden="false" customHeight="false" outlineLevel="0" collapsed="false">
      <c r="A518" s="36" t="s">
        <v>1503</v>
      </c>
    </row>
    <row r="519" customFormat="false" ht="15" hidden="false" customHeight="false" outlineLevel="0" collapsed="false">
      <c r="A519" s="36" t="s">
        <v>1873</v>
      </c>
    </row>
    <row r="520" customFormat="false" ht="15" hidden="false" customHeight="false" outlineLevel="0" collapsed="false">
      <c r="A520" s="36" t="s">
        <v>1874</v>
      </c>
    </row>
    <row r="521" customFormat="false" ht="15" hidden="false" customHeight="false" outlineLevel="0" collapsed="false">
      <c r="A521" s="36" t="s">
        <v>1784</v>
      </c>
    </row>
    <row r="522" customFormat="false" ht="15" hidden="false" customHeight="false" outlineLevel="0" collapsed="false">
      <c r="A522" s="36" t="s">
        <v>1875</v>
      </c>
    </row>
    <row r="523" customFormat="false" ht="15" hidden="false" customHeight="false" outlineLevel="0" collapsed="false">
      <c r="A523" s="36" t="s">
        <v>1766</v>
      </c>
    </row>
    <row r="524" customFormat="false" ht="15" hidden="false" customHeight="false" outlineLevel="0" collapsed="false">
      <c r="A524" s="36" t="s">
        <v>1785</v>
      </c>
    </row>
    <row r="525" customFormat="false" ht="15" hidden="false" customHeight="false" outlineLevel="0" collapsed="false">
      <c r="A525" s="36" t="s">
        <v>1786</v>
      </c>
    </row>
    <row r="526" customFormat="false" ht="15" hidden="false" customHeight="false" outlineLevel="0" collapsed="false">
      <c r="A526" s="36" t="s">
        <v>1511</v>
      </c>
    </row>
    <row r="527" customFormat="false" ht="15" hidden="false" customHeight="false" outlineLevel="0" collapsed="false">
      <c r="A527" s="36" t="s">
        <v>1512</v>
      </c>
    </row>
    <row r="528" customFormat="false" ht="15" hidden="false" customHeight="false" outlineLevel="0" collapsed="false">
      <c r="A528" s="36" t="s">
        <v>1513</v>
      </c>
    </row>
    <row r="529" customFormat="false" ht="15" hidden="false" customHeight="false" outlineLevel="0" collapsed="false">
      <c r="A529" s="36" t="s">
        <v>1514</v>
      </c>
    </row>
    <row r="530" customFormat="false" ht="15" hidden="false" customHeight="false" outlineLevel="0" collapsed="false">
      <c r="A530" s="36" t="s">
        <v>1515</v>
      </c>
    </row>
    <row r="531" customFormat="false" ht="15" hidden="false" customHeight="false" outlineLevel="0" collapsed="false">
      <c r="A531" s="36" t="s">
        <v>1516</v>
      </c>
    </row>
    <row r="532" customFormat="false" ht="15" hidden="false" customHeight="false" outlineLevel="0" collapsed="false">
      <c r="A532" s="36" t="s">
        <v>1876</v>
      </c>
    </row>
    <row r="533" customFormat="false" ht="15" hidden="false" customHeight="false" outlineLevel="0" collapsed="false">
      <c r="A533" s="36" t="s">
        <v>1877</v>
      </c>
    </row>
    <row r="534" customFormat="false" ht="15" hidden="false" customHeight="false" outlineLevel="0" collapsed="false">
      <c r="A534" s="36" t="s">
        <v>1878</v>
      </c>
    </row>
    <row r="535" customFormat="false" ht="15" hidden="false" customHeight="false" outlineLevel="0" collapsed="false">
      <c r="A535" s="36" t="s">
        <v>1879</v>
      </c>
    </row>
    <row r="536" customFormat="false" ht="15" hidden="false" customHeight="false" outlineLevel="0" collapsed="false">
      <c r="A536" s="36" t="s">
        <v>1880</v>
      </c>
    </row>
    <row r="537" customFormat="false" ht="15" hidden="false" customHeight="false" outlineLevel="0" collapsed="false">
      <c r="A537" s="36" t="s">
        <v>1881</v>
      </c>
    </row>
    <row r="538" customFormat="false" ht="15" hidden="false" customHeight="false" outlineLevel="0" collapsed="false">
      <c r="A538" s="36" t="s">
        <v>1882</v>
      </c>
    </row>
    <row r="539" customFormat="false" ht="15" hidden="false" customHeight="false" outlineLevel="0" collapsed="false">
      <c r="A539" s="36" t="s">
        <v>1883</v>
      </c>
    </row>
    <row r="540" customFormat="false" ht="15" hidden="false" customHeight="false" outlineLevel="0" collapsed="false">
      <c r="A540" s="36" t="s">
        <v>1884</v>
      </c>
    </row>
    <row r="541" customFormat="false" ht="15" hidden="false" customHeight="false" outlineLevel="0" collapsed="false">
      <c r="A541" s="36" t="s">
        <v>1885</v>
      </c>
    </row>
    <row r="542" customFormat="false" ht="15" hidden="false" customHeight="false" outlineLevel="0" collapsed="false">
      <c r="A542" s="36" t="s">
        <v>1886</v>
      </c>
    </row>
    <row r="543" customFormat="false" ht="15" hidden="false" customHeight="false" outlineLevel="0" collapsed="false">
      <c r="A543" s="36" t="s">
        <v>1887</v>
      </c>
    </row>
    <row r="544" customFormat="false" ht="15" hidden="false" customHeight="false" outlineLevel="0" collapsed="false">
      <c r="A544" s="36" t="s">
        <v>1888</v>
      </c>
    </row>
    <row r="545" customFormat="false" ht="15" hidden="false" customHeight="false" outlineLevel="0" collapsed="false">
      <c r="A545" s="36" t="s">
        <v>1889</v>
      </c>
    </row>
    <row r="546" customFormat="false" ht="15" hidden="false" customHeight="false" outlineLevel="0" collapsed="false">
      <c r="A546" s="36"/>
    </row>
    <row r="547" customFormat="false" ht="15" hidden="false" customHeight="false" outlineLevel="0" collapsed="false">
      <c r="A547" s="36" t="s">
        <v>1890</v>
      </c>
    </row>
    <row r="548" customFormat="false" ht="15" hidden="false" customHeight="false" outlineLevel="0" collapsed="false">
      <c r="A548" s="36" t="s">
        <v>1891</v>
      </c>
    </row>
    <row r="549" customFormat="false" ht="15" hidden="false" customHeight="false" outlineLevel="0" collapsed="false">
      <c r="A549" s="36" t="s">
        <v>1503</v>
      </c>
    </row>
    <row r="550" customFormat="false" ht="15" hidden="false" customHeight="false" outlineLevel="0" collapsed="false">
      <c r="A550" s="36" t="s">
        <v>1875</v>
      </c>
    </row>
    <row r="551" customFormat="false" ht="15" hidden="false" customHeight="false" outlineLevel="0" collapsed="false">
      <c r="A551" s="36" t="s">
        <v>1766</v>
      </c>
    </row>
    <row r="552" customFormat="false" ht="15" hidden="false" customHeight="false" outlineLevel="0" collapsed="false">
      <c r="A552" s="36" t="s">
        <v>1892</v>
      </c>
    </row>
    <row r="553" customFormat="false" ht="15" hidden="false" customHeight="false" outlineLevel="0" collapsed="false">
      <c r="A553" s="36" t="s">
        <v>1893</v>
      </c>
    </row>
    <row r="554" customFormat="false" ht="15" hidden="false" customHeight="false" outlineLevel="0" collapsed="false">
      <c r="A554" s="36" t="s">
        <v>1511</v>
      </c>
    </row>
    <row r="555" customFormat="false" ht="15" hidden="false" customHeight="false" outlineLevel="0" collapsed="false">
      <c r="A555" s="36" t="s">
        <v>1512</v>
      </c>
    </row>
    <row r="556" customFormat="false" ht="15" hidden="false" customHeight="false" outlineLevel="0" collapsed="false">
      <c r="A556" s="36" t="s">
        <v>1513</v>
      </c>
    </row>
    <row r="557" customFormat="false" ht="15" hidden="false" customHeight="false" outlineLevel="0" collapsed="false">
      <c r="A557" s="36" t="s">
        <v>1514</v>
      </c>
    </row>
    <row r="558" customFormat="false" ht="15" hidden="false" customHeight="false" outlineLevel="0" collapsed="false">
      <c r="A558" s="36" t="s">
        <v>1515</v>
      </c>
    </row>
    <row r="559" customFormat="false" ht="15" hidden="false" customHeight="false" outlineLevel="0" collapsed="false">
      <c r="A559" s="36" t="s">
        <v>1516</v>
      </c>
    </row>
    <row r="560" customFormat="false" ht="15" hidden="false" customHeight="false" outlineLevel="0" collapsed="false">
      <c r="A560" s="36" t="s">
        <v>1894</v>
      </c>
    </row>
    <row r="561" customFormat="false" ht="15" hidden="false" customHeight="false" outlineLevel="0" collapsed="false">
      <c r="A561" s="36" t="s">
        <v>1895</v>
      </c>
    </row>
    <row r="562" customFormat="false" ht="15" hidden="false" customHeight="false" outlineLevel="0" collapsed="false">
      <c r="A562" s="36" t="s">
        <v>1896</v>
      </c>
    </row>
    <row r="563" customFormat="false" ht="15" hidden="false" customHeight="false" outlineLevel="0" collapsed="false">
      <c r="A563" s="36" t="s">
        <v>1897</v>
      </c>
    </row>
    <row r="564" customFormat="false" ht="15" hidden="false" customHeight="false" outlineLevel="0" collapsed="false">
      <c r="A564" s="36" t="s">
        <v>1898</v>
      </c>
    </row>
    <row r="565" customFormat="false" ht="15" hidden="false" customHeight="false" outlineLevel="0" collapsed="false">
      <c r="A565" s="36" t="s">
        <v>1899</v>
      </c>
    </row>
    <row r="566" customFormat="false" ht="15" hidden="false" customHeight="false" outlineLevel="0" collapsed="false">
      <c r="A566" s="36" t="s">
        <v>1900</v>
      </c>
    </row>
    <row r="567" customFormat="false" ht="15" hidden="false" customHeight="false" outlineLevel="0" collapsed="false">
      <c r="A567" s="36" t="s">
        <v>1901</v>
      </c>
    </row>
    <row r="568" customFormat="false" ht="15" hidden="false" customHeight="false" outlineLevel="0" collapsed="false">
      <c r="A568" s="36" t="s">
        <v>1902</v>
      </c>
    </row>
    <row r="569" customFormat="false" ht="15" hidden="false" customHeight="false" outlineLevel="0" collapsed="false">
      <c r="A569" s="36" t="s">
        <v>1903</v>
      </c>
    </row>
    <row r="570" customFormat="false" ht="15" hidden="false" customHeight="false" outlineLevel="0" collapsed="false">
      <c r="A570" s="36" t="s">
        <v>1904</v>
      </c>
    </row>
    <row r="571" customFormat="false" ht="15" hidden="false" customHeight="false" outlineLevel="0" collapsed="false">
      <c r="A571" s="36"/>
    </row>
    <row r="572" customFormat="false" ht="15" hidden="false" customHeight="false" outlineLevel="0" collapsed="false">
      <c r="A572" s="36" t="s">
        <v>1905</v>
      </c>
    </row>
    <row r="573" customFormat="false" ht="15" hidden="false" customHeight="false" outlineLevel="0" collapsed="false">
      <c r="A573" s="36" t="s">
        <v>1906</v>
      </c>
    </row>
    <row r="574" customFormat="false" ht="15" hidden="false" customHeight="false" outlineLevel="0" collapsed="false">
      <c r="A574" s="36" t="s">
        <v>1503</v>
      </c>
    </row>
    <row r="575" customFormat="false" ht="15" hidden="false" customHeight="false" outlineLevel="0" collapsed="false">
      <c r="A575" s="36" t="s">
        <v>1907</v>
      </c>
    </row>
    <row r="576" customFormat="false" ht="15" hidden="false" customHeight="false" outlineLevel="0" collapsed="false">
      <c r="A576" s="36" t="s">
        <v>1908</v>
      </c>
    </row>
    <row r="577" customFormat="false" ht="15" hidden="false" customHeight="false" outlineLevel="0" collapsed="false">
      <c r="A577" s="36" t="s">
        <v>1875</v>
      </c>
    </row>
    <row r="578" customFormat="false" ht="15" hidden="false" customHeight="false" outlineLevel="0" collapsed="false">
      <c r="A578" s="36" t="s">
        <v>1766</v>
      </c>
    </row>
    <row r="579" customFormat="false" ht="15" hidden="false" customHeight="false" outlineLevel="0" collapsed="false">
      <c r="A579" s="36" t="s">
        <v>1785</v>
      </c>
    </row>
    <row r="580" customFormat="false" ht="15" hidden="false" customHeight="false" outlineLevel="0" collapsed="false">
      <c r="A580" s="36" t="s">
        <v>1909</v>
      </c>
    </row>
    <row r="581" customFormat="false" ht="15" hidden="false" customHeight="false" outlineLevel="0" collapsed="false">
      <c r="A581" s="36" t="s">
        <v>1910</v>
      </c>
    </row>
    <row r="582" customFormat="false" ht="15" hidden="false" customHeight="false" outlineLevel="0" collapsed="false">
      <c r="A582" s="36" t="s">
        <v>1911</v>
      </c>
    </row>
    <row r="583" customFormat="false" ht="15" hidden="false" customHeight="false" outlineLevel="0" collapsed="false">
      <c r="A583" s="36" t="s">
        <v>1511</v>
      </c>
    </row>
    <row r="584" customFormat="false" ht="15" hidden="false" customHeight="false" outlineLevel="0" collapsed="false">
      <c r="A584" s="36" t="s">
        <v>1671</v>
      </c>
    </row>
    <row r="585" customFormat="false" ht="15" hidden="false" customHeight="false" outlineLevel="0" collapsed="false">
      <c r="A585" s="36" t="s">
        <v>1516</v>
      </c>
    </row>
    <row r="586" customFormat="false" ht="15" hidden="false" customHeight="false" outlineLevel="0" collapsed="false">
      <c r="A586" s="36" t="s">
        <v>1912</v>
      </c>
    </row>
    <row r="587" customFormat="false" ht="15" hidden="false" customHeight="false" outlineLevel="0" collapsed="false">
      <c r="A587" s="36" t="s">
        <v>1913</v>
      </c>
    </row>
    <row r="588" customFormat="false" ht="15" hidden="false" customHeight="false" outlineLevel="0" collapsed="false">
      <c r="A588" s="36" t="s">
        <v>1914</v>
      </c>
    </row>
    <row r="589" customFormat="false" ht="15" hidden="false" customHeight="false" outlineLevel="0" collapsed="false">
      <c r="A589" s="36" t="s">
        <v>1915</v>
      </c>
    </row>
    <row r="590" customFormat="false" ht="15" hidden="false" customHeight="false" outlineLevel="0" collapsed="false">
      <c r="A590" s="36" t="s">
        <v>1916</v>
      </c>
    </row>
    <row r="591" customFormat="false" ht="15" hidden="false" customHeight="false" outlineLevel="0" collapsed="false">
      <c r="A591" s="36" t="s">
        <v>1917</v>
      </c>
    </row>
    <row r="592" customFormat="false" ht="15" hidden="false" customHeight="false" outlineLevel="0" collapsed="false">
      <c r="A592" s="36" t="s">
        <v>1918</v>
      </c>
    </row>
    <row r="593" customFormat="false" ht="15" hidden="false" customHeight="false" outlineLevel="0" collapsed="false">
      <c r="A593" s="36" t="s">
        <v>1919</v>
      </c>
    </row>
    <row r="594" customFormat="false" ht="15" hidden="false" customHeight="false" outlineLevel="0" collapsed="false">
      <c r="A594" s="36" t="s">
        <v>1920</v>
      </c>
    </row>
    <row r="595" customFormat="false" ht="15" hidden="false" customHeight="false" outlineLevel="0" collapsed="false">
      <c r="A595" s="36" t="s">
        <v>1921</v>
      </c>
    </row>
    <row r="596" customFormat="false" ht="15" hidden="false" customHeight="false" outlineLevel="0" collapsed="false">
      <c r="A596" s="36" t="s">
        <v>1922</v>
      </c>
    </row>
    <row r="597" customFormat="false" ht="15" hidden="false" customHeight="false" outlineLevel="0" collapsed="false">
      <c r="A597" s="36" t="s">
        <v>1923</v>
      </c>
    </row>
    <row r="598" customFormat="false" ht="15" hidden="false" customHeight="false" outlineLevel="0" collapsed="false">
      <c r="A598" s="36"/>
    </row>
    <row r="599" customFormat="false" ht="15" hidden="false" customHeight="false" outlineLevel="0" collapsed="false">
      <c r="A599" s="36" t="s">
        <v>1924</v>
      </c>
    </row>
    <row r="600" customFormat="false" ht="15" hidden="false" customHeight="false" outlineLevel="0" collapsed="false">
      <c r="A600" s="36" t="s">
        <v>1925</v>
      </c>
    </row>
    <row r="601" customFormat="false" ht="15" hidden="false" customHeight="false" outlineLevel="0" collapsed="false">
      <c r="A601" s="36" t="s">
        <v>1503</v>
      </c>
    </row>
    <row r="602" customFormat="false" ht="15" hidden="false" customHeight="false" outlineLevel="0" collapsed="false">
      <c r="A602" s="36" t="s">
        <v>1926</v>
      </c>
    </row>
    <row r="603" customFormat="false" ht="15" hidden="false" customHeight="false" outlineLevel="0" collapsed="false">
      <c r="A603" s="36" t="s">
        <v>1783</v>
      </c>
    </row>
    <row r="604" customFormat="false" ht="15" hidden="false" customHeight="false" outlineLevel="0" collapsed="false">
      <c r="A604" s="36" t="s">
        <v>1784</v>
      </c>
    </row>
    <row r="605" customFormat="false" ht="15" hidden="false" customHeight="false" outlineLevel="0" collapsed="false">
      <c r="A605" s="36" t="s">
        <v>1785</v>
      </c>
    </row>
    <row r="606" customFormat="false" ht="15" hidden="false" customHeight="false" outlineLevel="0" collapsed="false">
      <c r="A606" s="36" t="s">
        <v>1786</v>
      </c>
    </row>
    <row r="607" customFormat="false" ht="15" hidden="false" customHeight="false" outlineLevel="0" collapsed="false">
      <c r="A607" s="36" t="s">
        <v>1927</v>
      </c>
    </row>
    <row r="608" customFormat="false" ht="15" hidden="false" customHeight="false" outlineLevel="0" collapsed="false">
      <c r="A608" s="36" t="s">
        <v>1511</v>
      </c>
    </row>
    <row r="609" customFormat="false" ht="15" hidden="false" customHeight="false" outlineLevel="0" collapsed="false">
      <c r="A609" s="36" t="s">
        <v>1512</v>
      </c>
    </row>
    <row r="610" customFormat="false" ht="15" hidden="false" customHeight="false" outlineLevel="0" collapsed="false">
      <c r="A610" s="36" t="s">
        <v>1513</v>
      </c>
    </row>
    <row r="611" customFormat="false" ht="15" hidden="false" customHeight="false" outlineLevel="0" collapsed="false">
      <c r="A611" s="36" t="s">
        <v>1514</v>
      </c>
    </row>
    <row r="612" customFormat="false" ht="15" hidden="false" customHeight="false" outlineLevel="0" collapsed="false">
      <c r="A612" s="36" t="s">
        <v>1515</v>
      </c>
    </row>
    <row r="613" customFormat="false" ht="15" hidden="false" customHeight="false" outlineLevel="0" collapsed="false">
      <c r="A613" s="36" t="s">
        <v>1516</v>
      </c>
    </row>
    <row r="614" customFormat="false" ht="15" hidden="false" customHeight="false" outlineLevel="0" collapsed="false">
      <c r="A614" s="36" t="s">
        <v>1928</v>
      </c>
    </row>
    <row r="615" customFormat="false" ht="15" hidden="false" customHeight="false" outlineLevel="0" collapsed="false">
      <c r="A615" s="36" t="s">
        <v>1929</v>
      </c>
    </row>
    <row r="616" customFormat="false" ht="15" hidden="false" customHeight="false" outlineLevel="0" collapsed="false">
      <c r="A616" s="36" t="s">
        <v>1930</v>
      </c>
    </row>
    <row r="617" customFormat="false" ht="15" hidden="false" customHeight="false" outlineLevel="0" collapsed="false">
      <c r="A617" s="36" t="s">
        <v>1931</v>
      </c>
    </row>
    <row r="618" customFormat="false" ht="15" hidden="false" customHeight="false" outlineLevel="0" collapsed="false">
      <c r="A618" s="36" t="s">
        <v>1932</v>
      </c>
    </row>
    <row r="619" customFormat="false" ht="15" hidden="false" customHeight="false" outlineLevel="0" collapsed="false">
      <c r="A619" s="36" t="s">
        <v>1933</v>
      </c>
    </row>
    <row r="620" customFormat="false" ht="15" hidden="false" customHeight="false" outlineLevel="0" collapsed="false">
      <c r="A620" s="36" t="s">
        <v>1934</v>
      </c>
    </row>
    <row r="621" customFormat="false" ht="15" hidden="false" customHeight="false" outlineLevel="0" collapsed="false">
      <c r="A621" s="36" t="s">
        <v>1935</v>
      </c>
    </row>
    <row r="622" customFormat="false" ht="15" hidden="false" customHeight="false" outlineLevel="0" collapsed="false">
      <c r="A622" s="36" t="s">
        <v>1936</v>
      </c>
    </row>
    <row r="623" customFormat="false" ht="15" hidden="false" customHeight="false" outlineLevel="0" collapsed="false">
      <c r="A623" s="36" t="s">
        <v>1937</v>
      </c>
    </row>
    <row r="624" customFormat="false" ht="15" hidden="false" customHeight="false" outlineLevel="0" collapsed="false">
      <c r="A624" s="36" t="s">
        <v>1938</v>
      </c>
    </row>
    <row r="625" customFormat="false" ht="15" hidden="false" customHeight="false" outlineLevel="0" collapsed="false">
      <c r="A625" s="36" t="s">
        <v>1939</v>
      </c>
    </row>
    <row r="626" customFormat="false" ht="15" hidden="false" customHeight="false" outlineLevel="0" collapsed="false">
      <c r="A626" s="36" t="s">
        <v>1940</v>
      </c>
    </row>
    <row r="627" customFormat="false" ht="15" hidden="false" customHeight="false" outlineLevel="0" collapsed="false">
      <c r="A627" s="36"/>
    </row>
    <row r="628" customFormat="false" ht="15" hidden="false" customHeight="false" outlineLevel="0" collapsed="false">
      <c r="A628" s="36" t="s">
        <v>1941</v>
      </c>
    </row>
    <row r="629" customFormat="false" ht="15" hidden="false" customHeight="false" outlineLevel="0" collapsed="false">
      <c r="A629" s="36" t="s">
        <v>1942</v>
      </c>
    </row>
    <row r="630" customFormat="false" ht="15" hidden="false" customHeight="false" outlineLevel="0" collapsed="false">
      <c r="A630" s="36" t="s">
        <v>1503</v>
      </c>
    </row>
    <row r="631" customFormat="false" ht="15" hidden="false" customHeight="false" outlineLevel="0" collapsed="false">
      <c r="A631" s="36" t="s">
        <v>1943</v>
      </c>
    </row>
    <row r="632" customFormat="false" ht="15" hidden="false" customHeight="false" outlineLevel="0" collapsed="false">
      <c r="A632" s="36" t="s">
        <v>1926</v>
      </c>
    </row>
    <row r="633" customFormat="false" ht="15" hidden="false" customHeight="false" outlineLevel="0" collapsed="false">
      <c r="A633" s="36" t="s">
        <v>1723</v>
      </c>
    </row>
    <row r="634" customFormat="false" ht="15" hidden="false" customHeight="false" outlineLevel="0" collapsed="false">
      <c r="A634" s="36" t="s">
        <v>1853</v>
      </c>
    </row>
    <row r="635" customFormat="false" ht="15" hidden="false" customHeight="false" outlineLevel="0" collapsed="false">
      <c r="A635" s="36" t="s">
        <v>1944</v>
      </c>
    </row>
    <row r="636" customFormat="false" ht="15" hidden="false" customHeight="false" outlineLevel="0" collapsed="false">
      <c r="A636" s="36" t="s">
        <v>1945</v>
      </c>
    </row>
    <row r="637" customFormat="false" ht="15" hidden="false" customHeight="false" outlineLevel="0" collapsed="false">
      <c r="A637" s="36" t="s">
        <v>1946</v>
      </c>
    </row>
    <row r="638" customFormat="false" ht="15" hidden="false" customHeight="false" outlineLevel="0" collapsed="false">
      <c r="A638" s="36" t="s">
        <v>1947</v>
      </c>
    </row>
    <row r="639" customFormat="false" ht="15" hidden="false" customHeight="false" outlineLevel="0" collapsed="false">
      <c r="A639" s="36" t="s">
        <v>1511</v>
      </c>
    </row>
    <row r="640" customFormat="false" ht="15" hidden="false" customHeight="false" outlineLevel="0" collapsed="false">
      <c r="A640" s="36" t="s">
        <v>1512</v>
      </c>
    </row>
    <row r="641" customFormat="false" ht="15" hidden="false" customHeight="false" outlineLevel="0" collapsed="false">
      <c r="A641" s="36" t="s">
        <v>1513</v>
      </c>
    </row>
    <row r="642" customFormat="false" ht="15" hidden="false" customHeight="false" outlineLevel="0" collapsed="false">
      <c r="A642" s="36" t="s">
        <v>1514</v>
      </c>
    </row>
    <row r="643" customFormat="false" ht="15" hidden="false" customHeight="false" outlineLevel="0" collapsed="false">
      <c r="A643" s="36" t="s">
        <v>1515</v>
      </c>
    </row>
    <row r="644" customFormat="false" ht="15" hidden="false" customHeight="false" outlineLevel="0" collapsed="false">
      <c r="A644" s="36" t="s">
        <v>1516</v>
      </c>
    </row>
    <row r="645" customFormat="false" ht="15" hidden="false" customHeight="false" outlineLevel="0" collapsed="false">
      <c r="A645" s="36" t="s">
        <v>1948</v>
      </c>
    </row>
    <row r="646" customFormat="false" ht="15" hidden="false" customHeight="false" outlineLevel="0" collapsed="false">
      <c r="A646" s="36" t="s">
        <v>1949</v>
      </c>
    </row>
    <row r="647" customFormat="false" ht="15" hidden="false" customHeight="false" outlineLevel="0" collapsed="false">
      <c r="A647" s="36" t="s">
        <v>1950</v>
      </c>
    </row>
    <row r="648" customFormat="false" ht="15" hidden="false" customHeight="false" outlineLevel="0" collapsed="false">
      <c r="A648" s="36" t="s">
        <v>1951</v>
      </c>
    </row>
    <row r="649" customFormat="false" ht="15" hidden="false" customHeight="false" outlineLevel="0" collapsed="false">
      <c r="A649" s="36" t="s">
        <v>1952</v>
      </c>
    </row>
    <row r="650" customFormat="false" ht="15" hidden="false" customHeight="false" outlineLevel="0" collapsed="false">
      <c r="A650" s="36" t="s">
        <v>1953</v>
      </c>
    </row>
    <row r="651" customFormat="false" ht="15" hidden="false" customHeight="false" outlineLevel="0" collapsed="false">
      <c r="A651" s="36" t="s">
        <v>1954</v>
      </c>
    </row>
    <row r="652" customFormat="false" ht="15" hidden="false" customHeight="false" outlineLevel="0" collapsed="false">
      <c r="A652" s="36" t="s">
        <v>1955</v>
      </c>
    </row>
    <row r="653" customFormat="false" ht="15" hidden="false" customHeight="false" outlineLevel="0" collapsed="false">
      <c r="A653" s="36" t="s">
        <v>1956</v>
      </c>
    </row>
    <row r="654" customFormat="false" ht="15" hidden="false" customHeight="false" outlineLevel="0" collapsed="false">
      <c r="A654" s="36" t="s">
        <v>1957</v>
      </c>
    </row>
    <row r="655" customFormat="false" ht="15" hidden="false" customHeight="false" outlineLevel="0" collapsed="false">
      <c r="A655" s="36" t="s">
        <v>1958</v>
      </c>
    </row>
    <row r="656" customFormat="false" ht="15" hidden="false" customHeight="false" outlineLevel="0" collapsed="false">
      <c r="A656" s="36" t="s">
        <v>1959</v>
      </c>
    </row>
    <row r="657" customFormat="false" ht="15" hidden="false" customHeight="false" outlineLevel="0" collapsed="false">
      <c r="A657" s="36" t="s">
        <v>1960</v>
      </c>
    </row>
    <row r="658" customFormat="false" ht="15" hidden="false" customHeight="false" outlineLevel="0" collapsed="false">
      <c r="A658" s="36" t="s">
        <v>1961</v>
      </c>
    </row>
    <row r="659" customFormat="false" ht="15" hidden="false" customHeight="false" outlineLevel="0" collapsed="false">
      <c r="A659" s="36" t="s">
        <v>1962</v>
      </c>
    </row>
    <row r="660" customFormat="false" ht="15" hidden="false" customHeight="false" outlineLevel="0" collapsed="false">
      <c r="A660" s="36"/>
    </row>
    <row r="661" customFormat="false" ht="15" hidden="false" customHeight="false" outlineLevel="0" collapsed="false">
      <c r="A661" s="36" t="s">
        <v>1963</v>
      </c>
    </row>
    <row r="662" customFormat="false" ht="15" hidden="false" customHeight="false" outlineLevel="0" collapsed="false">
      <c r="A662" s="36" t="s">
        <v>1964</v>
      </c>
    </row>
    <row r="663" customFormat="false" ht="15" hidden="false" customHeight="false" outlineLevel="0" collapsed="false">
      <c r="A663" s="36" t="s">
        <v>1503</v>
      </c>
    </row>
    <row r="664" customFormat="false" ht="15" hidden="false" customHeight="false" outlineLevel="0" collapsed="false">
      <c r="A664" s="36" t="s">
        <v>1965</v>
      </c>
    </row>
    <row r="665" customFormat="false" ht="15" hidden="false" customHeight="false" outlineLevel="0" collapsed="false">
      <c r="A665" s="36" t="s">
        <v>1875</v>
      </c>
    </row>
    <row r="666" customFormat="false" ht="15" hidden="false" customHeight="false" outlineLevel="0" collapsed="false">
      <c r="A666" s="36" t="s">
        <v>1511</v>
      </c>
    </row>
    <row r="667" customFormat="false" ht="15" hidden="false" customHeight="false" outlineLevel="0" collapsed="false">
      <c r="A667" s="36" t="s">
        <v>1512</v>
      </c>
    </row>
    <row r="668" customFormat="false" ht="15" hidden="false" customHeight="false" outlineLevel="0" collapsed="false">
      <c r="A668" s="36" t="s">
        <v>1513</v>
      </c>
    </row>
    <row r="669" customFormat="false" ht="15" hidden="false" customHeight="false" outlineLevel="0" collapsed="false">
      <c r="A669" s="36" t="s">
        <v>1514</v>
      </c>
    </row>
    <row r="670" customFormat="false" ht="15" hidden="false" customHeight="false" outlineLevel="0" collapsed="false">
      <c r="A670" s="36" t="s">
        <v>1515</v>
      </c>
    </row>
    <row r="671" customFormat="false" ht="15" hidden="false" customHeight="false" outlineLevel="0" collapsed="false">
      <c r="A671" s="36" t="s">
        <v>1516</v>
      </c>
    </row>
    <row r="672" customFormat="false" ht="15" hidden="false" customHeight="false" outlineLevel="0" collapsed="false">
      <c r="A672" s="36" t="s">
        <v>1966</v>
      </c>
    </row>
    <row r="673" customFormat="false" ht="15" hidden="false" customHeight="false" outlineLevel="0" collapsed="false">
      <c r="A673" s="36" t="s">
        <v>1967</v>
      </c>
    </row>
    <row r="674" customFormat="false" ht="15" hidden="false" customHeight="false" outlineLevel="0" collapsed="false">
      <c r="A674" s="36" t="s">
        <v>1968</v>
      </c>
    </row>
    <row r="675" customFormat="false" ht="15" hidden="false" customHeight="false" outlineLevel="0" collapsed="false">
      <c r="A675" s="36" t="s">
        <v>1969</v>
      </c>
    </row>
    <row r="676" customFormat="false" ht="15" hidden="false" customHeight="false" outlineLevel="0" collapsed="false">
      <c r="A676" s="36" t="s">
        <v>1970</v>
      </c>
    </row>
    <row r="677" customFormat="false" ht="15" hidden="false" customHeight="false" outlineLevel="0" collapsed="false">
      <c r="A677" s="36" t="s">
        <v>1971</v>
      </c>
    </row>
    <row r="678" customFormat="false" ht="15" hidden="false" customHeight="false" outlineLevel="0" collapsed="false">
      <c r="A678" s="36" t="s">
        <v>1972</v>
      </c>
    </row>
    <row r="679" customFormat="false" ht="15" hidden="false" customHeight="false" outlineLevel="0" collapsed="false">
      <c r="A679" s="36" t="s">
        <v>1973</v>
      </c>
    </row>
    <row r="680" customFormat="false" ht="15" hidden="false" customHeight="false" outlineLevel="0" collapsed="false">
      <c r="A680" s="36" t="s">
        <v>1974</v>
      </c>
    </row>
    <row r="681" customFormat="false" ht="15" hidden="false" customHeight="false" outlineLevel="0" collapsed="false">
      <c r="A681" s="36"/>
    </row>
    <row r="682" customFormat="false" ht="15" hidden="false" customHeight="false" outlineLevel="0" collapsed="false">
      <c r="A682" s="36" t="s">
        <v>1975</v>
      </c>
    </row>
    <row r="683" customFormat="false" ht="15" hidden="false" customHeight="false" outlineLevel="0" collapsed="false">
      <c r="A683" s="36" t="s">
        <v>1976</v>
      </c>
    </row>
    <row r="684" customFormat="false" ht="15" hidden="false" customHeight="false" outlineLevel="0" collapsed="false">
      <c r="A684" s="36" t="s">
        <v>1503</v>
      </c>
    </row>
    <row r="685" customFormat="false" ht="15" hidden="false" customHeight="false" outlineLevel="0" collapsed="false">
      <c r="A685" s="36" t="s">
        <v>1965</v>
      </c>
    </row>
    <row r="686" customFormat="false" ht="15" hidden="false" customHeight="false" outlineLevel="0" collapsed="false">
      <c r="A686" s="36" t="s">
        <v>1723</v>
      </c>
    </row>
    <row r="687" customFormat="false" ht="15" hidden="false" customHeight="false" outlineLevel="0" collapsed="false">
      <c r="A687" s="36" t="s">
        <v>1875</v>
      </c>
    </row>
    <row r="688" customFormat="false" ht="15" hidden="false" customHeight="false" outlineLevel="0" collapsed="false">
      <c r="A688" s="36" t="s">
        <v>1977</v>
      </c>
    </row>
    <row r="689" customFormat="false" ht="15" hidden="false" customHeight="false" outlineLevel="0" collapsed="false">
      <c r="A689" s="36" t="s">
        <v>1978</v>
      </c>
    </row>
    <row r="690" customFormat="false" ht="15" hidden="false" customHeight="false" outlineLevel="0" collapsed="false">
      <c r="A690" s="36" t="s">
        <v>1979</v>
      </c>
    </row>
    <row r="691" customFormat="false" ht="15" hidden="false" customHeight="false" outlineLevel="0" collapsed="false">
      <c r="A691" s="36" t="s">
        <v>1980</v>
      </c>
    </row>
    <row r="692" customFormat="false" ht="15" hidden="false" customHeight="false" outlineLevel="0" collapsed="false">
      <c r="A692" s="36" t="s">
        <v>1981</v>
      </c>
    </row>
    <row r="693" customFormat="false" ht="15" hidden="false" customHeight="false" outlineLevel="0" collapsed="false">
      <c r="A693" s="36" t="s">
        <v>1511</v>
      </c>
    </row>
    <row r="694" customFormat="false" ht="15" hidden="false" customHeight="false" outlineLevel="0" collapsed="false">
      <c r="A694" s="36" t="s">
        <v>1512</v>
      </c>
    </row>
    <row r="695" customFormat="false" ht="15" hidden="false" customHeight="false" outlineLevel="0" collapsed="false">
      <c r="A695" s="36" t="s">
        <v>1513</v>
      </c>
    </row>
    <row r="696" customFormat="false" ht="15" hidden="false" customHeight="false" outlineLevel="0" collapsed="false">
      <c r="A696" s="36" t="s">
        <v>1514</v>
      </c>
    </row>
    <row r="697" customFormat="false" ht="15" hidden="false" customHeight="false" outlineLevel="0" collapsed="false">
      <c r="A697" s="36" t="s">
        <v>1515</v>
      </c>
    </row>
    <row r="698" customFormat="false" ht="15" hidden="false" customHeight="false" outlineLevel="0" collapsed="false">
      <c r="A698" s="36" t="s">
        <v>1516</v>
      </c>
    </row>
    <row r="699" customFormat="false" ht="15" hidden="false" customHeight="false" outlineLevel="0" collapsed="false">
      <c r="A699" s="36" t="s">
        <v>1982</v>
      </c>
    </row>
    <row r="700" customFormat="false" ht="15" hidden="false" customHeight="false" outlineLevel="0" collapsed="false">
      <c r="A700" s="36" t="s">
        <v>1983</v>
      </c>
    </row>
    <row r="701" customFormat="false" ht="15" hidden="false" customHeight="false" outlineLevel="0" collapsed="false">
      <c r="A701" s="36" t="s">
        <v>1984</v>
      </c>
    </row>
    <row r="702" customFormat="false" ht="15" hidden="false" customHeight="false" outlineLevel="0" collapsed="false">
      <c r="A702" s="36" t="s">
        <v>1985</v>
      </c>
    </row>
    <row r="703" customFormat="false" ht="15" hidden="false" customHeight="false" outlineLevel="0" collapsed="false">
      <c r="A703" s="36" t="s">
        <v>1986</v>
      </c>
    </row>
    <row r="704" customFormat="false" ht="15" hidden="false" customHeight="false" outlineLevel="0" collapsed="false">
      <c r="A704" s="36" t="s">
        <v>1987</v>
      </c>
    </row>
    <row r="705" customFormat="false" ht="15" hidden="false" customHeight="false" outlineLevel="0" collapsed="false">
      <c r="A705" s="36" t="s">
        <v>1988</v>
      </c>
    </row>
    <row r="706" customFormat="false" ht="15" hidden="false" customHeight="false" outlineLevel="0" collapsed="false">
      <c r="A706" s="36" t="s">
        <v>1989</v>
      </c>
    </row>
    <row r="707" customFormat="false" ht="15" hidden="false" customHeight="false" outlineLevel="0" collapsed="false">
      <c r="A707" s="36" t="s">
        <v>1990</v>
      </c>
    </row>
    <row r="708" customFormat="false" ht="15" hidden="false" customHeight="false" outlineLevel="0" collapsed="false">
      <c r="A708" s="36" t="s">
        <v>1991</v>
      </c>
    </row>
    <row r="709" customFormat="false" ht="15" hidden="false" customHeight="false" outlineLevel="0" collapsed="false">
      <c r="A709" s="36" t="s">
        <v>1992</v>
      </c>
    </row>
    <row r="710" customFormat="false" ht="15" hidden="false" customHeight="false" outlineLevel="0" collapsed="false">
      <c r="A710" s="36" t="s">
        <v>1993</v>
      </c>
    </row>
    <row r="711" customFormat="false" ht="15" hidden="false" customHeight="false" outlineLevel="0" collapsed="false">
      <c r="A711" s="36" t="s">
        <v>1994</v>
      </c>
    </row>
    <row r="712" customFormat="false" ht="15" hidden="false" customHeight="false" outlineLevel="0" collapsed="false">
      <c r="A712" s="36" t="s">
        <v>1995</v>
      </c>
    </row>
    <row r="713" customFormat="false" ht="15" hidden="false" customHeight="false" outlineLevel="0" collapsed="false">
      <c r="A713" s="36" t="s">
        <v>1996</v>
      </c>
    </row>
    <row r="714" customFormat="false" ht="15" hidden="false" customHeight="false" outlineLevel="0" collapsed="false">
      <c r="A714" s="36"/>
    </row>
    <row r="715" customFormat="false" ht="15" hidden="false" customHeight="false" outlineLevel="0" collapsed="false">
      <c r="A715" s="36" t="s">
        <v>1997</v>
      </c>
    </row>
    <row r="716" customFormat="false" ht="15" hidden="false" customHeight="false" outlineLevel="0" collapsed="false">
      <c r="A716" s="36" t="s">
        <v>1998</v>
      </c>
    </row>
    <row r="717" customFormat="false" ht="15" hidden="false" customHeight="false" outlineLevel="0" collapsed="false">
      <c r="A717" s="36" t="s">
        <v>1503</v>
      </c>
    </row>
    <row r="718" customFormat="false" ht="15" hidden="false" customHeight="false" outlineLevel="0" collapsed="false">
      <c r="A718" s="36" t="s">
        <v>1999</v>
      </c>
    </row>
    <row r="719" customFormat="false" ht="15" hidden="false" customHeight="false" outlineLevel="0" collapsed="false">
      <c r="A719" s="36" t="s">
        <v>2000</v>
      </c>
    </row>
    <row r="720" customFormat="false" ht="15" hidden="false" customHeight="false" outlineLevel="0" collapsed="false">
      <c r="A720" s="36" t="s">
        <v>1784</v>
      </c>
    </row>
    <row r="721" customFormat="false" ht="15" hidden="false" customHeight="false" outlineLevel="0" collapsed="false">
      <c r="A721" s="36" t="s">
        <v>1875</v>
      </c>
    </row>
    <row r="722" customFormat="false" ht="15" hidden="false" customHeight="false" outlineLevel="0" collapsed="false">
      <c r="A722" s="36" t="s">
        <v>1766</v>
      </c>
    </row>
    <row r="723" customFormat="false" ht="15" hidden="false" customHeight="false" outlineLevel="0" collapsed="false">
      <c r="A723" s="36" t="s">
        <v>1785</v>
      </c>
    </row>
    <row r="724" customFormat="false" ht="15" hidden="false" customHeight="false" outlineLevel="0" collapsed="false">
      <c r="A724" s="36" t="s">
        <v>1786</v>
      </c>
    </row>
    <row r="725" customFormat="false" ht="15" hidden="false" customHeight="false" outlineLevel="0" collapsed="false">
      <c r="A725" s="36" t="s">
        <v>2001</v>
      </c>
    </row>
    <row r="726" customFormat="false" ht="15" hidden="false" customHeight="false" outlineLevel="0" collapsed="false">
      <c r="A726" s="36" t="s">
        <v>1511</v>
      </c>
    </row>
    <row r="727" customFormat="false" ht="15" hidden="false" customHeight="false" outlineLevel="0" collapsed="false">
      <c r="A727" s="36" t="s">
        <v>1512</v>
      </c>
    </row>
    <row r="728" customFormat="false" ht="15" hidden="false" customHeight="false" outlineLevel="0" collapsed="false">
      <c r="A728" s="36" t="s">
        <v>1513</v>
      </c>
    </row>
    <row r="729" customFormat="false" ht="15" hidden="false" customHeight="false" outlineLevel="0" collapsed="false">
      <c r="A729" s="36" t="s">
        <v>1514</v>
      </c>
    </row>
    <row r="730" customFormat="false" ht="15" hidden="false" customHeight="false" outlineLevel="0" collapsed="false">
      <c r="A730" s="36" t="s">
        <v>1515</v>
      </c>
    </row>
    <row r="731" customFormat="false" ht="15" hidden="false" customHeight="false" outlineLevel="0" collapsed="false">
      <c r="A731" s="36" t="s">
        <v>1516</v>
      </c>
    </row>
    <row r="732" customFormat="false" ht="15" hidden="false" customHeight="false" outlineLevel="0" collapsed="false">
      <c r="A732" s="36" t="s">
        <v>2002</v>
      </c>
    </row>
    <row r="733" customFormat="false" ht="15" hidden="false" customHeight="false" outlineLevel="0" collapsed="false">
      <c r="A733" s="36" t="s">
        <v>2003</v>
      </c>
    </row>
    <row r="734" customFormat="false" ht="15" hidden="false" customHeight="false" outlineLevel="0" collapsed="false">
      <c r="A734" s="36" t="s">
        <v>2004</v>
      </c>
    </row>
    <row r="735" customFormat="false" ht="15" hidden="false" customHeight="false" outlineLevel="0" collapsed="false">
      <c r="A735" s="36" t="s">
        <v>2005</v>
      </c>
    </row>
    <row r="736" customFormat="false" ht="15" hidden="false" customHeight="false" outlineLevel="0" collapsed="false">
      <c r="A736" s="36" t="s">
        <v>2006</v>
      </c>
    </row>
    <row r="737" customFormat="false" ht="15" hidden="false" customHeight="false" outlineLevel="0" collapsed="false">
      <c r="A737" s="36" t="s">
        <v>2007</v>
      </c>
    </row>
    <row r="738" customFormat="false" ht="15" hidden="false" customHeight="false" outlineLevel="0" collapsed="false">
      <c r="A738" s="36" t="s">
        <v>2008</v>
      </c>
    </row>
    <row r="739" customFormat="false" ht="15" hidden="false" customHeight="false" outlineLevel="0" collapsed="false">
      <c r="A739" s="36" t="s">
        <v>2009</v>
      </c>
    </row>
    <row r="740" customFormat="false" ht="15" hidden="false" customHeight="false" outlineLevel="0" collapsed="false">
      <c r="A740" s="36" t="s">
        <v>2010</v>
      </c>
    </row>
    <row r="741" customFormat="false" ht="15" hidden="false" customHeight="false" outlineLevel="0" collapsed="false">
      <c r="A741" s="36" t="s">
        <v>2011</v>
      </c>
    </row>
    <row r="742" customFormat="false" ht="15" hidden="false" customHeight="false" outlineLevel="0" collapsed="false">
      <c r="A742" s="36" t="s">
        <v>2012</v>
      </c>
    </row>
    <row r="743" customFormat="false" ht="15" hidden="false" customHeight="false" outlineLevel="0" collapsed="false">
      <c r="A743" s="36" t="s">
        <v>2013</v>
      </c>
    </row>
    <row r="744" customFormat="false" ht="15" hidden="false" customHeight="false" outlineLevel="0" collapsed="false">
      <c r="A744" s="36" t="s">
        <v>2014</v>
      </c>
    </row>
    <row r="745" customFormat="false" ht="15" hidden="false" customHeight="false" outlineLevel="0" collapsed="false">
      <c r="A745" s="36" t="s">
        <v>2015</v>
      </c>
    </row>
    <row r="746" customFormat="false" ht="15" hidden="false" customHeight="false" outlineLevel="0" collapsed="false">
      <c r="A746" s="36" t="s">
        <v>2016</v>
      </c>
    </row>
    <row r="747" customFormat="false" ht="15" hidden="false" customHeight="false" outlineLevel="0" collapsed="false">
      <c r="A747" s="36"/>
    </row>
    <row r="748" customFormat="false" ht="15" hidden="false" customHeight="false" outlineLevel="0" collapsed="false">
      <c r="A748" s="36" t="s">
        <v>2017</v>
      </c>
    </row>
    <row r="749" customFormat="false" ht="15" hidden="false" customHeight="false" outlineLevel="0" collapsed="false">
      <c r="A749" s="36" t="s">
        <v>2018</v>
      </c>
    </row>
    <row r="750" customFormat="false" ht="15" hidden="false" customHeight="false" outlineLevel="0" collapsed="false">
      <c r="A750" s="36" t="s">
        <v>1503</v>
      </c>
    </row>
    <row r="751" customFormat="false" ht="15" hidden="false" customHeight="false" outlineLevel="0" collapsed="false">
      <c r="A751" s="36" t="s">
        <v>2019</v>
      </c>
    </row>
    <row r="752" customFormat="false" ht="15" hidden="false" customHeight="false" outlineLevel="0" collapsed="false">
      <c r="A752" s="36" t="s">
        <v>2020</v>
      </c>
    </row>
    <row r="753" customFormat="false" ht="15" hidden="false" customHeight="false" outlineLevel="0" collapsed="false">
      <c r="A753" s="36" t="s">
        <v>2021</v>
      </c>
    </row>
    <row r="754" customFormat="false" ht="15" hidden="false" customHeight="false" outlineLevel="0" collapsed="false">
      <c r="A754" s="36" t="s">
        <v>1785</v>
      </c>
    </row>
    <row r="755" customFormat="false" ht="15" hidden="false" customHeight="false" outlineLevel="0" collapsed="false">
      <c r="A755" s="36" t="s">
        <v>1621</v>
      </c>
    </row>
    <row r="756" customFormat="false" ht="15" hidden="false" customHeight="false" outlineLevel="0" collapsed="false">
      <c r="A756" s="36" t="s">
        <v>2022</v>
      </c>
    </row>
    <row r="757" customFormat="false" ht="15" hidden="false" customHeight="false" outlineLevel="0" collapsed="false">
      <c r="A757" s="36" t="s">
        <v>2023</v>
      </c>
    </row>
    <row r="758" customFormat="false" ht="15" hidden="false" customHeight="false" outlineLevel="0" collapsed="false">
      <c r="A758" s="36" t="s">
        <v>2024</v>
      </c>
    </row>
    <row r="759" customFormat="false" ht="15" hidden="false" customHeight="false" outlineLevel="0" collapsed="false">
      <c r="A759" s="36" t="s">
        <v>1511</v>
      </c>
    </row>
    <row r="760" customFormat="false" ht="15" hidden="false" customHeight="false" outlineLevel="0" collapsed="false">
      <c r="A760" s="36" t="s">
        <v>1512</v>
      </c>
    </row>
    <row r="761" customFormat="false" ht="15" hidden="false" customHeight="false" outlineLevel="0" collapsed="false">
      <c r="A761" s="36" t="s">
        <v>1513</v>
      </c>
    </row>
    <row r="762" customFormat="false" ht="15" hidden="false" customHeight="false" outlineLevel="0" collapsed="false">
      <c r="A762" s="36" t="s">
        <v>1514</v>
      </c>
    </row>
    <row r="763" customFormat="false" ht="15" hidden="false" customHeight="false" outlineLevel="0" collapsed="false">
      <c r="A763" s="36" t="s">
        <v>1515</v>
      </c>
    </row>
    <row r="764" customFormat="false" ht="15" hidden="false" customHeight="false" outlineLevel="0" collapsed="false">
      <c r="A764" s="36" t="s">
        <v>1516</v>
      </c>
    </row>
    <row r="765" customFormat="false" ht="15" hidden="false" customHeight="false" outlineLevel="0" collapsed="false">
      <c r="A765" s="36" t="s">
        <v>2025</v>
      </c>
    </row>
    <row r="766" customFormat="false" ht="15" hidden="false" customHeight="false" outlineLevel="0" collapsed="false">
      <c r="A766" s="36" t="s">
        <v>2026</v>
      </c>
    </row>
    <row r="767" customFormat="false" ht="15" hidden="false" customHeight="false" outlineLevel="0" collapsed="false">
      <c r="A767" s="36" t="s">
        <v>2027</v>
      </c>
    </row>
    <row r="768" customFormat="false" ht="15" hidden="false" customHeight="false" outlineLevel="0" collapsed="false">
      <c r="A768" s="36" t="s">
        <v>2028</v>
      </c>
    </row>
    <row r="769" customFormat="false" ht="15" hidden="false" customHeight="false" outlineLevel="0" collapsed="false">
      <c r="A769" s="36" t="s">
        <v>2029</v>
      </c>
    </row>
    <row r="770" customFormat="false" ht="15" hidden="false" customHeight="false" outlineLevel="0" collapsed="false">
      <c r="A770" s="36" t="s">
        <v>2030</v>
      </c>
    </row>
    <row r="771" customFormat="false" ht="15" hidden="false" customHeight="false" outlineLevel="0" collapsed="false">
      <c r="A771" s="36" t="s">
        <v>2031</v>
      </c>
    </row>
    <row r="772" customFormat="false" ht="15" hidden="false" customHeight="false" outlineLevel="0" collapsed="false">
      <c r="A772" s="36" t="s">
        <v>2032</v>
      </c>
    </row>
    <row r="773" customFormat="false" ht="15" hidden="false" customHeight="false" outlineLevel="0" collapsed="false">
      <c r="A773" s="36" t="s">
        <v>2033</v>
      </c>
    </row>
    <row r="774" customFormat="false" ht="15" hidden="false" customHeight="false" outlineLevel="0" collapsed="false">
      <c r="A774" s="36" t="s">
        <v>2034</v>
      </c>
    </row>
    <row r="775" customFormat="false" ht="15" hidden="false" customHeight="false" outlineLevel="0" collapsed="false">
      <c r="A775" s="36" t="s">
        <v>2035</v>
      </c>
    </row>
    <row r="776" customFormat="false" ht="15" hidden="false" customHeight="false" outlineLevel="0" collapsed="false">
      <c r="A776" s="36" t="s">
        <v>2036</v>
      </c>
    </row>
    <row r="777" customFormat="false" ht="15" hidden="false" customHeight="false" outlineLevel="0" collapsed="false">
      <c r="A777" s="36" t="s">
        <v>2037</v>
      </c>
    </row>
    <row r="778" customFormat="false" ht="15" hidden="false" customHeight="false" outlineLevel="0" collapsed="false">
      <c r="A778" s="36" t="s">
        <v>2038</v>
      </c>
    </row>
    <row r="779" customFormat="false" ht="15" hidden="false" customHeight="false" outlineLevel="0" collapsed="false">
      <c r="A779" s="36" t="s">
        <v>2039</v>
      </c>
    </row>
    <row r="780" customFormat="false" ht="15" hidden="false" customHeight="false" outlineLevel="0" collapsed="false">
      <c r="A780" s="36"/>
    </row>
    <row r="781" customFormat="false" ht="15" hidden="false" customHeight="false" outlineLevel="0" collapsed="false">
      <c r="A781" s="36" t="s">
        <v>2040</v>
      </c>
    </row>
    <row r="782" customFormat="false" ht="15" hidden="false" customHeight="false" outlineLevel="0" collapsed="false">
      <c r="A782" s="36" t="s">
        <v>2041</v>
      </c>
    </row>
    <row r="783" customFormat="false" ht="15" hidden="false" customHeight="false" outlineLevel="0" collapsed="false">
      <c r="A783" s="36" t="s">
        <v>2042</v>
      </c>
    </row>
    <row r="784" customFormat="false" ht="15" hidden="false" customHeight="false" outlineLevel="0" collapsed="false">
      <c r="A784" s="36" t="s">
        <v>2043</v>
      </c>
    </row>
    <row r="785" customFormat="false" ht="15" hidden="false" customHeight="false" outlineLevel="0" collapsed="false">
      <c r="A785" s="36" t="s">
        <v>2044</v>
      </c>
    </row>
    <row r="786" customFormat="false" ht="15" hidden="false" customHeight="false" outlineLevel="0" collapsed="false">
      <c r="A786" s="36" t="s">
        <v>2045</v>
      </c>
    </row>
    <row r="787" customFormat="false" ht="15" hidden="false" customHeight="false" outlineLevel="0" collapsed="false">
      <c r="A787" s="36" t="s">
        <v>2046</v>
      </c>
    </row>
    <row r="788" customFormat="false" ht="15" hidden="false" customHeight="false" outlineLevel="0" collapsed="false">
      <c r="A788" s="36" t="s">
        <v>2047</v>
      </c>
    </row>
    <row r="789" customFormat="false" ht="15" hidden="false" customHeight="false" outlineLevel="0" collapsed="false">
      <c r="A789" s="36" t="s">
        <v>2048</v>
      </c>
    </row>
    <row r="790" customFormat="false" ht="15" hidden="false" customHeight="false" outlineLevel="0" collapsed="false">
      <c r="A790" s="36" t="s">
        <v>2049</v>
      </c>
    </row>
    <row r="791" customFormat="false" ht="15" hidden="false" customHeight="false" outlineLevel="0" collapsed="false">
      <c r="A791" s="36" t="s">
        <v>2050</v>
      </c>
    </row>
    <row r="792" customFormat="false" ht="15" hidden="false" customHeight="false" outlineLevel="0" collapsed="false">
      <c r="A792" s="36" t="s">
        <v>2051</v>
      </c>
    </row>
    <row r="793" customFormat="false" ht="15" hidden="false" customHeight="false" outlineLevel="0" collapsed="false">
      <c r="A793" s="36" t="s">
        <v>2052</v>
      </c>
    </row>
    <row r="794" customFormat="false" ht="15" hidden="false" customHeight="false" outlineLevel="0" collapsed="false">
      <c r="A794" s="36" t="s">
        <v>2053</v>
      </c>
    </row>
    <row r="795" customFormat="false" ht="15" hidden="false" customHeight="false" outlineLevel="0" collapsed="false">
      <c r="A795" s="36" t="s">
        <v>2054</v>
      </c>
    </row>
    <row r="796" customFormat="false" ht="15" hidden="false" customHeight="false" outlineLevel="0" collapsed="false">
      <c r="A796" s="36" t="s">
        <v>2055</v>
      </c>
    </row>
    <row r="797" customFormat="false" ht="15" hidden="false" customHeight="false" outlineLevel="0" collapsed="false">
      <c r="A797" s="36" t="s">
        <v>2056</v>
      </c>
    </row>
    <row r="798" customFormat="false" ht="15" hidden="false" customHeight="false" outlineLevel="0" collapsed="false">
      <c r="A798" s="36" t="s">
        <v>2057</v>
      </c>
    </row>
    <row r="799" customFormat="false" ht="15" hidden="false" customHeight="false" outlineLevel="0" collapsed="false">
      <c r="A799" s="36" t="s">
        <v>2058</v>
      </c>
    </row>
    <row r="800" customFormat="false" ht="15" hidden="false" customHeight="false" outlineLevel="0" collapsed="false">
      <c r="A800" s="36" t="s">
        <v>2059</v>
      </c>
    </row>
    <row r="801" customFormat="false" ht="15" hidden="false" customHeight="false" outlineLevel="0" collapsed="false">
      <c r="A801" s="36" t="s">
        <v>2060</v>
      </c>
    </row>
    <row r="802" customFormat="false" ht="15" hidden="false" customHeight="false" outlineLevel="0" collapsed="false">
      <c r="A802" s="36" t="s">
        <v>2061</v>
      </c>
    </row>
    <row r="803" customFormat="false" ht="15" hidden="false" customHeight="false" outlineLevel="0" collapsed="false">
      <c r="A803" s="36" t="s">
        <v>2062</v>
      </c>
    </row>
    <row r="804" customFormat="false" ht="15" hidden="false" customHeight="false" outlineLevel="0" collapsed="false">
      <c r="A804" s="36" t="s">
        <v>2063</v>
      </c>
    </row>
    <row r="805" customFormat="false" ht="15" hidden="false" customHeight="false" outlineLevel="0" collapsed="false">
      <c r="A805" s="36" t="s">
        <v>2064</v>
      </c>
    </row>
    <row r="806" customFormat="false" ht="15" hidden="false" customHeight="false" outlineLevel="0" collapsed="false">
      <c r="A806" s="36" t="s">
        <v>2065</v>
      </c>
    </row>
    <row r="807" customFormat="false" ht="15" hidden="false" customHeight="false" outlineLevel="0" collapsed="false">
      <c r="A807" s="36" t="s">
        <v>2066</v>
      </c>
    </row>
    <row r="808" customFormat="false" ht="15" hidden="false" customHeight="false" outlineLevel="0" collapsed="false">
      <c r="A808" s="36" t="s">
        <v>2067</v>
      </c>
    </row>
    <row r="809" customFormat="false" ht="15" hidden="false" customHeight="false" outlineLevel="0" collapsed="false">
      <c r="A809" s="36" t="s">
        <v>2068</v>
      </c>
    </row>
    <row r="810" customFormat="false" ht="15" hidden="false" customHeight="false" outlineLevel="0" collapsed="false">
      <c r="A810" s="36" t="s">
        <v>2069</v>
      </c>
    </row>
    <row r="811" customFormat="false" ht="15" hidden="false" customHeight="false" outlineLevel="0" collapsed="false">
      <c r="A811" s="36" t="s">
        <v>2070</v>
      </c>
    </row>
    <row r="812" customFormat="false" ht="15" hidden="false" customHeight="false" outlineLevel="0" collapsed="false">
      <c r="A812" s="36" t="s">
        <v>2071</v>
      </c>
    </row>
    <row r="813" customFormat="false" ht="15" hidden="false" customHeight="false" outlineLevel="0" collapsed="false">
      <c r="A813" s="36" t="s">
        <v>2072</v>
      </c>
    </row>
    <row r="814" customFormat="false" ht="15" hidden="false" customHeight="false" outlineLevel="0" collapsed="false">
      <c r="A814" s="36" t="s">
        <v>2073</v>
      </c>
    </row>
    <row r="815" customFormat="false" ht="15" hidden="false" customHeight="false" outlineLevel="0" collapsed="false">
      <c r="A815" s="36" t="s">
        <v>2074</v>
      </c>
    </row>
    <row r="816" customFormat="false" ht="15" hidden="false" customHeight="false" outlineLevel="0" collapsed="false">
      <c r="A816" s="36" t="s">
        <v>2075</v>
      </c>
    </row>
  </sheetData>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120"/>
  </cols>
  <sheetData>
    <row r="1" customFormat="false" ht="15" hidden="false" customHeight="false" outlineLevel="0" collapsed="false">
      <c r="A1" s="5" t="s">
        <v>2076</v>
      </c>
      <c r="C1" s="19" t="s">
        <v>78</v>
      </c>
    </row>
    <row r="3" customFormat="false" ht="15" hidden="false" customHeight="false" outlineLevel="0" collapsed="false">
      <c r="A3" s="9" t="s">
        <v>2077</v>
      </c>
      <c r="B3" s="10" t="s">
        <v>2078</v>
      </c>
      <c r="C3" s="9" t="s">
        <v>2079</v>
      </c>
    </row>
    <row r="4" customFormat="false" ht="180" hidden="false" customHeight="true" outlineLevel="0" collapsed="false">
      <c r="A4" s="11" t="s">
        <v>2080</v>
      </c>
      <c r="B4" s="21" t="s">
        <v>2081</v>
      </c>
      <c r="C4" s="37" t="s">
        <v>2082</v>
      </c>
    </row>
    <row r="5" customFormat="false" ht="135" hidden="false" customHeight="true" outlineLevel="0" collapsed="false">
      <c r="A5" s="11" t="s">
        <v>2083</v>
      </c>
      <c r="B5" s="21" t="s">
        <v>2084</v>
      </c>
      <c r="C5" s="37" t="s">
        <v>2085</v>
      </c>
    </row>
    <row r="6" customFormat="false" ht="165" hidden="false" customHeight="true" outlineLevel="0" collapsed="false">
      <c r="A6" s="11" t="s">
        <v>2086</v>
      </c>
      <c r="B6" s="21" t="s">
        <v>725</v>
      </c>
      <c r="C6" s="37" t="s">
        <v>2087</v>
      </c>
    </row>
    <row r="7" customFormat="false" ht="75" hidden="false" customHeight="true" outlineLevel="0" collapsed="false">
      <c r="A7" s="11" t="s">
        <v>2088</v>
      </c>
      <c r="B7" s="21" t="s">
        <v>2089</v>
      </c>
      <c r="C7" s="37" t="s">
        <v>2090</v>
      </c>
    </row>
  </sheetData>
  <autoFilter ref="A3:C7"/>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6"/>
    <col collapsed="false" customWidth="true" hidden="false" outlineLevel="0" max="3" min="3" style="0" width="22"/>
    <col collapsed="false" customWidth="true" hidden="false" outlineLevel="0" max="4" min="4" style="0" width="50"/>
  </cols>
  <sheetData>
    <row r="1" customFormat="false" ht="15" hidden="false" customHeight="false" outlineLevel="0" collapsed="false">
      <c r="A1" s="5" t="s">
        <v>59</v>
      </c>
      <c r="D1" s="19" t="s">
        <v>78</v>
      </c>
    </row>
    <row r="2" customFormat="false" ht="15" hidden="false" customHeight="false" outlineLevel="0" collapsed="false">
      <c r="A2" s="35" t="s">
        <v>2091</v>
      </c>
    </row>
    <row r="3" customFormat="false" ht="15" hidden="false" customHeight="false" outlineLevel="0" collapsed="false">
      <c r="A3" s="10" t="s">
        <v>2092</v>
      </c>
      <c r="B3" s="10" t="s">
        <v>2093</v>
      </c>
      <c r="C3" s="10" t="s">
        <v>2094</v>
      </c>
      <c r="D3" s="10" t="s">
        <v>1001</v>
      </c>
    </row>
    <row r="4" customFormat="false" ht="15" hidden="false" customHeight="false" outlineLevel="0" collapsed="false">
      <c r="A4" s="20" t="s">
        <v>1060</v>
      </c>
      <c r="B4" s="22" t="s">
        <v>2095</v>
      </c>
      <c r="C4" s="21" t="s">
        <v>2096</v>
      </c>
      <c r="D4" s="22"/>
    </row>
    <row r="5" customFormat="false" ht="15" hidden="false" customHeight="false" outlineLevel="0" collapsed="false">
      <c r="A5" s="20" t="s">
        <v>1060</v>
      </c>
      <c r="B5" s="22" t="s">
        <v>2097</v>
      </c>
      <c r="C5" s="21" t="s">
        <v>2098</v>
      </c>
      <c r="D5" s="22"/>
    </row>
    <row r="6" customFormat="false" ht="15" hidden="false" customHeight="false" outlineLevel="0" collapsed="false">
      <c r="A6" s="20" t="s">
        <v>1060</v>
      </c>
      <c r="B6" s="22" t="s">
        <v>2099</v>
      </c>
      <c r="C6" s="21" t="s">
        <v>2100</v>
      </c>
      <c r="D6" s="22"/>
    </row>
    <row r="7" customFormat="false" ht="15" hidden="false" customHeight="false" outlineLevel="0" collapsed="false">
      <c r="A7" s="20" t="s">
        <v>1060</v>
      </c>
      <c r="B7" s="22" t="s">
        <v>2101</v>
      </c>
      <c r="C7" s="21" t="s">
        <v>2102</v>
      </c>
      <c r="D7" s="22"/>
    </row>
    <row r="8" customFormat="false" ht="15" hidden="false" customHeight="false" outlineLevel="0" collapsed="false">
      <c r="A8" s="20" t="s">
        <v>1060</v>
      </c>
      <c r="B8" s="22" t="s">
        <v>2103</v>
      </c>
      <c r="C8" s="21" t="s">
        <v>2104</v>
      </c>
      <c r="D8" s="22"/>
    </row>
    <row r="9" customFormat="false" ht="15" hidden="false" customHeight="false" outlineLevel="0" collapsed="false">
      <c r="A9" s="20" t="s">
        <v>1060</v>
      </c>
      <c r="B9" s="22" t="s">
        <v>2105</v>
      </c>
      <c r="C9" s="21" t="s">
        <v>2106</v>
      </c>
      <c r="D9" s="22"/>
    </row>
    <row r="10" customFormat="false" ht="15" hidden="false" customHeight="false" outlineLevel="0" collapsed="false">
      <c r="A10" s="20" t="s">
        <v>1063</v>
      </c>
      <c r="B10" s="22" t="s">
        <v>2107</v>
      </c>
      <c r="C10" s="21" t="s">
        <v>2108</v>
      </c>
      <c r="D10" s="22"/>
    </row>
    <row r="11" customFormat="false" ht="15" hidden="false" customHeight="false" outlineLevel="0" collapsed="false">
      <c r="A11" s="20" t="s">
        <v>1063</v>
      </c>
      <c r="B11" s="22" t="s">
        <v>2109</v>
      </c>
      <c r="C11" s="21" t="s">
        <v>2110</v>
      </c>
      <c r="D11" s="22"/>
    </row>
    <row r="12" customFormat="false" ht="15" hidden="false" customHeight="false" outlineLevel="0" collapsed="false">
      <c r="A12" s="20" t="s">
        <v>1063</v>
      </c>
      <c r="B12" s="22" t="s">
        <v>2111</v>
      </c>
      <c r="C12" s="21" t="s">
        <v>2112</v>
      </c>
      <c r="D12" s="22"/>
    </row>
    <row r="13" customFormat="false" ht="15" hidden="false" customHeight="false" outlineLevel="0" collapsed="false">
      <c r="A13" s="20" t="s">
        <v>1151</v>
      </c>
      <c r="B13" s="22" t="s">
        <v>605</v>
      </c>
      <c r="C13" s="21" t="s">
        <v>2113</v>
      </c>
      <c r="D13" s="22"/>
    </row>
    <row r="14" customFormat="false" ht="15" hidden="false" customHeight="false" outlineLevel="0" collapsed="false">
      <c r="A14" s="20" t="s">
        <v>1151</v>
      </c>
      <c r="B14" s="22" t="s">
        <v>898</v>
      </c>
      <c r="C14" s="21" t="s">
        <v>123</v>
      </c>
      <c r="D14" s="22"/>
    </row>
    <row r="15" customFormat="false" ht="15" hidden="false" customHeight="false" outlineLevel="0" collapsed="false">
      <c r="A15" s="20" t="s">
        <v>1151</v>
      </c>
      <c r="B15" s="22" t="s">
        <v>863</v>
      </c>
      <c r="C15" s="21" t="s">
        <v>129</v>
      </c>
      <c r="D15" s="22"/>
    </row>
    <row r="16" customFormat="false" ht="15" hidden="false" customHeight="false" outlineLevel="0" collapsed="false">
      <c r="A16" s="20" t="s">
        <v>1151</v>
      </c>
      <c r="B16" s="22" t="s">
        <v>906</v>
      </c>
      <c r="C16" s="21" t="s">
        <v>148</v>
      </c>
      <c r="D16" s="22"/>
    </row>
    <row r="17" customFormat="false" ht="15" hidden="false" customHeight="false" outlineLevel="0" collapsed="false">
      <c r="A17" s="20" t="s">
        <v>1151</v>
      </c>
      <c r="B17" s="22" t="s">
        <v>655</v>
      </c>
      <c r="C17" s="21" t="s">
        <v>2114</v>
      </c>
      <c r="D17" s="22"/>
    </row>
    <row r="18" customFormat="false" ht="15" hidden="false" customHeight="false" outlineLevel="0" collapsed="false">
      <c r="A18" s="20" t="s">
        <v>1151</v>
      </c>
      <c r="B18" s="22" t="s">
        <v>2115</v>
      </c>
      <c r="C18" s="21" t="s">
        <v>2116</v>
      </c>
      <c r="D18" s="22"/>
    </row>
    <row r="19" customFormat="false" ht="15" hidden="false" customHeight="false" outlineLevel="0" collapsed="false">
      <c r="A19" s="20" t="s">
        <v>1105</v>
      </c>
      <c r="B19" s="22" t="s">
        <v>2117</v>
      </c>
      <c r="C19" s="21" t="s">
        <v>2118</v>
      </c>
      <c r="D19" s="21" t="s">
        <v>2119</v>
      </c>
    </row>
    <row r="20" customFormat="false" ht="15" hidden="false" customHeight="false" outlineLevel="0" collapsed="false">
      <c r="A20" s="20" t="s">
        <v>1105</v>
      </c>
      <c r="B20" s="22" t="s">
        <v>2120</v>
      </c>
      <c r="C20" s="21" t="s">
        <v>2121</v>
      </c>
      <c r="D20" s="22"/>
    </row>
    <row r="21" customFormat="false" ht="15" hidden="false" customHeight="false" outlineLevel="0" collapsed="false">
      <c r="A21" s="20" t="s">
        <v>1105</v>
      </c>
      <c r="B21" s="22" t="s">
        <v>2122</v>
      </c>
      <c r="C21" s="21" t="s">
        <v>2123</v>
      </c>
      <c r="D21" s="21" t="s">
        <v>2124</v>
      </c>
    </row>
    <row r="22" customFormat="false" ht="15" hidden="false" customHeight="false" outlineLevel="0" collapsed="false">
      <c r="A22" s="20" t="s">
        <v>1105</v>
      </c>
      <c r="B22" s="22" t="s">
        <v>2125</v>
      </c>
      <c r="C22" s="21" t="s">
        <v>2126</v>
      </c>
      <c r="D22" s="22"/>
    </row>
    <row r="23" customFormat="false" ht="15" hidden="false" customHeight="false" outlineLevel="0" collapsed="false">
      <c r="A23" s="20" t="s">
        <v>1105</v>
      </c>
      <c r="B23" s="22" t="s">
        <v>2105</v>
      </c>
      <c r="C23" s="21" t="s">
        <v>2106</v>
      </c>
      <c r="D23" s="22"/>
    </row>
    <row r="24" customFormat="false" ht="15" hidden="false" customHeight="false" outlineLevel="0" collapsed="false">
      <c r="A24" s="20" t="s">
        <v>1088</v>
      </c>
      <c r="B24" s="22" t="s">
        <v>2127</v>
      </c>
      <c r="C24" s="21" t="s">
        <v>2128</v>
      </c>
      <c r="D24" s="22"/>
    </row>
    <row r="25" customFormat="false" ht="15" hidden="false" customHeight="false" outlineLevel="0" collapsed="false">
      <c r="A25" s="20" t="s">
        <v>1088</v>
      </c>
      <c r="B25" s="22" t="s">
        <v>2129</v>
      </c>
      <c r="C25" s="21" t="s">
        <v>2130</v>
      </c>
      <c r="D25" s="21" t="s">
        <v>2131</v>
      </c>
    </row>
    <row r="26" customFormat="false" ht="15" hidden="false" customHeight="false" outlineLevel="0" collapsed="false">
      <c r="A26" s="20" t="s">
        <v>1088</v>
      </c>
      <c r="B26" s="22" t="s">
        <v>2132</v>
      </c>
      <c r="C26" s="21" t="s">
        <v>2133</v>
      </c>
      <c r="D26" s="21" t="s">
        <v>2134</v>
      </c>
    </row>
    <row r="27" customFormat="false" ht="15" hidden="false" customHeight="false" outlineLevel="0" collapsed="false">
      <c r="A27" s="20" t="s">
        <v>1088</v>
      </c>
      <c r="B27" s="22" t="s">
        <v>2105</v>
      </c>
      <c r="C27" s="21" t="s">
        <v>2106</v>
      </c>
      <c r="D27" s="22"/>
    </row>
    <row r="28" customFormat="false" ht="15" hidden="false" customHeight="false" outlineLevel="0" collapsed="false">
      <c r="A28" s="20" t="s">
        <v>1078</v>
      </c>
      <c r="B28" s="22" t="s">
        <v>2135</v>
      </c>
      <c r="C28" s="22" t="s">
        <v>2136</v>
      </c>
      <c r="D28" s="21" t="s">
        <v>2137</v>
      </c>
    </row>
    <row r="29" customFormat="false" ht="15" hidden="false" customHeight="false" outlineLevel="0" collapsed="false">
      <c r="A29" s="20" t="s">
        <v>1078</v>
      </c>
      <c r="B29" s="22" t="s">
        <v>2138</v>
      </c>
      <c r="C29" s="22" t="s">
        <v>2139</v>
      </c>
      <c r="D29" s="21" t="s">
        <v>2140</v>
      </c>
    </row>
    <row r="30" customFormat="false" ht="15" hidden="false" customHeight="false" outlineLevel="0" collapsed="false">
      <c r="A30" s="20" t="s">
        <v>1078</v>
      </c>
      <c r="B30" s="22" t="s">
        <v>2141</v>
      </c>
      <c r="C30" s="22" t="s">
        <v>2142</v>
      </c>
      <c r="D30" s="21" t="s">
        <v>2143</v>
      </c>
    </row>
    <row r="31" customFormat="false" ht="15" hidden="false" customHeight="false" outlineLevel="0" collapsed="false">
      <c r="A31" s="20" t="s">
        <v>1078</v>
      </c>
      <c r="B31" s="22" t="s">
        <v>2144</v>
      </c>
      <c r="C31" s="21" t="s">
        <v>2145</v>
      </c>
      <c r="D31" s="21" t="s">
        <v>2146</v>
      </c>
    </row>
    <row r="32" customFormat="false" ht="15" hidden="false" customHeight="false" outlineLevel="0" collapsed="false">
      <c r="A32" s="20" t="s">
        <v>1230</v>
      </c>
      <c r="B32" s="22" t="s">
        <v>1231</v>
      </c>
      <c r="C32" s="21" t="s">
        <v>2147</v>
      </c>
      <c r="D32" s="21" t="s">
        <v>2148</v>
      </c>
    </row>
    <row r="33" customFormat="false" ht="15" hidden="false" customHeight="false" outlineLevel="0" collapsed="false">
      <c r="A33" s="20" t="s">
        <v>1230</v>
      </c>
      <c r="B33" s="22" t="s">
        <v>2149</v>
      </c>
      <c r="C33" s="21" t="s">
        <v>2150</v>
      </c>
      <c r="D33" s="21" t="s">
        <v>2151</v>
      </c>
    </row>
    <row r="34" customFormat="false" ht="15" hidden="false" customHeight="false" outlineLevel="0" collapsed="false">
      <c r="A34" s="20" t="s">
        <v>1230</v>
      </c>
      <c r="B34" s="22" t="s">
        <v>2152</v>
      </c>
      <c r="C34" s="21" t="s">
        <v>870</v>
      </c>
      <c r="D34" s="21" t="s">
        <v>2148</v>
      </c>
    </row>
    <row r="35" customFormat="false" ht="15" hidden="false" customHeight="false" outlineLevel="0" collapsed="false">
      <c r="A35" s="20" t="s">
        <v>1230</v>
      </c>
      <c r="B35" s="22" t="s">
        <v>2153</v>
      </c>
      <c r="C35" s="21" t="s">
        <v>2154</v>
      </c>
      <c r="D35" s="21" t="s">
        <v>2148</v>
      </c>
    </row>
    <row r="36" customFormat="false" ht="15" hidden="false" customHeight="false" outlineLevel="0" collapsed="false">
      <c r="A36" s="20" t="s">
        <v>1230</v>
      </c>
      <c r="B36" s="22" t="s">
        <v>2155</v>
      </c>
      <c r="C36" s="21" t="s">
        <v>843</v>
      </c>
      <c r="D36" s="21" t="s">
        <v>2156</v>
      </c>
    </row>
    <row r="37" customFormat="false" ht="15" hidden="false" customHeight="false" outlineLevel="0" collapsed="false">
      <c r="A37" s="20" t="s">
        <v>1230</v>
      </c>
      <c r="B37" s="22" t="s">
        <v>2157</v>
      </c>
      <c r="C37" s="21" t="s">
        <v>2158</v>
      </c>
      <c r="D37" s="21" t="s">
        <v>2148</v>
      </c>
    </row>
    <row r="38" customFormat="false" ht="15" hidden="false" customHeight="false" outlineLevel="0" collapsed="false">
      <c r="A38" s="20" t="s">
        <v>1253</v>
      </c>
      <c r="B38" s="22" t="s">
        <v>2159</v>
      </c>
      <c r="C38" s="21" t="s">
        <v>948</v>
      </c>
      <c r="D38" s="21" t="s">
        <v>2160</v>
      </c>
    </row>
    <row r="39" customFormat="false" ht="15" hidden="false" customHeight="false" outlineLevel="0" collapsed="false">
      <c r="A39" s="20" t="s">
        <v>1253</v>
      </c>
      <c r="B39" s="22" t="s">
        <v>2161</v>
      </c>
      <c r="C39" s="21" t="s">
        <v>907</v>
      </c>
      <c r="D39" s="22" t="s">
        <v>2162</v>
      </c>
    </row>
    <row r="40" customFormat="false" ht="15" hidden="false" customHeight="false" outlineLevel="0" collapsed="false">
      <c r="A40" s="20" t="s">
        <v>1253</v>
      </c>
      <c r="B40" s="22" t="s">
        <v>2163</v>
      </c>
      <c r="C40" s="21" t="s">
        <v>2164</v>
      </c>
      <c r="D40" s="22" t="s">
        <v>2162</v>
      </c>
    </row>
    <row r="41" customFormat="false" ht="15" hidden="false" customHeight="false" outlineLevel="0" collapsed="false">
      <c r="A41" s="20" t="s">
        <v>1253</v>
      </c>
      <c r="B41" s="22" t="s">
        <v>2165</v>
      </c>
      <c r="C41" s="21" t="s">
        <v>2166</v>
      </c>
      <c r="D41" s="21" t="s">
        <v>2160</v>
      </c>
    </row>
    <row r="42" customFormat="false" ht="15" hidden="false" customHeight="false" outlineLevel="0" collapsed="false">
      <c r="A42" s="20" t="s">
        <v>1253</v>
      </c>
      <c r="B42" s="22" t="s">
        <v>2167</v>
      </c>
      <c r="C42" s="21" t="s">
        <v>2168</v>
      </c>
      <c r="D42" s="22" t="s">
        <v>2169</v>
      </c>
    </row>
    <row r="43" customFormat="false" ht="15" hidden="false" customHeight="false" outlineLevel="0" collapsed="false">
      <c r="A43" s="20" t="s">
        <v>1253</v>
      </c>
      <c r="B43" s="22" t="s">
        <v>2170</v>
      </c>
      <c r="C43" s="21" t="s">
        <v>2171</v>
      </c>
      <c r="D43" s="21" t="s">
        <v>2172</v>
      </c>
    </row>
    <row r="44" customFormat="false" ht="15" hidden="false" customHeight="false" outlineLevel="0" collapsed="false">
      <c r="A44" s="20" t="s">
        <v>1253</v>
      </c>
      <c r="B44" s="22" t="s">
        <v>2173</v>
      </c>
      <c r="C44" s="21" t="s">
        <v>2174</v>
      </c>
      <c r="D44" s="21" t="s">
        <v>2160</v>
      </c>
    </row>
    <row r="45" customFormat="false" ht="15" hidden="false" customHeight="false" outlineLevel="0" collapsed="false">
      <c r="A45" s="20" t="s">
        <v>1253</v>
      </c>
      <c r="B45" s="22" t="s">
        <v>2175</v>
      </c>
      <c r="C45" s="21" t="s">
        <v>2176</v>
      </c>
      <c r="D45" s="21" t="s">
        <v>2177</v>
      </c>
    </row>
  </sheetData>
  <autoFilter ref="A3:D45"/>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8" min="3" style="0" width="11"/>
  </cols>
  <sheetData>
    <row r="1" customFormat="false" ht="15" hidden="false" customHeight="false" outlineLevel="0" collapsed="false">
      <c r="A1" s="5" t="s">
        <v>61</v>
      </c>
      <c r="H1" s="19" t="s">
        <v>78</v>
      </c>
    </row>
    <row r="2" customFormat="false" ht="15" hidden="false" customHeight="false" outlineLevel="0" collapsed="false">
      <c r="A2" s="35" t="s">
        <v>2178</v>
      </c>
    </row>
    <row r="3" customFormat="false" ht="30" hidden="false" customHeight="true" outlineLevel="0" collapsed="false">
      <c r="A3" s="10" t="s">
        <v>180</v>
      </c>
      <c r="B3" s="10" t="s">
        <v>182</v>
      </c>
      <c r="C3" s="10" t="s">
        <v>2179</v>
      </c>
      <c r="D3" s="10" t="s">
        <v>2180</v>
      </c>
      <c r="E3" s="10" t="s">
        <v>2181</v>
      </c>
      <c r="F3" s="10" t="s">
        <v>2182</v>
      </c>
      <c r="G3" s="10" t="s">
        <v>2183</v>
      </c>
      <c r="H3" s="10" t="s">
        <v>2184</v>
      </c>
    </row>
    <row r="4" customFormat="false" ht="15" hidden="false" customHeight="false" outlineLevel="0" collapsed="false">
      <c r="A4" s="11" t="s">
        <v>186</v>
      </c>
      <c r="B4" s="21" t="s">
        <v>188</v>
      </c>
      <c r="C4" s="38" t="s">
        <v>2185</v>
      </c>
      <c r="D4" s="11" t="s">
        <v>2186</v>
      </c>
      <c r="E4" s="11" t="s">
        <v>2186</v>
      </c>
      <c r="F4" s="11" t="s">
        <v>2186</v>
      </c>
      <c r="G4" s="11" t="s">
        <v>2186</v>
      </c>
      <c r="H4" s="11" t="s">
        <v>2186</v>
      </c>
    </row>
    <row r="5" customFormat="false" ht="15" hidden="false" customHeight="false" outlineLevel="0" collapsed="false">
      <c r="A5" s="11" t="s">
        <v>192</v>
      </c>
      <c r="B5" s="21" t="s">
        <v>193</v>
      </c>
      <c r="C5" s="38" t="s">
        <v>2185</v>
      </c>
      <c r="D5" s="38" t="s">
        <v>2185</v>
      </c>
      <c r="E5" s="11" t="s">
        <v>2186</v>
      </c>
      <c r="F5" s="11" t="s">
        <v>2186</v>
      </c>
      <c r="G5" s="11" t="s">
        <v>2186</v>
      </c>
      <c r="H5" s="11" t="s">
        <v>2186</v>
      </c>
    </row>
    <row r="6" customFormat="false" ht="15" hidden="false" customHeight="false" outlineLevel="0" collapsed="false">
      <c r="A6" s="11" t="s">
        <v>196</v>
      </c>
      <c r="B6" s="21" t="s">
        <v>197</v>
      </c>
      <c r="C6" s="38" t="s">
        <v>2185</v>
      </c>
      <c r="D6" s="11" t="s">
        <v>2186</v>
      </c>
      <c r="E6" s="11" t="s">
        <v>2186</v>
      </c>
      <c r="F6" s="38" t="s">
        <v>2185</v>
      </c>
      <c r="G6" s="11" t="s">
        <v>2186</v>
      </c>
      <c r="H6" s="11" t="s">
        <v>2186</v>
      </c>
    </row>
    <row r="7" customFormat="false" ht="15" hidden="false" customHeight="false" outlineLevel="0" collapsed="false">
      <c r="A7" s="11" t="s">
        <v>200</v>
      </c>
      <c r="B7" s="21" t="s">
        <v>201</v>
      </c>
      <c r="C7" s="38" t="s">
        <v>2185</v>
      </c>
      <c r="D7" s="11" t="s">
        <v>2186</v>
      </c>
      <c r="E7" s="38" t="s">
        <v>2185</v>
      </c>
      <c r="F7" s="11" t="s">
        <v>2186</v>
      </c>
      <c r="G7" s="11" t="s">
        <v>2186</v>
      </c>
      <c r="H7" s="11" t="s">
        <v>2186</v>
      </c>
    </row>
    <row r="8" customFormat="false" ht="15" hidden="false" customHeight="false" outlineLevel="0" collapsed="false">
      <c r="A8" s="11" t="s">
        <v>204</v>
      </c>
      <c r="B8" s="21" t="s">
        <v>205</v>
      </c>
      <c r="C8" s="38" t="s">
        <v>2185</v>
      </c>
      <c r="D8" s="39" t="s">
        <v>2187</v>
      </c>
      <c r="E8" s="39" t="s">
        <v>2187</v>
      </c>
      <c r="F8" s="39" t="s">
        <v>2187</v>
      </c>
      <c r="G8" s="39" t="s">
        <v>2187</v>
      </c>
      <c r="H8" s="39" t="s">
        <v>2187</v>
      </c>
    </row>
    <row r="9" customFormat="false" ht="15" hidden="false" customHeight="false" outlineLevel="0" collapsed="false">
      <c r="A9" s="11" t="s">
        <v>208</v>
      </c>
      <c r="B9" s="21" t="s">
        <v>209</v>
      </c>
      <c r="C9" s="38" t="s">
        <v>2185</v>
      </c>
      <c r="D9" s="11" t="s">
        <v>2186</v>
      </c>
      <c r="E9" s="11" t="s">
        <v>2186</v>
      </c>
      <c r="F9" s="11" t="s">
        <v>2186</v>
      </c>
      <c r="G9" s="38" t="s">
        <v>2188</v>
      </c>
      <c r="H9" s="39" t="s">
        <v>2187</v>
      </c>
    </row>
    <row r="10" customFormat="false" ht="15" hidden="false" customHeight="false" outlineLevel="0" collapsed="false">
      <c r="A10" s="11" t="s">
        <v>212</v>
      </c>
      <c r="B10" s="21" t="s">
        <v>213</v>
      </c>
      <c r="C10" s="38" t="s">
        <v>2185</v>
      </c>
      <c r="D10" s="38" t="s">
        <v>2185</v>
      </c>
      <c r="E10" s="11" t="s">
        <v>2186</v>
      </c>
      <c r="F10" s="39" t="s">
        <v>2187</v>
      </c>
      <c r="G10" s="11" t="s">
        <v>2186</v>
      </c>
      <c r="H10" s="39" t="s">
        <v>2187</v>
      </c>
    </row>
    <row r="11" customFormat="false" ht="15" hidden="false" customHeight="false" outlineLevel="0" collapsed="false">
      <c r="A11" s="11" t="s">
        <v>217</v>
      </c>
      <c r="B11" s="21" t="s">
        <v>218</v>
      </c>
      <c r="C11" s="38" t="s">
        <v>2188</v>
      </c>
      <c r="D11" s="11" t="s">
        <v>2186</v>
      </c>
      <c r="E11" s="39" t="s">
        <v>2187</v>
      </c>
      <c r="F11" s="39" t="s">
        <v>2187</v>
      </c>
      <c r="G11" s="11" t="s">
        <v>2186</v>
      </c>
      <c r="H11" s="39" t="s">
        <v>2187</v>
      </c>
    </row>
    <row r="12" customFormat="false" ht="15" hidden="false" customHeight="false" outlineLevel="0" collapsed="false">
      <c r="A12" s="11" t="s">
        <v>131</v>
      </c>
      <c r="B12" s="21" t="s">
        <v>128</v>
      </c>
      <c r="C12" s="38" t="s">
        <v>2185</v>
      </c>
      <c r="D12" s="11" t="s">
        <v>2186</v>
      </c>
      <c r="E12" s="38" t="s">
        <v>2185</v>
      </c>
      <c r="F12" s="39" t="s">
        <v>2187</v>
      </c>
      <c r="G12" s="11" t="s">
        <v>2186</v>
      </c>
      <c r="H12" s="11" t="s">
        <v>2186</v>
      </c>
    </row>
    <row r="13" customFormat="false" ht="15" hidden="false" customHeight="false" outlineLevel="0" collapsed="false">
      <c r="A13" s="11" t="s">
        <v>222</v>
      </c>
      <c r="B13" s="21" t="s">
        <v>134</v>
      </c>
      <c r="C13" s="11" t="s">
        <v>2186</v>
      </c>
      <c r="D13" s="11" t="s">
        <v>2186</v>
      </c>
      <c r="E13" s="11" t="s">
        <v>2186</v>
      </c>
      <c r="F13" s="39" t="s">
        <v>2187</v>
      </c>
      <c r="G13" s="38" t="s">
        <v>2188</v>
      </c>
      <c r="H13" s="39" t="s">
        <v>2187</v>
      </c>
    </row>
    <row r="14" customFormat="false" ht="15" hidden="false" customHeight="false" outlineLevel="0" collapsed="false">
      <c r="A14" s="11" t="s">
        <v>225</v>
      </c>
      <c r="B14" s="21" t="s">
        <v>227</v>
      </c>
      <c r="C14" s="11" t="s">
        <v>2186</v>
      </c>
      <c r="D14" s="11" t="s">
        <v>2186</v>
      </c>
      <c r="E14" s="11" t="s">
        <v>2186</v>
      </c>
      <c r="F14" s="11" t="s">
        <v>2186</v>
      </c>
      <c r="G14" s="11" t="s">
        <v>2186</v>
      </c>
      <c r="H14" s="11" t="s">
        <v>2186</v>
      </c>
    </row>
    <row r="15" customFormat="false" ht="15" hidden="false" customHeight="false" outlineLevel="0" collapsed="false">
      <c r="A15" s="11" t="s">
        <v>230</v>
      </c>
      <c r="B15" s="21" t="s">
        <v>231</v>
      </c>
      <c r="C15" s="11" t="s">
        <v>2186</v>
      </c>
      <c r="D15" s="11" t="s">
        <v>2186</v>
      </c>
      <c r="E15" s="11" t="s">
        <v>2186</v>
      </c>
      <c r="F15" s="39" t="s">
        <v>2187</v>
      </c>
      <c r="G15" s="38" t="s">
        <v>2188</v>
      </c>
      <c r="H15" s="39" t="s">
        <v>2187</v>
      </c>
    </row>
    <row r="16" customFormat="false" ht="15" hidden="false" customHeight="false" outlineLevel="0" collapsed="false">
      <c r="A16" s="11" t="s">
        <v>234</v>
      </c>
      <c r="B16" s="21" t="s">
        <v>235</v>
      </c>
      <c r="C16" s="11" t="s">
        <v>2186</v>
      </c>
      <c r="D16" s="11" t="s">
        <v>2186</v>
      </c>
      <c r="E16" s="11" t="s">
        <v>2186</v>
      </c>
      <c r="F16" s="11" t="s">
        <v>2186</v>
      </c>
      <c r="G16" s="11" t="s">
        <v>2186</v>
      </c>
      <c r="H16" s="11" t="s">
        <v>2186</v>
      </c>
    </row>
    <row r="17" customFormat="false" ht="15" hidden="false" customHeight="false" outlineLevel="0" collapsed="false">
      <c r="A17" s="11" t="s">
        <v>238</v>
      </c>
      <c r="B17" s="21" t="s">
        <v>239</v>
      </c>
      <c r="C17" s="38" t="s">
        <v>2185</v>
      </c>
      <c r="D17" s="39" t="s">
        <v>2187</v>
      </c>
      <c r="E17" s="38" t="s">
        <v>2185</v>
      </c>
      <c r="F17" s="39" t="s">
        <v>2187</v>
      </c>
      <c r="G17" s="11" t="s">
        <v>2186</v>
      </c>
      <c r="H17" s="39" t="s">
        <v>2187</v>
      </c>
    </row>
    <row r="18" customFormat="false" ht="15" hidden="false" customHeight="false" outlineLevel="0" collapsed="false">
      <c r="A18" s="11" t="s">
        <v>177</v>
      </c>
      <c r="B18" s="21" t="s">
        <v>242</v>
      </c>
      <c r="C18" s="38" t="s">
        <v>2185</v>
      </c>
      <c r="D18" s="39" t="s">
        <v>2187</v>
      </c>
      <c r="E18" s="38" t="s">
        <v>2185</v>
      </c>
      <c r="F18" s="39" t="s">
        <v>2187</v>
      </c>
      <c r="G18" s="11" t="s">
        <v>2186</v>
      </c>
      <c r="H18" s="39" t="s">
        <v>2187</v>
      </c>
    </row>
    <row r="19" customFormat="false" ht="15" hidden="false" customHeight="false" outlineLevel="0" collapsed="false">
      <c r="A19" s="11" t="s">
        <v>143</v>
      </c>
      <c r="B19" s="21" t="s">
        <v>244</v>
      </c>
      <c r="C19" s="38" t="s">
        <v>2185</v>
      </c>
      <c r="D19" s="39" t="s">
        <v>2187</v>
      </c>
      <c r="E19" s="38" t="s">
        <v>2185</v>
      </c>
      <c r="F19" s="39" t="s">
        <v>2187</v>
      </c>
      <c r="G19" s="38" t="s">
        <v>2185</v>
      </c>
      <c r="H19" s="11" t="s">
        <v>2186</v>
      </c>
    </row>
    <row r="20" customFormat="false" ht="15" hidden="false" customHeight="false" outlineLevel="0" collapsed="false">
      <c r="A20" s="11" t="s">
        <v>247</v>
      </c>
      <c r="B20" s="21" t="s">
        <v>248</v>
      </c>
      <c r="C20" s="11" t="s">
        <v>2186</v>
      </c>
      <c r="D20" s="11" t="s">
        <v>2186</v>
      </c>
      <c r="E20" s="11" t="s">
        <v>2186</v>
      </c>
      <c r="F20" s="11" t="s">
        <v>2186</v>
      </c>
      <c r="G20" s="11" t="s">
        <v>2186</v>
      </c>
      <c r="H20" s="11" t="s">
        <v>2186</v>
      </c>
    </row>
    <row r="21" customFormat="false" ht="15" hidden="false" customHeight="false" outlineLevel="0" collapsed="false">
      <c r="A21" s="11" t="s">
        <v>150</v>
      </c>
      <c r="B21" s="21" t="s">
        <v>251</v>
      </c>
      <c r="C21" s="38" t="s">
        <v>2185</v>
      </c>
      <c r="D21" s="39" t="s">
        <v>2187</v>
      </c>
      <c r="E21" s="39" t="s">
        <v>2187</v>
      </c>
      <c r="F21" s="38" t="s">
        <v>2185</v>
      </c>
      <c r="G21" s="11" t="s">
        <v>2186</v>
      </c>
      <c r="H21" s="11" t="s">
        <v>2186</v>
      </c>
    </row>
    <row r="22" customFormat="false" ht="15" hidden="false" customHeight="false" outlineLevel="0" collapsed="false">
      <c r="A22" s="11" t="s">
        <v>254</v>
      </c>
      <c r="B22" s="21" t="s">
        <v>255</v>
      </c>
      <c r="C22" s="38" t="s">
        <v>2185</v>
      </c>
      <c r="D22" s="39" t="s">
        <v>2187</v>
      </c>
      <c r="E22" s="38" t="s">
        <v>2185</v>
      </c>
      <c r="F22" s="11" t="s">
        <v>2186</v>
      </c>
      <c r="G22" s="11" t="s">
        <v>2186</v>
      </c>
      <c r="H22" s="39" t="s">
        <v>2187</v>
      </c>
    </row>
    <row r="23" customFormat="false" ht="15" hidden="false" customHeight="false" outlineLevel="0" collapsed="false">
      <c r="A23" s="11" t="s">
        <v>258</v>
      </c>
      <c r="B23" s="21" t="s">
        <v>259</v>
      </c>
      <c r="C23" s="38" t="s">
        <v>2185</v>
      </c>
      <c r="D23" s="39" t="s">
        <v>2187</v>
      </c>
      <c r="E23" s="38" t="s">
        <v>2185</v>
      </c>
      <c r="F23" s="11" t="s">
        <v>2186</v>
      </c>
      <c r="G23" s="11" t="s">
        <v>2186</v>
      </c>
      <c r="H23" s="39" t="s">
        <v>2187</v>
      </c>
    </row>
    <row r="24" customFormat="false" ht="15" hidden="false" customHeight="false" outlineLevel="0" collapsed="false">
      <c r="A24" s="11" t="s">
        <v>261</v>
      </c>
      <c r="B24" s="21" t="s">
        <v>262</v>
      </c>
      <c r="C24" s="11" t="s">
        <v>2186</v>
      </c>
      <c r="D24" s="39" t="s">
        <v>2187</v>
      </c>
      <c r="E24" s="11" t="s">
        <v>2186</v>
      </c>
      <c r="F24" s="11" t="s">
        <v>2186</v>
      </c>
      <c r="G24" s="39" t="s">
        <v>2187</v>
      </c>
      <c r="H24" s="39" t="s">
        <v>2187</v>
      </c>
    </row>
    <row r="25" customFormat="false" ht="15" hidden="false" customHeight="false" outlineLevel="0" collapsed="false">
      <c r="A25" s="11" t="s">
        <v>165</v>
      </c>
      <c r="B25" s="21" t="s">
        <v>264</v>
      </c>
      <c r="C25" s="38" t="s">
        <v>2185</v>
      </c>
      <c r="D25" s="39" t="s">
        <v>2187</v>
      </c>
      <c r="E25" s="38" t="s">
        <v>2185</v>
      </c>
      <c r="F25" s="11" t="s">
        <v>2186</v>
      </c>
      <c r="G25" s="38" t="s">
        <v>2188</v>
      </c>
      <c r="H25" s="39" t="s">
        <v>2187</v>
      </c>
    </row>
    <row r="26" customFormat="false" ht="15" hidden="false" customHeight="false" outlineLevel="0" collapsed="false">
      <c r="A26" s="11" t="s">
        <v>267</v>
      </c>
      <c r="B26" s="21" t="s">
        <v>269</v>
      </c>
      <c r="C26" s="11" t="s">
        <v>2186</v>
      </c>
      <c r="D26" s="11" t="s">
        <v>2186</v>
      </c>
      <c r="E26" s="11" t="s">
        <v>2186</v>
      </c>
      <c r="F26" s="11" t="s">
        <v>2186</v>
      </c>
      <c r="G26" s="11" t="s">
        <v>2186</v>
      </c>
      <c r="H26" s="11" t="s">
        <v>2186</v>
      </c>
    </row>
    <row r="27" customFormat="false" ht="15" hidden="false" customHeight="false" outlineLevel="0" collapsed="false">
      <c r="A27" s="11" t="s">
        <v>272</v>
      </c>
      <c r="B27" s="21" t="s">
        <v>273</v>
      </c>
      <c r="C27" s="11" t="s">
        <v>2186</v>
      </c>
      <c r="D27" s="11" t="s">
        <v>2186</v>
      </c>
      <c r="E27" s="11" t="s">
        <v>2186</v>
      </c>
      <c r="F27" s="11" t="s">
        <v>2186</v>
      </c>
      <c r="G27" s="11" t="s">
        <v>2186</v>
      </c>
      <c r="H27" s="11" t="s">
        <v>2186</v>
      </c>
    </row>
    <row r="28" customFormat="false" ht="15" hidden="false" customHeight="false" outlineLevel="0" collapsed="false">
      <c r="A28" s="11" t="s">
        <v>276</v>
      </c>
      <c r="B28" s="21" t="s">
        <v>277</v>
      </c>
      <c r="C28" s="11" t="s">
        <v>2186</v>
      </c>
      <c r="D28" s="39" t="s">
        <v>2187</v>
      </c>
      <c r="E28" s="39" t="s">
        <v>2187</v>
      </c>
      <c r="F28" s="39" t="s">
        <v>2187</v>
      </c>
      <c r="G28" s="38" t="s">
        <v>2185</v>
      </c>
      <c r="H28" s="39" t="s">
        <v>2187</v>
      </c>
    </row>
    <row r="29" customFormat="false" ht="15" hidden="false" customHeight="false" outlineLevel="0" collapsed="false">
      <c r="A29" s="11" t="s">
        <v>280</v>
      </c>
      <c r="B29" s="21" t="s">
        <v>281</v>
      </c>
      <c r="C29" s="11" t="s">
        <v>2186</v>
      </c>
      <c r="D29" s="39" t="s">
        <v>2187</v>
      </c>
      <c r="E29" s="39" t="s">
        <v>2187</v>
      </c>
      <c r="F29" s="38" t="s">
        <v>2185</v>
      </c>
      <c r="G29" s="38" t="s">
        <v>2185</v>
      </c>
      <c r="H29" s="11" t="s">
        <v>2186</v>
      </c>
    </row>
    <row r="30" customFormat="false" ht="15" hidden="false" customHeight="false" outlineLevel="0" collapsed="false">
      <c r="A30" s="11" t="s">
        <v>283</v>
      </c>
      <c r="B30" s="21" t="s">
        <v>285</v>
      </c>
      <c r="C30" s="11" t="s">
        <v>2186</v>
      </c>
      <c r="D30" s="11" t="s">
        <v>2186</v>
      </c>
      <c r="E30" s="39" t="s">
        <v>2187</v>
      </c>
      <c r="F30" s="39" t="s">
        <v>2187</v>
      </c>
      <c r="G30" s="11" t="s">
        <v>2186</v>
      </c>
      <c r="H30" s="39" t="s">
        <v>2187</v>
      </c>
    </row>
    <row r="31" customFormat="false" ht="15" hidden="false" customHeight="false" outlineLevel="0" collapsed="false">
      <c r="A31" s="11" t="s">
        <v>288</v>
      </c>
      <c r="B31" s="21" t="s">
        <v>289</v>
      </c>
      <c r="C31" s="11" t="s">
        <v>2186</v>
      </c>
      <c r="D31" s="39" t="s">
        <v>2187</v>
      </c>
      <c r="E31" s="39" t="s">
        <v>2187</v>
      </c>
      <c r="F31" s="11" t="s">
        <v>2186</v>
      </c>
      <c r="G31" s="11" t="s">
        <v>2186</v>
      </c>
      <c r="H31" s="11" t="s">
        <v>2186</v>
      </c>
    </row>
    <row r="32" customFormat="false" ht="15" hidden="false" customHeight="false" outlineLevel="0" collapsed="false">
      <c r="A32" s="11" t="s">
        <v>291</v>
      </c>
      <c r="B32" s="21" t="s">
        <v>292</v>
      </c>
      <c r="C32" s="11" t="s">
        <v>2186</v>
      </c>
      <c r="D32" s="11" t="s">
        <v>2186</v>
      </c>
      <c r="E32" s="11" t="s">
        <v>2186</v>
      </c>
      <c r="F32" s="39" t="s">
        <v>2187</v>
      </c>
      <c r="G32" s="11" t="s">
        <v>2186</v>
      </c>
      <c r="H32" s="11" t="s">
        <v>2186</v>
      </c>
    </row>
    <row r="33" customFormat="false" ht="15" hidden="false" customHeight="false" outlineLevel="0" collapsed="false">
      <c r="A33" s="11" t="s">
        <v>294</v>
      </c>
      <c r="B33" s="21" t="s">
        <v>295</v>
      </c>
      <c r="C33" s="11" t="s">
        <v>2186</v>
      </c>
      <c r="D33" s="39" t="s">
        <v>2187</v>
      </c>
      <c r="E33" s="39" t="s">
        <v>2187</v>
      </c>
      <c r="F33" s="39" t="s">
        <v>2187</v>
      </c>
      <c r="G33" s="11" t="s">
        <v>2186</v>
      </c>
      <c r="H33" s="11" t="s">
        <v>2186</v>
      </c>
    </row>
    <row r="34" customFormat="false" ht="15" hidden="false" customHeight="false" outlineLevel="0" collapsed="false">
      <c r="A34" s="11" t="s">
        <v>297</v>
      </c>
      <c r="B34" s="21" t="s">
        <v>298</v>
      </c>
      <c r="C34" s="11" t="s">
        <v>2186</v>
      </c>
      <c r="D34" s="39" t="s">
        <v>2187</v>
      </c>
      <c r="E34" s="39" t="s">
        <v>2187</v>
      </c>
      <c r="F34" s="39" t="s">
        <v>2187</v>
      </c>
      <c r="G34" s="39" t="s">
        <v>2187</v>
      </c>
      <c r="H34" s="39" t="s">
        <v>2187</v>
      </c>
    </row>
    <row r="35" customFormat="false" ht="15" hidden="false" customHeight="false" outlineLevel="0" collapsed="false">
      <c r="A35" s="11" t="s">
        <v>300</v>
      </c>
      <c r="B35" s="21" t="s">
        <v>302</v>
      </c>
      <c r="C35" s="38" t="s">
        <v>2185</v>
      </c>
      <c r="D35" s="38" t="s">
        <v>2185</v>
      </c>
      <c r="E35" s="38" t="s">
        <v>2185</v>
      </c>
      <c r="F35" s="38" t="s">
        <v>2185</v>
      </c>
      <c r="G35" s="38" t="s">
        <v>2185</v>
      </c>
      <c r="H35" s="38" t="s">
        <v>2185</v>
      </c>
    </row>
    <row r="36" customFormat="false" ht="15" hidden="false" customHeight="false" outlineLevel="0" collapsed="false">
      <c r="A36" s="11" t="s">
        <v>305</v>
      </c>
      <c r="B36" s="21" t="s">
        <v>306</v>
      </c>
      <c r="C36" s="11" t="s">
        <v>2186</v>
      </c>
      <c r="D36" s="39" t="s">
        <v>2187</v>
      </c>
      <c r="E36" s="39" t="s">
        <v>2187</v>
      </c>
      <c r="F36" s="39" t="s">
        <v>2187</v>
      </c>
      <c r="G36" s="11" t="s">
        <v>2186</v>
      </c>
      <c r="H36" s="39" t="s">
        <v>2187</v>
      </c>
    </row>
    <row r="37" customFormat="false" ht="15" hidden="false" customHeight="false" outlineLevel="0" collapsed="false">
      <c r="A37" s="11" t="s">
        <v>309</v>
      </c>
      <c r="B37" s="21" t="s">
        <v>310</v>
      </c>
      <c r="C37" s="11" t="s">
        <v>2186</v>
      </c>
      <c r="D37" s="11" t="s">
        <v>2186</v>
      </c>
      <c r="E37" s="11" t="s">
        <v>2186</v>
      </c>
      <c r="F37" s="11" t="s">
        <v>2186</v>
      </c>
      <c r="G37" s="11" t="s">
        <v>2186</v>
      </c>
      <c r="H37" s="11" t="s">
        <v>2186</v>
      </c>
    </row>
  </sheetData>
  <autoFilter ref="A3:H37"/>
  <hyperlinks>
    <hyperlink ref="H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80"/>
    <col collapsed="false" customWidth="true" hidden="false" outlineLevel="0" max="4" min="4" style="0" width="30"/>
  </cols>
  <sheetData>
    <row r="1" customFormat="false" ht="15" hidden="false" customHeight="false" outlineLevel="0" collapsed="false">
      <c r="A1" s="5" t="s">
        <v>63</v>
      </c>
      <c r="D1" s="19" t="s">
        <v>78</v>
      </c>
    </row>
    <row r="2" customFormat="false" ht="15" hidden="false" customHeight="false" outlineLevel="0" collapsed="false">
      <c r="A2" s="35" t="s">
        <v>2189</v>
      </c>
    </row>
    <row r="3" customFormat="false" ht="15" hidden="false" customHeight="false" outlineLevel="0" collapsed="false">
      <c r="A3" s="10" t="s">
        <v>2190</v>
      </c>
      <c r="B3" s="10" t="s">
        <v>380</v>
      </c>
      <c r="C3" s="10" t="s">
        <v>2191</v>
      </c>
      <c r="D3" s="10" t="s">
        <v>2192</v>
      </c>
    </row>
    <row r="4" customFormat="false" ht="15" hidden="false" customHeight="false" outlineLevel="0" collapsed="false">
      <c r="A4" s="11" t="s">
        <v>748</v>
      </c>
      <c r="B4" s="20" t="s">
        <v>2193</v>
      </c>
      <c r="C4" s="21" t="s">
        <v>2194</v>
      </c>
      <c r="D4" s="21" t="s">
        <v>2195</v>
      </c>
    </row>
    <row r="5" customFormat="false" ht="15" hidden="false" customHeight="false" outlineLevel="0" collapsed="false">
      <c r="A5" s="11" t="s">
        <v>752</v>
      </c>
      <c r="B5" s="20" t="s">
        <v>2193</v>
      </c>
      <c r="C5" s="21" t="s">
        <v>2196</v>
      </c>
      <c r="D5" s="22" t="s">
        <v>2197</v>
      </c>
    </row>
    <row r="6" customFormat="false" ht="15" hidden="false" customHeight="false" outlineLevel="0" collapsed="false">
      <c r="A6" s="11" t="s">
        <v>2198</v>
      </c>
      <c r="B6" s="20" t="s">
        <v>2193</v>
      </c>
      <c r="C6" s="21" t="s">
        <v>2199</v>
      </c>
      <c r="D6" s="21" t="s">
        <v>2200</v>
      </c>
    </row>
    <row r="7" customFormat="false" ht="15" hidden="false" customHeight="false" outlineLevel="0" collapsed="false">
      <c r="A7" s="11" t="s">
        <v>750</v>
      </c>
      <c r="B7" s="20" t="s">
        <v>2193</v>
      </c>
      <c r="C7" s="21" t="s">
        <v>2201</v>
      </c>
      <c r="D7" s="22" t="s">
        <v>2202</v>
      </c>
    </row>
    <row r="8" customFormat="false" ht="15" hidden="false" customHeight="false" outlineLevel="0" collapsed="false">
      <c r="A8" s="11" t="s">
        <v>759</v>
      </c>
      <c r="B8" s="20" t="s">
        <v>2193</v>
      </c>
      <c r="C8" s="21" t="s">
        <v>2203</v>
      </c>
      <c r="D8" s="22" t="s">
        <v>2204</v>
      </c>
    </row>
    <row r="9" customFormat="false" ht="15" hidden="false" customHeight="false" outlineLevel="0" collapsed="false">
      <c r="A9" s="11" t="s">
        <v>761</v>
      </c>
      <c r="B9" s="20" t="s">
        <v>2193</v>
      </c>
      <c r="C9" s="21" t="s">
        <v>2205</v>
      </c>
      <c r="D9" s="21" t="s">
        <v>2206</v>
      </c>
    </row>
    <row r="10" customFormat="false" ht="15" hidden="false" customHeight="false" outlineLevel="0" collapsed="false">
      <c r="A10" s="11" t="s">
        <v>766</v>
      </c>
      <c r="B10" s="20" t="s">
        <v>2193</v>
      </c>
      <c r="C10" s="21" t="s">
        <v>2207</v>
      </c>
      <c r="D10" s="22" t="s">
        <v>2208</v>
      </c>
    </row>
    <row r="11" customFormat="false" ht="15" hidden="false" customHeight="false" outlineLevel="0" collapsed="false">
      <c r="A11" s="11" t="s">
        <v>764</v>
      </c>
      <c r="B11" s="20" t="s">
        <v>2193</v>
      </c>
      <c r="C11" s="21" t="s">
        <v>2209</v>
      </c>
      <c r="D11" s="21" t="s">
        <v>2210</v>
      </c>
    </row>
    <row r="12" customFormat="false" ht="15" hidden="false" customHeight="false" outlineLevel="0" collapsed="false">
      <c r="A12" s="11" t="s">
        <v>774</v>
      </c>
      <c r="B12" s="20" t="s">
        <v>2193</v>
      </c>
      <c r="C12" s="21" t="s">
        <v>2211</v>
      </c>
      <c r="D12" s="21" t="s">
        <v>2212</v>
      </c>
    </row>
    <row r="13" customFormat="false" ht="15" hidden="false" customHeight="false" outlineLevel="0" collapsed="false">
      <c r="A13" s="11" t="s">
        <v>779</v>
      </c>
      <c r="B13" s="20" t="s">
        <v>2193</v>
      </c>
      <c r="C13" s="21" t="s">
        <v>2213</v>
      </c>
      <c r="D13" s="21" t="s">
        <v>2214</v>
      </c>
    </row>
    <row r="14" customFormat="false" ht="15" hidden="false" customHeight="false" outlineLevel="0" collapsed="false">
      <c r="A14" s="11" t="s">
        <v>788</v>
      </c>
      <c r="B14" s="20" t="s">
        <v>2193</v>
      </c>
      <c r="C14" s="21" t="s">
        <v>2215</v>
      </c>
      <c r="D14" s="22" t="s">
        <v>2216</v>
      </c>
    </row>
    <row r="15" customFormat="false" ht="15" hidden="false" customHeight="false" outlineLevel="0" collapsed="false">
      <c r="A15" s="11" t="s">
        <v>793</v>
      </c>
      <c r="B15" s="20" t="s">
        <v>2193</v>
      </c>
      <c r="C15" s="21" t="s">
        <v>2217</v>
      </c>
      <c r="D15" s="22" t="s">
        <v>2218</v>
      </c>
    </row>
    <row r="16" customFormat="false" ht="15" hidden="false" customHeight="false" outlineLevel="0" collapsed="false">
      <c r="A16" s="11" t="s">
        <v>796</v>
      </c>
      <c r="B16" s="20" t="s">
        <v>2193</v>
      </c>
      <c r="C16" s="21" t="s">
        <v>2219</v>
      </c>
      <c r="D16" s="22" t="s">
        <v>2220</v>
      </c>
    </row>
    <row r="17" customFormat="false" ht="15" hidden="false" customHeight="false" outlineLevel="0" collapsed="false">
      <c r="A17" s="11" t="s">
        <v>805</v>
      </c>
      <c r="B17" s="20" t="s">
        <v>2221</v>
      </c>
      <c r="C17" s="21" t="s">
        <v>2222</v>
      </c>
      <c r="D17" s="22" t="s">
        <v>830</v>
      </c>
    </row>
    <row r="18" customFormat="false" ht="15" hidden="false" customHeight="false" outlineLevel="0" collapsed="false">
      <c r="A18" s="11" t="s">
        <v>811</v>
      </c>
      <c r="B18" s="20" t="s">
        <v>2193</v>
      </c>
      <c r="C18" s="21" t="s">
        <v>2223</v>
      </c>
      <c r="D18" s="22" t="s">
        <v>673</v>
      </c>
    </row>
    <row r="19" customFormat="false" ht="15" hidden="false" customHeight="false" outlineLevel="0" collapsed="false">
      <c r="A19" s="11" t="s">
        <v>2224</v>
      </c>
      <c r="B19" s="20" t="s">
        <v>2221</v>
      </c>
      <c r="C19" s="21" t="s">
        <v>2225</v>
      </c>
      <c r="D19" s="21" t="s">
        <v>2226</v>
      </c>
    </row>
    <row r="20" customFormat="false" ht="15" hidden="false" customHeight="false" outlineLevel="0" collapsed="false">
      <c r="A20" s="11" t="s">
        <v>2227</v>
      </c>
      <c r="B20" s="20" t="s">
        <v>2221</v>
      </c>
      <c r="C20" s="21" t="s">
        <v>2228</v>
      </c>
      <c r="D20" s="21" t="s">
        <v>2229</v>
      </c>
    </row>
    <row r="21" customFormat="false" ht="15" hidden="false" customHeight="false" outlineLevel="0" collapsed="false">
      <c r="A21" s="11" t="s">
        <v>768</v>
      </c>
      <c r="B21" s="20" t="s">
        <v>2221</v>
      </c>
      <c r="C21" s="21" t="s">
        <v>2230</v>
      </c>
      <c r="D21" s="22" t="s">
        <v>838</v>
      </c>
    </row>
    <row r="22" customFormat="false" ht="15" hidden="false" customHeight="false" outlineLevel="0" collapsed="false">
      <c r="A22" s="11" t="s">
        <v>776</v>
      </c>
      <c r="B22" s="20" t="s">
        <v>2221</v>
      </c>
      <c r="C22" s="21" t="s">
        <v>2231</v>
      </c>
      <c r="D22" s="22" t="s">
        <v>2232</v>
      </c>
    </row>
  </sheetData>
  <autoFilter ref="A3:D22"/>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0"/>
    <col collapsed="false" customWidth="true" hidden="false" outlineLevel="0" max="4" min="4" style="0" width="24"/>
    <col collapsed="false" customWidth="true" hidden="false" outlineLevel="0" max="5" min="5" style="0" width="60"/>
    <col collapsed="false" customWidth="true" hidden="false" outlineLevel="0" max="6" min="6" style="0" width="14"/>
  </cols>
  <sheetData>
    <row r="1" customFormat="false" ht="15" hidden="false" customHeight="false" outlineLevel="0" collapsed="false">
      <c r="A1" s="5" t="s">
        <v>65</v>
      </c>
      <c r="F1" s="19" t="s">
        <v>78</v>
      </c>
    </row>
    <row r="3" customFormat="false" ht="15" hidden="false" customHeight="false" outlineLevel="0" collapsed="false">
      <c r="A3" s="10" t="s">
        <v>2233</v>
      </c>
      <c r="B3" s="10" t="s">
        <v>2234</v>
      </c>
      <c r="C3" s="10" t="s">
        <v>2235</v>
      </c>
      <c r="D3" s="10" t="s">
        <v>2236</v>
      </c>
      <c r="E3" s="10" t="s">
        <v>2237</v>
      </c>
      <c r="F3" s="10" t="s">
        <v>118</v>
      </c>
    </row>
    <row r="4" customFormat="false" ht="15" hidden="false" customHeight="false" outlineLevel="0" collapsed="false">
      <c r="A4" s="11" t="s">
        <v>2238</v>
      </c>
      <c r="B4" s="21" t="s">
        <v>2239</v>
      </c>
      <c r="C4" s="11" t="s">
        <v>2240</v>
      </c>
      <c r="D4" s="21" t="s">
        <v>387</v>
      </c>
      <c r="E4" s="21" t="s">
        <v>2241</v>
      </c>
      <c r="F4" s="22" t="s">
        <v>217</v>
      </c>
    </row>
    <row r="5" customFormat="false" ht="15" hidden="false" customHeight="false" outlineLevel="0" collapsed="false">
      <c r="A5" s="11" t="s">
        <v>2242</v>
      </c>
      <c r="B5" s="21" t="s">
        <v>2243</v>
      </c>
      <c r="C5" s="11" t="s">
        <v>2240</v>
      </c>
      <c r="D5" s="21" t="s">
        <v>1284</v>
      </c>
      <c r="E5" s="21" t="s">
        <v>2244</v>
      </c>
      <c r="F5" s="22" t="s">
        <v>261</v>
      </c>
    </row>
    <row r="6" customFormat="false" ht="15" hidden="false" customHeight="false" outlineLevel="0" collapsed="false">
      <c r="A6" s="11" t="s">
        <v>2245</v>
      </c>
      <c r="B6" s="21" t="s">
        <v>285</v>
      </c>
      <c r="C6" s="20" t="s">
        <v>2246</v>
      </c>
      <c r="D6" s="21" t="s">
        <v>2247</v>
      </c>
      <c r="E6" s="21" t="s">
        <v>2248</v>
      </c>
      <c r="F6" s="22" t="s">
        <v>283</v>
      </c>
    </row>
    <row r="7" customFormat="false" ht="15" hidden="false" customHeight="false" outlineLevel="0" collapsed="false">
      <c r="A7" s="11" t="s">
        <v>2249</v>
      </c>
      <c r="B7" s="21" t="s">
        <v>289</v>
      </c>
      <c r="C7" s="20" t="s">
        <v>2246</v>
      </c>
      <c r="D7" s="21" t="s">
        <v>2250</v>
      </c>
      <c r="E7" s="21" t="s">
        <v>2251</v>
      </c>
      <c r="F7" s="22" t="s">
        <v>288</v>
      </c>
    </row>
    <row r="8" customFormat="false" ht="15" hidden="false" customHeight="false" outlineLevel="0" collapsed="false">
      <c r="A8" s="11" t="s">
        <v>2252</v>
      </c>
      <c r="B8" s="21" t="s">
        <v>292</v>
      </c>
      <c r="C8" s="20" t="s">
        <v>2246</v>
      </c>
      <c r="D8" s="21" t="s">
        <v>2253</v>
      </c>
      <c r="E8" s="21" t="s">
        <v>2254</v>
      </c>
      <c r="F8" s="22" t="s">
        <v>291</v>
      </c>
    </row>
    <row r="9" customFormat="false" ht="15" hidden="false" customHeight="false" outlineLevel="0" collapsed="false">
      <c r="A9" s="11" t="s">
        <v>2255</v>
      </c>
      <c r="B9" s="21" t="s">
        <v>295</v>
      </c>
      <c r="C9" s="11" t="s">
        <v>2256</v>
      </c>
      <c r="D9" s="21" t="s">
        <v>2257</v>
      </c>
      <c r="E9" s="21" t="s">
        <v>2258</v>
      </c>
      <c r="F9" s="22" t="s">
        <v>294</v>
      </c>
    </row>
    <row r="10" customFormat="false" ht="15" hidden="false" customHeight="false" outlineLevel="0" collapsed="false">
      <c r="A10" s="11" t="s">
        <v>2259</v>
      </c>
      <c r="B10" s="21" t="s">
        <v>2260</v>
      </c>
      <c r="C10" s="11" t="s">
        <v>2256</v>
      </c>
      <c r="D10" s="21" t="s">
        <v>560</v>
      </c>
      <c r="E10" s="21" t="s">
        <v>2261</v>
      </c>
      <c r="F10" s="22" t="s">
        <v>280</v>
      </c>
    </row>
    <row r="11" customFormat="false" ht="15" hidden="false" customHeight="false" outlineLevel="0" collapsed="false">
      <c r="A11" s="11" t="s">
        <v>2262</v>
      </c>
      <c r="B11" s="21" t="s">
        <v>298</v>
      </c>
      <c r="C11" s="11" t="s">
        <v>2263</v>
      </c>
      <c r="D11" s="21" t="s">
        <v>2264</v>
      </c>
      <c r="E11" s="21" t="s">
        <v>2265</v>
      </c>
      <c r="F11" s="22" t="s">
        <v>297</v>
      </c>
    </row>
  </sheetData>
  <autoFilter ref="A3:F1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14"/>
    <col collapsed="false" customWidth="true" hidden="false" outlineLevel="0" max="4" min="4" style="0" width="70"/>
    <col collapsed="false" customWidth="true" hidden="false" outlineLevel="0" max="5" min="5" style="0" width="36"/>
  </cols>
  <sheetData>
    <row r="1" customFormat="false" ht="15" hidden="false" customHeight="false" outlineLevel="0" collapsed="false">
      <c r="A1" s="5" t="s">
        <v>67</v>
      </c>
      <c r="E1" s="19" t="s">
        <v>78</v>
      </c>
    </row>
    <row r="3" customFormat="false" ht="25.35" hidden="false" customHeight="false" outlineLevel="0" collapsed="false">
      <c r="A3" s="10" t="s">
        <v>2266</v>
      </c>
      <c r="B3" s="10" t="s">
        <v>2267</v>
      </c>
      <c r="C3" s="10" t="s">
        <v>2268</v>
      </c>
      <c r="D3" s="10" t="s">
        <v>2269</v>
      </c>
      <c r="E3" s="10" t="s">
        <v>2270</v>
      </c>
    </row>
    <row r="4" customFormat="false" ht="15" hidden="false" customHeight="false" outlineLevel="0" collapsed="false">
      <c r="A4" s="11" t="s">
        <v>2271</v>
      </c>
      <c r="B4" s="21" t="s">
        <v>2272</v>
      </c>
      <c r="C4" s="20" t="s">
        <v>2273</v>
      </c>
      <c r="D4" s="22" t="s">
        <v>2274</v>
      </c>
      <c r="E4" s="21" t="s">
        <v>2275</v>
      </c>
    </row>
    <row r="5" customFormat="false" ht="15" hidden="false" customHeight="false" outlineLevel="0" collapsed="false">
      <c r="A5" s="11" t="s">
        <v>2276</v>
      </c>
      <c r="B5" s="21" t="s">
        <v>2277</v>
      </c>
      <c r="C5" s="20" t="s">
        <v>2278</v>
      </c>
      <c r="D5" s="22" t="s">
        <v>2279</v>
      </c>
      <c r="E5" s="21" t="s">
        <v>2280</v>
      </c>
    </row>
    <row r="6" customFormat="false" ht="15" hidden="false" customHeight="false" outlineLevel="0" collapsed="false">
      <c r="A6" s="11" t="s">
        <v>2281</v>
      </c>
      <c r="B6" s="21" t="s">
        <v>2282</v>
      </c>
      <c r="C6" s="20" t="s">
        <v>2283</v>
      </c>
      <c r="D6" s="22" t="s">
        <v>2284</v>
      </c>
      <c r="E6" s="21" t="s">
        <v>2285</v>
      </c>
    </row>
    <row r="7" customFormat="false" ht="15" hidden="false" customHeight="false" outlineLevel="0" collapsed="false">
      <c r="A7" s="11" t="s">
        <v>2286</v>
      </c>
      <c r="B7" s="21" t="s">
        <v>2287</v>
      </c>
      <c r="C7" s="20" t="s">
        <v>2288</v>
      </c>
      <c r="D7" s="21" t="s">
        <v>2289</v>
      </c>
      <c r="E7" s="21" t="s">
        <v>2290</v>
      </c>
    </row>
    <row r="8" customFormat="false" ht="15" hidden="false" customHeight="false" outlineLevel="0" collapsed="false">
      <c r="A8" s="11" t="s">
        <v>2291</v>
      </c>
      <c r="B8" s="21" t="s">
        <v>2292</v>
      </c>
      <c r="C8" s="20" t="s">
        <v>2293</v>
      </c>
      <c r="D8" s="21" t="s">
        <v>2294</v>
      </c>
      <c r="E8" s="21" t="s">
        <v>2295</v>
      </c>
    </row>
  </sheetData>
  <autoFilter ref="A3:E8"/>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00"/>
  </cols>
  <sheetData>
    <row r="1" customFormat="false" ht="15" hidden="false" customHeight="false" outlineLevel="0" collapsed="false">
      <c r="A1" s="5" t="s">
        <v>69</v>
      </c>
      <c r="C1" s="19" t="s">
        <v>78</v>
      </c>
    </row>
    <row r="3" customFormat="false" ht="15" hidden="false" customHeight="false" outlineLevel="0" collapsed="false">
      <c r="A3" s="10" t="s">
        <v>81</v>
      </c>
      <c r="B3" s="10" t="s">
        <v>95</v>
      </c>
      <c r="C3" s="10" t="s">
        <v>2296</v>
      </c>
    </row>
    <row r="4" customFormat="false" ht="15" hidden="false" customHeight="false" outlineLevel="0" collapsed="false">
      <c r="A4" s="20" t="s">
        <v>2297</v>
      </c>
      <c r="B4" s="21" t="s">
        <v>2298</v>
      </c>
      <c r="C4" s="21" t="s">
        <v>2299</v>
      </c>
    </row>
    <row r="5" customFormat="false" ht="15" hidden="false" customHeight="false" outlineLevel="0" collapsed="false">
      <c r="A5" s="20" t="s">
        <v>2297</v>
      </c>
      <c r="B5" s="21" t="s">
        <v>2300</v>
      </c>
      <c r="C5" s="21" t="s">
        <v>2301</v>
      </c>
    </row>
    <row r="6" customFormat="false" ht="15" hidden="false" customHeight="false" outlineLevel="0" collapsed="false">
      <c r="A6" s="20" t="s">
        <v>2302</v>
      </c>
      <c r="B6" s="21" t="s">
        <v>2303</v>
      </c>
      <c r="C6" s="21" t="s">
        <v>2304</v>
      </c>
    </row>
    <row r="7" customFormat="false" ht="15" hidden="false" customHeight="false" outlineLevel="0" collapsed="false">
      <c r="A7" s="20" t="s">
        <v>2305</v>
      </c>
      <c r="B7" s="21" t="s">
        <v>2306</v>
      </c>
      <c r="C7" s="22" t="s">
        <v>2307</v>
      </c>
    </row>
    <row r="8" customFormat="false" ht="15" hidden="false" customHeight="false" outlineLevel="0" collapsed="false">
      <c r="A8" s="20" t="s">
        <v>2305</v>
      </c>
      <c r="B8" s="21" t="s">
        <v>2308</v>
      </c>
      <c r="C8" s="21" t="s">
        <v>2309</v>
      </c>
    </row>
    <row r="9" customFormat="false" ht="15" hidden="false" customHeight="false" outlineLevel="0" collapsed="false">
      <c r="A9" s="20" t="s">
        <v>2310</v>
      </c>
      <c r="B9" s="21" t="s">
        <v>2311</v>
      </c>
      <c r="C9" s="21" t="s">
        <v>2312</v>
      </c>
    </row>
    <row r="10" customFormat="false" ht="15" hidden="false" customHeight="false" outlineLevel="0" collapsed="false">
      <c r="A10" s="20" t="s">
        <v>2310</v>
      </c>
      <c r="B10" s="21" t="s">
        <v>2313</v>
      </c>
      <c r="C10" s="21" t="s">
        <v>2314</v>
      </c>
    </row>
    <row r="11" customFormat="false" ht="15" hidden="false" customHeight="false" outlineLevel="0" collapsed="false">
      <c r="A11" s="20" t="s">
        <v>2310</v>
      </c>
      <c r="B11" s="21" t="s">
        <v>2315</v>
      </c>
      <c r="C11" s="21" t="s">
        <v>2316</v>
      </c>
    </row>
    <row r="12" customFormat="false" ht="15" hidden="false" customHeight="false" outlineLevel="0" collapsed="false">
      <c r="A12" s="20" t="s">
        <v>2310</v>
      </c>
      <c r="B12" s="21" t="s">
        <v>2317</v>
      </c>
      <c r="C12" s="21" t="s">
        <v>2318</v>
      </c>
    </row>
    <row r="13" customFormat="false" ht="15" hidden="false" customHeight="false" outlineLevel="0" collapsed="false">
      <c r="A13" s="20" t="s">
        <v>2319</v>
      </c>
      <c r="B13" s="21" t="s">
        <v>306</v>
      </c>
      <c r="C13" s="21" t="s">
        <v>2320</v>
      </c>
    </row>
    <row r="14" customFormat="false" ht="15" hidden="false" customHeight="false" outlineLevel="0" collapsed="false">
      <c r="A14" s="20" t="s">
        <v>2319</v>
      </c>
      <c r="B14" s="21" t="s">
        <v>2321</v>
      </c>
      <c r="C14" s="21" t="s">
        <v>2322</v>
      </c>
    </row>
    <row r="15" customFormat="false" ht="15" hidden="false" customHeight="false" outlineLevel="0" collapsed="false">
      <c r="A15" s="20" t="s">
        <v>2323</v>
      </c>
      <c r="B15" s="21" t="s">
        <v>2324</v>
      </c>
      <c r="C15" s="21" t="s">
        <v>2325</v>
      </c>
    </row>
    <row r="16" customFormat="false" ht="15" hidden="false" customHeight="false" outlineLevel="0" collapsed="false">
      <c r="A16" s="20" t="s">
        <v>2323</v>
      </c>
      <c r="B16" s="21" t="s">
        <v>2326</v>
      </c>
      <c r="C16" s="21" t="s">
        <v>2327</v>
      </c>
    </row>
    <row r="17" customFormat="false" ht="15" hidden="false" customHeight="false" outlineLevel="0" collapsed="false">
      <c r="A17" s="11" t="s">
        <v>2328</v>
      </c>
      <c r="B17" s="21" t="s">
        <v>2329</v>
      </c>
      <c r="C17" s="22" t="s">
        <v>2330</v>
      </c>
    </row>
    <row r="18" customFormat="false" ht="15" hidden="false" customHeight="false" outlineLevel="0" collapsed="false">
      <c r="A18" s="11" t="s">
        <v>2328</v>
      </c>
      <c r="B18" s="21" t="s">
        <v>2331</v>
      </c>
      <c r="C18" s="21" t="s">
        <v>2332</v>
      </c>
    </row>
    <row r="19" customFormat="false" ht="26.85" hidden="false" customHeight="false" outlineLevel="0" collapsed="false">
      <c r="A19" s="20" t="s">
        <v>2333</v>
      </c>
      <c r="B19" s="21" t="s">
        <v>2334</v>
      </c>
      <c r="C19" s="21" t="s">
        <v>2335</v>
      </c>
    </row>
  </sheetData>
  <autoFilter ref="A3:C19"/>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60"/>
    <col collapsed="false" customWidth="true" hidden="false" outlineLevel="0" max="4" min="4" style="0" width="40"/>
    <col collapsed="false" customWidth="true" hidden="false" outlineLevel="0" max="5" min="5" style="0" width="16"/>
    <col collapsed="false" customWidth="true" hidden="false" outlineLevel="0" max="6" min="6" style="0" width="10"/>
    <col collapsed="false" customWidth="true" hidden="false" outlineLevel="0" max="7" min="7" style="0" width="40"/>
  </cols>
  <sheetData>
    <row r="1" customFormat="false" ht="15" hidden="false" customHeight="false" outlineLevel="0" collapsed="false">
      <c r="A1" s="5" t="s">
        <v>71</v>
      </c>
      <c r="G1" s="19" t="s">
        <v>78</v>
      </c>
    </row>
    <row r="2" customFormat="false" ht="15" hidden="false" customHeight="false" outlineLevel="0" collapsed="false">
      <c r="A2" s="23" t="s">
        <v>2336</v>
      </c>
    </row>
    <row r="3" customFormat="false" ht="15" hidden="false" customHeight="false" outlineLevel="0" collapsed="false">
      <c r="A3" s="9" t="s">
        <v>24</v>
      </c>
      <c r="B3" s="10" t="s">
        <v>81</v>
      </c>
      <c r="C3" s="10" t="s">
        <v>26</v>
      </c>
      <c r="D3" s="10" t="s">
        <v>2337</v>
      </c>
      <c r="E3" s="10" t="s">
        <v>2338</v>
      </c>
      <c r="F3" s="10" t="s">
        <v>1173</v>
      </c>
      <c r="G3" s="10" t="s">
        <v>2339</v>
      </c>
    </row>
    <row r="4" customFormat="false" ht="26.85" hidden="false" customHeight="false" outlineLevel="0" collapsed="false">
      <c r="A4" s="11" t="s">
        <v>2340</v>
      </c>
      <c r="B4" s="20" t="s">
        <v>2341</v>
      </c>
      <c r="C4" s="21" t="s">
        <v>2342</v>
      </c>
      <c r="D4" s="21" t="s">
        <v>2343</v>
      </c>
      <c r="E4" s="21" t="s">
        <v>2344</v>
      </c>
      <c r="F4" s="40" t="s">
        <v>2345</v>
      </c>
      <c r="G4" s="41"/>
    </row>
    <row r="5" customFormat="false" ht="15" hidden="false" customHeight="false" outlineLevel="0" collapsed="false">
      <c r="A5" s="11" t="s">
        <v>2346</v>
      </c>
      <c r="B5" s="20" t="s">
        <v>2341</v>
      </c>
      <c r="C5" s="21" t="s">
        <v>2347</v>
      </c>
      <c r="D5" s="21" t="s">
        <v>2348</v>
      </c>
      <c r="E5" s="21" t="s">
        <v>2344</v>
      </c>
      <c r="F5" s="40" t="s">
        <v>2345</v>
      </c>
      <c r="G5" s="41"/>
    </row>
    <row r="6" customFormat="false" ht="15" hidden="false" customHeight="false" outlineLevel="0" collapsed="false">
      <c r="A6" s="11" t="s">
        <v>2349</v>
      </c>
      <c r="B6" s="20" t="s">
        <v>115</v>
      </c>
      <c r="C6" s="21" t="s">
        <v>2350</v>
      </c>
      <c r="D6" s="21" t="s">
        <v>2351</v>
      </c>
      <c r="E6" s="21" t="s">
        <v>2352</v>
      </c>
      <c r="F6" s="40" t="s">
        <v>2345</v>
      </c>
      <c r="G6" s="41"/>
    </row>
    <row r="7" customFormat="false" ht="15" hidden="false" customHeight="false" outlineLevel="0" collapsed="false">
      <c r="A7" s="11" t="s">
        <v>2353</v>
      </c>
      <c r="B7" s="20" t="s">
        <v>115</v>
      </c>
      <c r="C7" s="22" t="s">
        <v>2354</v>
      </c>
      <c r="D7" s="21" t="s">
        <v>2355</v>
      </c>
      <c r="E7" s="21" t="s">
        <v>2352</v>
      </c>
      <c r="F7" s="40" t="s">
        <v>2345</v>
      </c>
      <c r="G7" s="41"/>
    </row>
    <row r="8" customFormat="false" ht="15" hidden="false" customHeight="false" outlineLevel="0" collapsed="false">
      <c r="A8" s="11" t="s">
        <v>2356</v>
      </c>
      <c r="B8" s="20" t="s">
        <v>115</v>
      </c>
      <c r="C8" s="21" t="s">
        <v>2357</v>
      </c>
      <c r="D8" s="21" t="s">
        <v>2358</v>
      </c>
      <c r="E8" s="21" t="s">
        <v>2352</v>
      </c>
      <c r="F8" s="40" t="s">
        <v>2345</v>
      </c>
      <c r="G8" s="41"/>
    </row>
    <row r="9" customFormat="false" ht="15" hidden="false" customHeight="false" outlineLevel="0" collapsed="false">
      <c r="A9" s="11" t="s">
        <v>2359</v>
      </c>
      <c r="B9" s="20" t="s">
        <v>883</v>
      </c>
      <c r="C9" s="21" t="s">
        <v>2360</v>
      </c>
      <c r="D9" s="21" t="s">
        <v>2361</v>
      </c>
      <c r="E9" s="21" t="s">
        <v>2362</v>
      </c>
      <c r="F9" s="40" t="s">
        <v>2345</v>
      </c>
      <c r="G9" s="41"/>
    </row>
    <row r="10" customFormat="false" ht="15" hidden="false" customHeight="false" outlineLevel="0" collapsed="false">
      <c r="A10" s="11" t="s">
        <v>2363</v>
      </c>
      <c r="B10" s="20" t="s">
        <v>883</v>
      </c>
      <c r="C10" s="21" t="s">
        <v>2364</v>
      </c>
      <c r="D10" s="21" t="s">
        <v>2365</v>
      </c>
      <c r="E10" s="21" t="s">
        <v>2362</v>
      </c>
      <c r="F10" s="40" t="s">
        <v>2345</v>
      </c>
      <c r="G10" s="41"/>
    </row>
    <row r="11" customFormat="false" ht="15" hidden="false" customHeight="false" outlineLevel="0" collapsed="false">
      <c r="A11" s="11" t="s">
        <v>2366</v>
      </c>
      <c r="B11" s="20" t="s">
        <v>883</v>
      </c>
      <c r="C11" s="21" t="s">
        <v>2367</v>
      </c>
      <c r="D11" s="21" t="s">
        <v>2368</v>
      </c>
      <c r="E11" s="21" t="s">
        <v>2344</v>
      </c>
      <c r="F11" s="40" t="s">
        <v>2345</v>
      </c>
      <c r="G11" s="41"/>
    </row>
  </sheetData>
  <autoFilter ref="A3:G11"/>
  <dataValidations count="1">
    <dataValidation allowBlank="false" errorStyle="stop" operator="between" showDropDown="false" showErrorMessage="false" showInputMessage="false" sqref="F4:F11" type="list">
      <formula1>"未対応,確認中,回答済,クローズ"</formula1>
      <formula2>0</formula2>
    </dataValidation>
  </dataValidations>
  <hyperlinks>
    <hyperlink ref="G1" r:id="rId2"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
  <legacyDrawing r:id="rId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2026-10-04T11:44:43Z</dcterms:created>
  <dc:creator>openpyxl</dc:creator>
  <dc:description/>
  <dc:language>en-US</dc:language>
  <cp:lastModifiedBy/>
  <dcterms:modified xsi:type="dcterms:W3CDTF">2026-10-04T11:44:43Z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