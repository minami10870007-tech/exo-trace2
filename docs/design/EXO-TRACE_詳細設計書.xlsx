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3.xml.rels" ContentType="application/vnd.openxmlformats-package.relationships+xml"/>
  <Override PartName="/xl/worksheets/_rels/sheet2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16.xml" ContentType="application/vnd.openxmlformats-officedocument.drawing+xml"/>
  <Override PartName="/xl/drawings/drawing7.xml" ContentType="application/vnd.openxmlformats-officedocument.drawing+xml"/>
  <Override PartName="/xl/comments2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改訂履歴" sheetId="2" state="visible" r:id="rId4"/>
    <sheet name="レビュー記録" sheetId="3" state="visible" r:id="rId5"/>
    <sheet name="システム概要" sheetId="4" state="visible" r:id="rId6"/>
    <sheet name="業務フロー" sheetId="5" state="visible" r:id="rId7"/>
    <sheet name="機能一覧" sheetId="6" state="visible" r:id="rId8"/>
    <sheet name="画面一覧" sheetId="7" state="visible" r:id="rId9"/>
    <sheet name="画面項目定義" sheetId="8" state="visible" r:id="rId10"/>
    <sheet name="API一覧" sheetId="9" state="visible" r:id="rId11"/>
    <sheet name="処理詳細" sheetId="10" state="visible" r:id="rId12"/>
    <sheet name="業務ルール" sheetId="11" state="visible" r:id="rId13"/>
    <sheet name="状態遷移" sheetId="12" state="visible" r:id="rId14"/>
    <sheet name="テーブル一覧" sheetId="13" state="visible" r:id="rId15"/>
    <sheet name="項目定義" sheetId="14" state="visible" r:id="rId16"/>
    <sheet name="インデックス・制約" sheetId="15" state="visible" r:id="rId17"/>
    <sheet name="DDL" sheetId="16" state="visible" r:id="rId18"/>
    <sheet name="主要SQL" sheetId="17" state="visible" r:id="rId19"/>
    <sheet name="コード定義" sheetId="18" state="visible" r:id="rId20"/>
    <sheet name="権限マトリクス" sheetId="19" state="visible" r:id="rId21"/>
    <sheet name="メッセージ一覧" sheetId="20" state="visible" r:id="rId22"/>
    <sheet name="帳票一覧" sheetId="21" state="visible" r:id="rId23"/>
    <sheet name="バッチ一覧" sheetId="22" state="visible" r:id="rId24"/>
    <sheet name="非機能要件" sheetId="23" state="visible" r:id="rId25"/>
    <sheet name="課題一覧" sheetId="24" state="visible" r:id="rId26"/>
  </sheets>
  <definedNames>
    <definedName function="false" hidden="false" localSheetId="8" name="_xlnm.Print_Titles" vbProcedure="false">API一覧!$3:$3</definedName>
    <definedName function="false" hidden="true" localSheetId="8" name="_xlnm._FilterDatabase" vbProcedure="false">API一覧!$A$3:$G$53</definedName>
    <definedName function="false" hidden="false" localSheetId="14" name="_xlnm.Print_Titles" vbProcedure="false">インデックス・制約!$3:$3</definedName>
    <definedName function="false" hidden="true" localSheetId="14" name="_xlnm._FilterDatabase" vbProcedure="false">インデックス・制約!$A$3:$E$42</definedName>
    <definedName function="false" hidden="false" localSheetId="17" name="_xlnm.Print_Titles" vbProcedure="false">コード定義!$3:$3</definedName>
    <definedName function="false" hidden="true" localSheetId="17" name="_xlnm._FilterDatabase" vbProcedure="false">コード定義!$A$3:$D$47</definedName>
    <definedName function="false" hidden="false" localSheetId="3" name="_xlnm.Print_Titles" vbProcedure="false">システム概要!$3:$3</definedName>
    <definedName function="false" hidden="true" localSheetId="3" name="_xlnm._FilterDatabase" vbProcedure="false">システム概要!$A$3:$B$12</definedName>
    <definedName function="false" hidden="false" localSheetId="12" name="_xlnm.Print_Titles" vbProcedure="false">テーブル一覧!$3:$3</definedName>
    <definedName function="false" hidden="true" localSheetId="12" name="_xlnm._FilterDatabase" vbProcedure="false">テーブル一覧!$A$3:$F$29</definedName>
    <definedName function="false" hidden="false" localSheetId="21" name="_xlnm.Print_Titles" vbProcedure="false">バッチ一覧!$3:$3</definedName>
    <definedName function="false" hidden="true" localSheetId="21" name="_xlnm._FilterDatabase" vbProcedure="false">バッチ一覧!$A$3:$E$8</definedName>
    <definedName function="false" hidden="false" localSheetId="19" name="_xlnm.Print_Titles" vbProcedure="false">メッセージ一覧!$3:$3</definedName>
    <definedName function="false" hidden="true" localSheetId="19" name="_xlnm._FilterDatabase" vbProcedure="false">メッセージ一覧!$A$3:$D$37</definedName>
    <definedName function="false" hidden="false" localSheetId="2" name="_xlnm.Print_Titles" vbProcedure="false">レビュー記録!$3:$3</definedName>
    <definedName function="false" hidden="true" localSheetId="2" name="_xlnm._FilterDatabase" vbProcedure="false">レビュー記録!$A$3:$G$53</definedName>
    <definedName function="false" hidden="false" localSheetId="16" name="_xlnm.Print_Titles" vbProcedure="false">主要SQL!$3:$3</definedName>
    <definedName function="false" hidden="true" localSheetId="16" name="_xlnm._FilterDatabase" vbProcedure="false">主要SQL!$A$3:$C$8</definedName>
    <definedName function="false" hidden="false" localSheetId="9" name="_xlnm.Print_Titles" vbProcedure="false">処理詳細!$3:$3</definedName>
    <definedName function="false" hidden="true" localSheetId="9" name="_xlnm._FilterDatabase" vbProcedure="false">処理詳細!$A$3:$E$91</definedName>
    <definedName function="false" hidden="false" localSheetId="20" name="_xlnm.Print_Titles" vbProcedure="false">帳票一覧!$3:$3</definedName>
    <definedName function="false" hidden="true" localSheetId="20" name="_xlnm._FilterDatabase" vbProcedure="false">帳票一覧!$A$3:$F$11</definedName>
    <definedName function="false" hidden="false" localSheetId="1" name="_xlnm.Print_Titles" vbProcedure="false">改訂履歴!$3:$3</definedName>
    <definedName function="false" hidden="true" localSheetId="1" name="_xlnm._FilterDatabase" vbProcedure="false">改訂履歴!$A$3:$E$8</definedName>
    <definedName function="false" hidden="false" localSheetId="4" name="_xlnm.Print_Titles" vbProcedure="false">業務フロー!$3:$3</definedName>
    <definedName function="false" hidden="true" localSheetId="4" name="_xlnm._FilterDatabase" vbProcedure="false">業務フロー!$A$3:$G$13</definedName>
    <definedName function="false" hidden="false" localSheetId="10" name="_xlnm.Print_Titles" vbProcedure="false">業務ルール!$3:$3</definedName>
    <definedName function="false" hidden="true" localSheetId="10" name="_xlnm._FilterDatabase" vbProcedure="false">業務ルール!$A$3:$D$23</definedName>
    <definedName function="false" hidden="false" localSheetId="18" name="_xlnm.Print_Titles" vbProcedure="false">権限マトリクス!$3:$3</definedName>
    <definedName function="false" hidden="true" localSheetId="18" name="_xlnm._FilterDatabase" vbProcedure="false">権限マトリクス!$A$3:$H$37</definedName>
    <definedName function="false" hidden="false" localSheetId="5" name="_xlnm.Print_Titles" vbProcedure="false">機能一覧!$3:$3</definedName>
    <definedName function="false" hidden="true" localSheetId="5" name="_xlnm._FilterDatabase" vbProcedure="false">機能一覧!$A$3:$F$37</definedName>
    <definedName function="false" hidden="false" localSheetId="11" name="_xlnm.Print_Titles" vbProcedure="false">状態遷移!$3:$3</definedName>
    <definedName function="false" hidden="true" localSheetId="11" name="_xlnm._FilterDatabase" vbProcedure="false">状態遷移!$A$3:$F$46</definedName>
    <definedName function="false" hidden="false" localSheetId="6" name="_xlnm.Print_Titles" vbProcedure="false">画面一覧!$3:$3</definedName>
    <definedName function="false" hidden="true" localSheetId="6" name="_xlnm._FilterDatabase" vbProcedure="false">画面一覧!$A$3:$E$27</definedName>
    <definedName function="false" hidden="false" localSheetId="7" name="_xlnm.Print_Titles" vbProcedure="false">画面項目定義!$3:$3</definedName>
    <definedName function="false" hidden="true" localSheetId="7" name="_xlnm._FilterDatabase" vbProcedure="false">画面項目定義!$A$3:$K$158</definedName>
    <definedName function="false" hidden="false" localSheetId="23" name="_xlnm.Print_Titles" vbProcedure="false">課題一覧!$3:$3</definedName>
    <definedName function="false" hidden="true" localSheetId="23" name="_xlnm._FilterDatabase" vbProcedure="false">課題一覧!$A$3:$G$13</definedName>
    <definedName function="false" hidden="false" localSheetId="22" name="_xlnm.Print_Titles" vbProcedure="false">非機能要件!$3:$3</definedName>
    <definedName function="false" hidden="true" localSheetId="22" name="_xlnm._FilterDatabase" vbProcedure="false">非機能要件!$A$3:$C$21</definedName>
    <definedName function="false" hidden="false" localSheetId="13" name="_xlnm.Print_Titles" vbProcedure="false">項目定義!$3:$3</definedName>
    <definedName function="false" hidden="true" localSheetId="13" name="_xlnm._FilterDatabase" vbProcedure="false">項目定義!$A$3:$K$382</definedName>
  </definedNames>
  <calcPr iterateCount="100" refMode="A1" iterate="false" iterateDelta="0.0001"/>
  <extLst>
    <ext xmlns:loext="http://schemas.libreoffice.org/" uri="{7626C862-2A13-11E5-B345-FEFF819CDC9F}">
      <loext:extCalcPr stringRefSyntax="ExcelA1"/>
    </ext>
  </extLst>
</workbook>
</file>

<file path=xl/comments24.xml><?xml version="1.0" encoding="utf-8"?>
<comments xmlns="http://schemas.openxmlformats.org/spreadsheetml/2006/main" xmlns:xdr="http://schemas.openxmlformats.org/drawingml/2006/spreadsheetDrawing">
  <authors>
    <author>Unknown Author</author>
  </authors>
  <commentList>
    <comment ref="G3" authorId="0">
      <text>
        <r>
          <rPr>
            <sz val="10"/>
            <rFont val="WenQuanYi Zen Hei"/>
            <family val="2"/>
          </rPr>
          <t xml:space="preserve">決定内容を記入し、</t>
        </r>
        <r>
          <rPr>
            <sz val="10"/>
            <rFont val="Arial"/>
            <family val="2"/>
          </rPr>
          <t xml:space="preserve">spec.py </t>
        </r>
        <r>
          <rPr>
            <sz val="10"/>
            <rFont val="WenQuanYi Zen Hei"/>
            <family val="2"/>
          </rPr>
          <t xml:space="preserve">に反映して再生成する</t>
        </r>
      </text>
    </comment>
  </commentList>
</comments>
</file>

<file path=xl/sharedStrings.xml><?xml version="1.0" encoding="utf-8"?>
<sst xmlns="http://schemas.openxmlformats.org/spreadsheetml/2006/main" count="7356" uniqueCount="3107">
  <si>
    <r>
      <rPr>
        <b val="true"/>
        <sz val="16"/>
        <color rgb="FF1F4E5F"/>
        <rFont val="WenQuanYi Zen Hei"/>
        <family val="2"/>
      </rPr>
      <t xml:space="preserve">エクソソーム仕入・販売トレーサビリティ管理システム（</t>
    </r>
    <r>
      <rPr>
        <b val="true"/>
        <sz val="16"/>
        <color rgb="FF1F4E5F"/>
        <rFont val="Arial"/>
        <family val="0"/>
        <charset val="1"/>
      </rPr>
      <t xml:space="preserve">EXO-TRACE</t>
    </r>
    <r>
      <rPr>
        <b val="true"/>
        <sz val="16"/>
        <color rgb="FF1F4E5F"/>
        <rFont val="WenQuanYi Zen Hei"/>
        <family val="2"/>
      </rPr>
      <t xml:space="preserve">）</t>
    </r>
  </si>
  <si>
    <t xml:space="preserve">詳細設計書</t>
  </si>
  <si>
    <t xml:space="preserve">版数</t>
  </si>
  <si>
    <t xml:space="preserve">1.0</t>
  </si>
  <si>
    <t xml:space="preserve">作成日</t>
  </si>
  <si>
    <t xml:space="preserve">2026-10-04</t>
  </si>
  <si>
    <t xml:space="preserve">最終更新日</t>
  </si>
  <si>
    <t xml:space="preserve">作成</t>
  </si>
  <si>
    <r>
      <rPr>
        <sz val="10"/>
        <rFont val="Arial"/>
        <family val="0"/>
        <charset val="1"/>
      </rPr>
      <t xml:space="preserve">Claude</t>
    </r>
    <r>
      <rPr>
        <sz val="10"/>
        <rFont val="WenQuanYi Zen Hei"/>
        <family val="2"/>
      </rPr>
      <t xml:space="preserve">（自動生成・自己レビュー済）</t>
    </r>
  </si>
  <si>
    <t xml:space="preserve">生成元</t>
  </si>
  <si>
    <r>
      <rPr>
        <sz val="10"/>
        <rFont val="Arial"/>
        <family val="0"/>
        <charset val="1"/>
      </rPr>
      <t xml:space="preserve">docs/design/tools/spec.py → build.py</t>
    </r>
    <r>
      <rPr>
        <sz val="10"/>
        <rFont val="WenQuanYi Zen Hei"/>
        <family val="2"/>
      </rPr>
      <t xml:space="preserve">（設計変更は </t>
    </r>
    <r>
      <rPr>
        <sz val="10"/>
        <rFont val="Arial"/>
        <family val="0"/>
        <charset val="1"/>
      </rPr>
      <t xml:space="preserve">spec.py </t>
    </r>
    <r>
      <rPr>
        <sz val="10"/>
        <rFont val="WenQuanYi Zen Hei"/>
        <family val="2"/>
      </rPr>
      <t xml:space="preserve">を編集し再生成）</t>
    </r>
  </si>
  <si>
    <t xml:space="preserve">設計規模サマリ（各シートから自動集計）</t>
  </si>
  <si>
    <t xml:space="preserve">機能数</t>
  </si>
  <si>
    <r>
      <rPr>
        <sz val="10"/>
        <rFont val="WenQuanYi Zen Hei"/>
        <family val="2"/>
      </rPr>
      <t xml:space="preserve">  うち </t>
    </r>
    <r>
      <rPr>
        <sz val="10"/>
        <rFont val="Arial"/>
        <family val="0"/>
        <charset val="1"/>
      </rPr>
      <t xml:space="preserve">MUST</t>
    </r>
  </si>
  <si>
    <t xml:space="preserve">画面数</t>
  </si>
  <si>
    <t xml:space="preserve">画面項目数</t>
  </si>
  <si>
    <r>
      <rPr>
        <sz val="10"/>
        <rFont val="Arial"/>
        <family val="0"/>
        <charset val="1"/>
      </rPr>
      <t xml:space="preserve">API</t>
    </r>
    <r>
      <rPr>
        <sz val="10"/>
        <rFont val="WenQuanYi Zen Hei"/>
        <family val="2"/>
      </rPr>
      <t xml:space="preserve">数</t>
    </r>
  </si>
  <si>
    <t xml:space="preserve">テーブル数</t>
  </si>
  <si>
    <t xml:space="preserve">カラム数（共通カラム含む）</t>
  </si>
  <si>
    <t xml:space="preserve">業務ルール数</t>
  </si>
  <si>
    <t xml:space="preserve">未対応の課題</t>
  </si>
  <si>
    <t xml:space="preserve">レビュー指摘数（累計）</t>
  </si>
  <si>
    <t xml:space="preserve">  うち 対応済</t>
  </si>
  <si>
    <t xml:space="preserve">目次（クリックで移動）</t>
  </si>
  <si>
    <t xml:space="preserve">No</t>
  </si>
  <si>
    <t xml:space="preserve">シート</t>
  </si>
  <si>
    <t xml:space="preserve">内容</t>
  </si>
  <si>
    <t xml:space="preserve">改訂履歴</t>
  </si>
  <si>
    <t xml:space="preserve">版ごとの変更内容</t>
  </si>
  <si>
    <t xml:space="preserve">レビュー記録</t>
  </si>
  <si>
    <t xml:space="preserve">自己レビュー（修正ループ）の指摘と対応</t>
  </si>
  <si>
    <t xml:space="preserve">システム概要</t>
  </si>
  <si>
    <t xml:space="preserve">目的・スコープ・前提・構成</t>
  </si>
  <si>
    <t xml:space="preserve">業務フロー</t>
  </si>
  <si>
    <t xml:space="preserve">業務の流れと関連機能・データ</t>
  </si>
  <si>
    <t xml:space="preserve">機能一覧</t>
  </si>
  <si>
    <r>
      <rPr>
        <sz val="10"/>
        <rFont val="WenQuanYi Zen Hei"/>
        <family val="2"/>
      </rPr>
      <t xml:space="preserve">機能</t>
    </r>
    <r>
      <rPr>
        <sz val="10"/>
        <rFont val="Arial"/>
        <family val="0"/>
        <charset val="1"/>
      </rPr>
      <t xml:space="preserve">ID</t>
    </r>
    <r>
      <rPr>
        <sz val="10"/>
        <rFont val="WenQuanYi Zen Hei"/>
        <family val="2"/>
      </rPr>
      <t xml:space="preserve">・優先度・関連画面</t>
    </r>
  </si>
  <si>
    <t xml:space="preserve">画面一覧</t>
  </si>
  <si>
    <r>
      <rPr>
        <sz val="10"/>
        <rFont val="WenQuanYi Zen Hei"/>
        <family val="2"/>
      </rPr>
      <t xml:space="preserve">画面</t>
    </r>
    <r>
      <rPr>
        <sz val="10"/>
        <rFont val="Arial"/>
        <family val="0"/>
        <charset val="1"/>
      </rPr>
      <t xml:space="preserve">ID</t>
    </r>
    <r>
      <rPr>
        <sz val="10"/>
        <rFont val="WenQuanYi Zen Hei"/>
        <family val="2"/>
      </rPr>
      <t xml:space="preserve">・概要・操作</t>
    </r>
  </si>
  <si>
    <t xml:space="preserve">画面項目定義</t>
  </si>
  <si>
    <t xml:space="preserve">主要画面の入出力項目とチェック</t>
  </si>
  <si>
    <t xml:space="preserve">API一覧</t>
  </si>
  <si>
    <r>
      <rPr>
        <sz val="10"/>
        <rFont val="Arial"/>
        <family val="0"/>
        <charset val="1"/>
      </rPr>
      <t xml:space="preserve">REST API</t>
    </r>
    <r>
      <rPr>
        <sz val="10"/>
        <rFont val="WenQuanYi Zen Hei"/>
        <family val="2"/>
      </rPr>
      <t xml:space="preserve">・許可ロール・処理詳細</t>
    </r>
  </si>
  <si>
    <t xml:space="preserve">処理詳細</t>
  </si>
  <si>
    <t xml:space="preserve">主要処理のステップ・トランザクション・エラー</t>
  </si>
  <si>
    <t xml:space="preserve">業務ルール</t>
  </si>
  <si>
    <t xml:space="preserve">業務ルール・バリデーション</t>
  </si>
  <si>
    <t xml:space="preserve">状態遷移</t>
  </si>
  <si>
    <r>
      <rPr>
        <sz val="10"/>
        <rFont val="WenQuanYi Zen Hei"/>
        <family val="2"/>
      </rPr>
      <t xml:space="preserve">ロット</t>
    </r>
    <r>
      <rPr>
        <sz val="10"/>
        <rFont val="Arial"/>
        <family val="0"/>
        <charset val="1"/>
      </rPr>
      <t xml:space="preserve">/</t>
    </r>
    <r>
      <rPr>
        <sz val="10"/>
        <rFont val="WenQuanYi Zen Hei"/>
        <family val="2"/>
      </rPr>
      <t xml:space="preserve">発注</t>
    </r>
    <r>
      <rPr>
        <sz val="10"/>
        <rFont val="Arial"/>
        <family val="0"/>
        <charset val="1"/>
      </rPr>
      <t xml:space="preserve">/</t>
    </r>
    <r>
      <rPr>
        <sz val="10"/>
        <rFont val="WenQuanYi Zen Hei"/>
        <family val="2"/>
      </rPr>
      <t xml:space="preserve">受注</t>
    </r>
    <r>
      <rPr>
        <sz val="10"/>
        <rFont val="Arial"/>
        <family val="0"/>
        <charset val="1"/>
      </rPr>
      <t xml:space="preserve">/</t>
    </r>
    <r>
      <rPr>
        <sz val="10"/>
        <rFont val="WenQuanYi Zen Hei"/>
        <family val="2"/>
      </rPr>
      <t xml:space="preserve">出荷</t>
    </r>
    <r>
      <rPr>
        <sz val="10"/>
        <rFont val="Arial"/>
        <family val="0"/>
        <charset val="1"/>
      </rPr>
      <t xml:space="preserve">/</t>
    </r>
    <r>
      <rPr>
        <sz val="10"/>
        <rFont val="WenQuanYi Zen Hei"/>
        <family val="2"/>
      </rPr>
      <t xml:space="preserve">回収の状態遷移</t>
    </r>
  </si>
  <si>
    <t xml:space="preserve">テーブル一覧</t>
  </si>
  <si>
    <r>
      <rPr>
        <sz val="10"/>
        <rFont val="WenQuanYi Zen Hei"/>
        <family val="2"/>
      </rPr>
      <t xml:space="preserve">テーブル一覧（</t>
    </r>
    <r>
      <rPr>
        <sz val="10"/>
        <rFont val="Arial"/>
        <family val="0"/>
        <charset val="1"/>
      </rPr>
      <t xml:space="preserve">ER</t>
    </r>
    <r>
      <rPr>
        <sz val="10"/>
        <rFont val="WenQuanYi Zen Hei"/>
        <family val="2"/>
      </rPr>
      <t xml:space="preserve">概要）</t>
    </r>
  </si>
  <si>
    <t xml:space="preserve">項目定義</t>
  </si>
  <si>
    <t xml:space="preserve">全テーブルの項目定義</t>
  </si>
  <si>
    <t xml:space="preserve">インデックス・制約</t>
  </si>
  <si>
    <r>
      <rPr>
        <sz val="10"/>
        <rFont val="WenQuanYi Zen Hei"/>
        <family val="2"/>
      </rPr>
      <t xml:space="preserve">一意制約・</t>
    </r>
    <r>
      <rPr>
        <sz val="10"/>
        <rFont val="Arial"/>
        <family val="0"/>
        <charset val="1"/>
      </rPr>
      <t xml:space="preserve">CHECK</t>
    </r>
    <r>
      <rPr>
        <sz val="10"/>
        <rFont val="WenQuanYi Zen Hei"/>
        <family val="2"/>
      </rPr>
      <t xml:space="preserve">・インデックス</t>
    </r>
  </si>
  <si>
    <t xml:space="preserve">DDL</t>
  </si>
  <si>
    <r>
      <rPr>
        <sz val="10"/>
        <rFont val="Arial"/>
        <family val="0"/>
        <charset val="1"/>
      </rPr>
      <t xml:space="preserve">PostgreSQL</t>
    </r>
    <r>
      <rPr>
        <sz val="10"/>
        <rFont val="WenQuanYi Zen Hei"/>
        <family val="2"/>
      </rPr>
      <t xml:space="preserve">用 </t>
    </r>
    <r>
      <rPr>
        <sz val="10"/>
        <rFont val="Arial"/>
        <family val="0"/>
        <charset val="1"/>
      </rPr>
      <t xml:space="preserve">CREATE TABLE</t>
    </r>
    <r>
      <rPr>
        <sz val="10"/>
        <rFont val="WenQuanYi Zen Hei"/>
        <family val="2"/>
      </rPr>
      <t xml:space="preserve">（項目定義から自動生成）</t>
    </r>
  </si>
  <si>
    <t xml:space="preserve">主要SQL</t>
  </si>
  <si>
    <r>
      <rPr>
        <sz val="10"/>
        <rFont val="WenQuanYi Zen Hei"/>
        <family val="2"/>
      </rPr>
      <t xml:space="preserve">トレース・回収抽出・整合性チェック</t>
    </r>
    <r>
      <rPr>
        <sz val="10"/>
        <rFont val="Arial"/>
        <family val="0"/>
        <charset val="1"/>
      </rPr>
      <t xml:space="preserve">SQL</t>
    </r>
  </si>
  <si>
    <t xml:space="preserve">コード定義</t>
  </si>
  <si>
    <t xml:space="preserve">コード値の定義</t>
  </si>
  <si>
    <t xml:space="preserve">権限マトリクス</t>
  </si>
  <si>
    <r>
      <rPr>
        <sz val="10"/>
        <rFont val="WenQuanYi Zen Hei"/>
        <family val="2"/>
      </rPr>
      <t xml:space="preserve">機能</t>
    </r>
    <r>
      <rPr>
        <sz val="10"/>
        <rFont val="Arial"/>
        <family val="0"/>
        <charset val="1"/>
      </rPr>
      <t xml:space="preserve">×</t>
    </r>
    <r>
      <rPr>
        <sz val="10"/>
        <rFont val="WenQuanYi Zen Hei"/>
        <family val="2"/>
      </rPr>
      <t xml:space="preserve">ロールの権限</t>
    </r>
  </si>
  <si>
    <t xml:space="preserve">メッセージ一覧</t>
  </si>
  <si>
    <t xml:space="preserve">画面メッセージ</t>
  </si>
  <si>
    <t xml:space="preserve">帳票一覧</t>
  </si>
  <si>
    <r>
      <rPr>
        <sz val="10"/>
        <rFont val="WenQuanYi Zen Hei"/>
        <family val="2"/>
      </rPr>
      <t xml:space="preserve">帳票・</t>
    </r>
    <r>
      <rPr>
        <sz val="10"/>
        <rFont val="Arial"/>
        <family val="0"/>
        <charset val="1"/>
      </rPr>
      <t xml:space="preserve">CSV</t>
    </r>
    <r>
      <rPr>
        <sz val="10"/>
        <rFont val="WenQuanYi Zen Hei"/>
        <family val="2"/>
      </rPr>
      <t xml:space="preserve">出力</t>
    </r>
  </si>
  <si>
    <t xml:space="preserve">バッチ一覧</t>
  </si>
  <si>
    <t xml:space="preserve">定期バッチ</t>
  </si>
  <si>
    <t xml:space="preserve">非機能要件</t>
  </si>
  <si>
    <t xml:space="preserve">性能・セキュリティ・運用等</t>
  </si>
  <si>
    <t xml:space="preserve">課題一覧</t>
  </si>
  <si>
    <t xml:space="preserve">未決事項・確認事項</t>
  </si>
  <si>
    <t xml:space="preserve">凡例</t>
  </si>
  <si>
    <t xml:space="preserve">表の見出し</t>
  </si>
  <si>
    <t xml:space="preserve">グループ見出し（テーブル名・処理名等）</t>
  </si>
  <si>
    <t xml:space="preserve">トレーサビリティ上の重要項目（★）</t>
  </si>
  <si>
    <t xml:space="preserve">課題一覧：ステータス／回答欄は記入可（プルダウン）</t>
  </si>
  <si>
    <t xml:space="preserve">← 表紙へ</t>
  </si>
  <si>
    <t xml:space="preserve">版</t>
  </si>
  <si>
    <t xml:space="preserve">日付</t>
  </si>
  <si>
    <t xml:space="preserve">区分</t>
  </si>
  <si>
    <r>
      <rPr>
        <b val="true"/>
        <sz val="10"/>
        <color rgb="FFFFFFFF"/>
        <rFont val="WenQuanYi Zen Hei"/>
        <family val="2"/>
      </rPr>
      <t xml:space="preserve">作成</t>
    </r>
    <r>
      <rPr>
        <b val="true"/>
        <sz val="10"/>
        <color rgb="FFFFFFFF"/>
        <rFont val="Arial"/>
        <family val="0"/>
        <charset val="1"/>
      </rPr>
      <t xml:space="preserve">/</t>
    </r>
    <r>
      <rPr>
        <b val="true"/>
        <sz val="10"/>
        <color rgb="FFFFFFFF"/>
        <rFont val="WenQuanYi Zen Hei"/>
        <family val="2"/>
      </rPr>
      <t xml:space="preserve">修正者</t>
    </r>
  </si>
  <si>
    <t xml:space="preserve">0.1</t>
  </si>
  <si>
    <t xml:space="preserve">新規</t>
  </si>
  <si>
    <t xml:space="preserve">初版作成（概要・機能・画面・テーブル・項目定義・権限・非機能）</t>
  </si>
  <si>
    <t xml:space="preserve">Claude</t>
  </si>
  <si>
    <t xml:space="preserve">0.2</t>
  </si>
  <si>
    <t xml:space="preserve">修正</t>
  </si>
  <si>
    <r>
      <rPr>
        <sz val="10"/>
        <rFont val="WenQuanYi Zen Hei"/>
        <family val="2"/>
      </rPr>
      <t xml:space="preserve">詳細設計へ拡張（画面項目定義・</t>
    </r>
    <r>
      <rPr>
        <sz val="10"/>
        <rFont val="Arial"/>
        <family val="0"/>
        <charset val="1"/>
      </rPr>
      <t xml:space="preserve">API</t>
    </r>
    <r>
      <rPr>
        <sz val="10"/>
        <rFont val="WenQuanYi Zen Hei"/>
        <family val="2"/>
      </rPr>
      <t xml:space="preserve">・処理詳細・主要</t>
    </r>
    <r>
      <rPr>
        <sz val="10"/>
        <rFont val="Arial"/>
        <family val="0"/>
        <charset val="1"/>
      </rPr>
      <t xml:space="preserve">SQL</t>
    </r>
    <r>
      <rPr>
        <sz val="10"/>
        <rFont val="WenQuanYi Zen Hei"/>
        <family val="2"/>
      </rPr>
      <t xml:space="preserve">・インデックス・メッセージ・バッチ・</t>
    </r>
    <r>
      <rPr>
        <sz val="10"/>
        <rFont val="Arial"/>
        <family val="0"/>
        <charset val="1"/>
      </rPr>
      <t xml:space="preserve">DDL</t>
    </r>
    <r>
      <rPr>
        <sz val="10"/>
        <rFont val="WenQuanYi Zen Hei"/>
        <family val="2"/>
      </rPr>
      <t xml:space="preserve">）。第</t>
    </r>
    <r>
      <rPr>
        <sz val="10"/>
        <rFont val="Arial"/>
        <family val="0"/>
        <charset val="1"/>
      </rPr>
      <t xml:space="preserve">1</t>
    </r>
    <r>
      <rPr>
        <sz val="10"/>
        <rFont val="WenQuanYi Zen Hei"/>
        <family val="2"/>
      </rPr>
      <t xml:space="preserve">回 自動整合性チェック指摘</t>
    </r>
    <r>
      <rPr>
        <sz val="10"/>
        <rFont val="Arial"/>
        <family val="0"/>
        <charset val="1"/>
      </rPr>
      <t xml:space="preserve">18</t>
    </r>
    <r>
      <rPr>
        <sz val="10"/>
        <rFont val="WenQuanYi Zen Hei"/>
        <family val="2"/>
      </rPr>
      <t xml:space="preserve">件を修正</t>
    </r>
  </si>
  <si>
    <t xml:space="preserve">0.3</t>
  </si>
  <si>
    <r>
      <rPr>
        <sz val="10"/>
        <rFont val="WenQuanYi Zen Hei"/>
        <family val="2"/>
      </rPr>
      <t xml:space="preserve">第</t>
    </r>
    <r>
      <rPr>
        <sz val="10"/>
        <rFont val="Arial"/>
        <family val="0"/>
        <charset val="1"/>
      </rPr>
      <t xml:space="preserve">2</t>
    </r>
    <r>
      <rPr>
        <sz val="10"/>
        <rFont val="WenQuanYi Zen Hei"/>
        <family val="2"/>
      </rPr>
      <t xml:space="preserve">回 設計レビュー指摘</t>
    </r>
    <r>
      <rPr>
        <sz val="10"/>
        <rFont val="Arial"/>
        <family val="0"/>
        <charset val="1"/>
      </rPr>
      <t xml:space="preserve">20</t>
    </r>
    <r>
      <rPr>
        <sz val="10"/>
        <rFont val="WenQuanYi Zen Hei"/>
        <family val="2"/>
      </rPr>
      <t xml:space="preserve">件を修正（分納・ロット単位引当解除・回収品受入・排他制御・温度逸脱の遡及判定・返品の隔離保管・ステータス履歴・入荷取消・受注打切り等）。</t>
    </r>
    <r>
      <rPr>
        <sz val="10"/>
        <rFont val="Arial"/>
        <family val="0"/>
        <charset val="1"/>
      </rPr>
      <t xml:space="preserve">DDL/SQL</t>
    </r>
    <r>
      <rPr>
        <sz val="10"/>
        <rFont val="WenQuanYi Zen Hei"/>
        <family val="2"/>
      </rPr>
      <t xml:space="preserve">の実</t>
    </r>
    <r>
      <rPr>
        <sz val="10"/>
        <rFont val="Arial"/>
        <family val="0"/>
        <charset val="1"/>
      </rPr>
      <t xml:space="preserve">DB</t>
    </r>
    <r>
      <rPr>
        <sz val="10"/>
        <rFont val="WenQuanYi Zen Hei"/>
        <family val="2"/>
      </rPr>
      <t xml:space="preserve">検証で判明した初期ユーザー投入手順を追記</t>
    </r>
  </si>
  <si>
    <t xml:space="preserve">0.4</t>
  </si>
  <si>
    <r>
      <rPr>
        <sz val="10"/>
        <rFont val="WenQuanYi Zen Hei"/>
        <family val="2"/>
      </rPr>
      <t xml:space="preserve">第</t>
    </r>
    <r>
      <rPr>
        <sz val="10"/>
        <rFont val="Arial"/>
        <family val="0"/>
        <charset val="1"/>
      </rPr>
      <t xml:space="preserve">3</t>
    </r>
    <r>
      <rPr>
        <sz val="10"/>
        <rFont val="WenQuanYi Zen Hei"/>
        <family val="2"/>
      </rPr>
      <t xml:space="preserve">回 再レビュー指摘</t>
    </r>
    <r>
      <rPr>
        <sz val="10"/>
        <rFont val="Arial"/>
        <family val="0"/>
        <charset val="1"/>
      </rPr>
      <t xml:space="preserve">15</t>
    </r>
    <r>
      <rPr>
        <sz val="10"/>
        <rFont val="WenQuanYi Zen Hei"/>
        <family val="2"/>
      </rPr>
      <t xml:space="preserve">件を修正（ロック順序の統一 </t>
    </r>
    <r>
      <rPr>
        <sz val="10"/>
        <rFont val="Arial"/>
        <family val="0"/>
        <charset val="1"/>
      </rPr>
      <t xml:space="preserve">P-00</t>
    </r>
    <r>
      <rPr>
        <sz val="10"/>
        <rFont val="WenQuanYi Zen Hei"/>
        <family val="2"/>
      </rPr>
      <t xml:space="preserve">、未検品保留の解除先、分納時のロット状態別処理と隔離入庫・分納受入判定、回収対象の再抽出の消滅分更新、与信承認フロー、仕入先返品、回収登録</t>
    </r>
    <r>
      <rPr>
        <sz val="10"/>
        <rFont val="Arial"/>
        <family val="0"/>
        <charset val="1"/>
      </rPr>
      <t xml:space="preserve">/</t>
    </r>
    <r>
      <rPr>
        <sz val="10"/>
        <rFont val="WenQuanYi Zen Hei"/>
        <family val="2"/>
      </rPr>
      <t xml:space="preserve">抽出の分離、ロットステータス変更処理、全</t>
    </r>
    <r>
      <rPr>
        <sz val="10"/>
        <rFont val="Arial"/>
        <family val="0"/>
        <charset val="1"/>
      </rPr>
      <t xml:space="preserve">MUST</t>
    </r>
    <r>
      <rPr>
        <sz val="10"/>
        <rFont val="WenQuanYi Zen Hei"/>
        <family val="2"/>
      </rPr>
      <t xml:space="preserve">画面の項目定義）</t>
    </r>
  </si>
  <si>
    <t xml:space="preserve">確定</t>
  </si>
  <si>
    <r>
      <rPr>
        <sz val="10"/>
        <rFont val="WenQuanYi Zen Hei"/>
        <family val="2"/>
      </rPr>
      <t xml:space="preserve">第</t>
    </r>
    <r>
      <rPr>
        <sz val="10"/>
        <rFont val="Arial"/>
        <family val="0"/>
        <charset val="1"/>
      </rPr>
      <t xml:space="preserve">4</t>
    </r>
    <r>
      <rPr>
        <sz val="10"/>
        <rFont val="WenQuanYi Zen Hei"/>
        <family val="2"/>
      </rPr>
      <t xml:space="preserve">回 収束確認の指摘</t>
    </r>
    <r>
      <rPr>
        <sz val="10"/>
        <rFont val="Arial"/>
        <family val="0"/>
        <charset val="1"/>
      </rPr>
      <t xml:space="preserve">6</t>
    </r>
    <r>
      <rPr>
        <sz val="10"/>
        <rFont val="WenQuanYi Zen Hei"/>
        <family val="2"/>
      </rPr>
      <t xml:space="preserve">件を修正（隔離在庫の出所別管理、受注ロックと与信再判定、発注打切り状態、回収のロック順序、回収進捗更新の権限と自動判定、仕入先返品の参照伝票）。全自動チェック・実</t>
    </r>
    <r>
      <rPr>
        <sz val="10"/>
        <rFont val="Arial"/>
        <family val="0"/>
        <charset val="1"/>
      </rPr>
      <t xml:space="preserve">DB</t>
    </r>
    <r>
      <rPr>
        <sz val="10"/>
        <rFont val="WenQuanYi Zen Hei"/>
        <family val="2"/>
      </rPr>
      <t xml:space="preserve">検証を通過し初版確定</t>
    </r>
  </si>
  <si>
    <t xml:space="preserve">レビュー記録（自己修正ループ）</t>
  </si>
  <si>
    <r>
      <rPr>
        <i val="true"/>
        <sz val="9"/>
        <color rgb="FF595959"/>
        <rFont val="WenQuanYi Zen Hei"/>
        <family val="2"/>
      </rPr>
      <t xml:space="preserve">自動整合性チェック（</t>
    </r>
    <r>
      <rPr>
        <i val="true"/>
        <sz val="9"/>
        <color rgb="FF595959"/>
        <rFont val="Arial"/>
        <family val="0"/>
        <charset val="1"/>
      </rPr>
      <t xml:space="preserve">tools/check.py</t>
    </r>
    <r>
      <rPr>
        <i val="true"/>
        <sz val="9"/>
        <color rgb="FF595959"/>
        <rFont val="WenQuanYi Zen Hei"/>
        <family val="2"/>
      </rPr>
      <t xml:space="preserve">）と、別エージェントによる設計レビューの指摘・対応を記録</t>
    </r>
  </si>
  <si>
    <t xml:space="preserve">回</t>
  </si>
  <si>
    <t xml:space="preserve">観点</t>
  </si>
  <si>
    <t xml:space="preserve">指摘内容</t>
  </si>
  <si>
    <t xml:space="preserve">対応内容</t>
  </si>
  <si>
    <t xml:space="preserve">状態</t>
  </si>
  <si>
    <t xml:space="preserve">対応版</t>
  </si>
  <si>
    <t xml:space="preserve">R-01</t>
  </si>
  <si>
    <t xml:space="preserve">参照整合（業務ルール）</t>
  </si>
  <si>
    <r>
      <rPr>
        <sz val="10"/>
        <rFont val="Arial"/>
        <family val="0"/>
        <charset val="1"/>
      </rPr>
      <t xml:space="preserve">BR-01/02/03/05/14 </t>
    </r>
    <r>
      <rPr>
        <sz val="10"/>
        <rFont val="WenQuanYi Zen Hei"/>
        <family val="2"/>
      </rPr>
      <t xml:space="preserve">がどの処理詳細からも参照されていない（実装時に漏れる）</t>
    </r>
  </si>
  <si>
    <r>
      <rPr>
        <sz val="10"/>
        <rFont val="Arial"/>
        <family val="0"/>
        <charset val="1"/>
      </rPr>
      <t xml:space="preserve">P-04/P-05/P-06/P-08 </t>
    </r>
    <r>
      <rPr>
        <sz val="10"/>
        <rFont val="WenQuanYi Zen Hei"/>
        <family val="2"/>
      </rPr>
      <t xml:space="preserve">の該当ステップにルール</t>
    </r>
    <r>
      <rPr>
        <sz val="10"/>
        <rFont val="Arial"/>
        <family val="0"/>
        <charset val="1"/>
      </rPr>
      <t xml:space="preserve">ID</t>
    </r>
    <r>
      <rPr>
        <sz val="10"/>
        <rFont val="WenQuanYi Zen Hei"/>
        <family val="2"/>
      </rPr>
      <t xml:space="preserve">を明記</t>
    </r>
  </si>
  <si>
    <t xml:space="preserve">対応済</t>
  </si>
  <si>
    <t xml:space="preserve">R-02</t>
  </si>
  <si>
    <r>
      <rPr>
        <sz val="10"/>
        <rFont val="WenQuanYi Zen Hei"/>
        <family val="2"/>
      </rPr>
      <t xml:space="preserve">権限</t>
    </r>
    <r>
      <rPr>
        <sz val="10"/>
        <rFont val="Arial"/>
        <family val="0"/>
        <charset val="1"/>
      </rPr>
      <t xml:space="preserve">×API</t>
    </r>
  </si>
  <si>
    <r>
      <rPr>
        <sz val="10"/>
        <rFont val="Arial"/>
        <family val="0"/>
        <charset val="1"/>
      </rPr>
      <t xml:space="preserve">API-018</t>
    </r>
    <r>
      <rPr>
        <sz val="10"/>
        <rFont val="WenQuanYi Zen Hei"/>
        <family val="2"/>
      </rPr>
      <t xml:space="preserve">（販売可否ルール）が全ロール許可だが、権限マトリクスでは </t>
    </r>
    <r>
      <rPr>
        <sz val="10"/>
        <rFont val="Arial"/>
        <family val="0"/>
        <charset val="1"/>
      </rPr>
      <t xml:space="preserve">VIEWER </t>
    </r>
    <r>
      <rPr>
        <sz val="10"/>
        <rFont val="WenQuanYi Zen Hei"/>
        <family val="2"/>
      </rPr>
      <t xml:space="preserve">不可</t>
    </r>
  </si>
  <si>
    <r>
      <rPr>
        <sz val="10"/>
        <rFont val="WenQuanYi Zen Hei"/>
        <family val="2"/>
      </rPr>
      <t xml:space="preserve">許可ロールを </t>
    </r>
    <r>
      <rPr>
        <sz val="10"/>
        <rFont val="Arial"/>
        <family val="0"/>
        <charset val="1"/>
      </rPr>
      <t xml:space="preserve">ADMIN,QA </t>
    </r>
    <r>
      <rPr>
        <sz val="10"/>
        <rFont val="WenQuanYi Zen Hei"/>
        <family val="2"/>
      </rPr>
      <t xml:space="preserve">に限定（</t>
    </r>
    <r>
      <rPr>
        <sz val="10"/>
        <rFont val="Arial"/>
        <family val="0"/>
        <charset val="1"/>
      </rPr>
      <t xml:space="preserve">ADMIN</t>
    </r>
    <r>
      <rPr>
        <sz val="10"/>
        <rFont val="WenQuanYi Zen Hei"/>
        <family val="2"/>
      </rPr>
      <t xml:space="preserve">登録→</t>
    </r>
    <r>
      <rPr>
        <sz val="10"/>
        <rFont val="Arial"/>
        <family val="0"/>
        <charset val="1"/>
      </rPr>
      <t xml:space="preserve">QA</t>
    </r>
    <r>
      <rPr>
        <sz val="10"/>
        <rFont val="WenQuanYi Zen Hei"/>
        <family val="2"/>
      </rPr>
      <t xml:space="preserve">承認）</t>
    </r>
  </si>
  <si>
    <t xml:space="preserve">R-03</t>
  </si>
  <si>
    <r>
      <rPr>
        <sz val="10"/>
        <rFont val="Arial"/>
        <family val="0"/>
        <charset val="1"/>
      </rPr>
      <t xml:space="preserve">API-033</t>
    </r>
    <r>
      <rPr>
        <sz val="10"/>
        <rFont val="WenQuanYi Zen Hei"/>
        <family val="2"/>
      </rPr>
      <t xml:space="preserve">（添付）が </t>
    </r>
    <r>
      <rPr>
        <sz val="10"/>
        <rFont val="Arial"/>
        <family val="0"/>
        <charset val="1"/>
      </rPr>
      <t xml:space="preserve">ADMIN/WAREHOUSE </t>
    </r>
    <r>
      <rPr>
        <sz val="10"/>
        <rFont val="WenQuanYi Zen Hei"/>
        <family val="2"/>
      </rPr>
      <t xml:space="preserve">に更新許可だが、権限マトリクス </t>
    </r>
    <r>
      <rPr>
        <sz val="10"/>
        <rFont val="Arial"/>
        <family val="0"/>
        <charset val="1"/>
      </rPr>
      <t xml:space="preserve">RCV-02 </t>
    </r>
    <r>
      <rPr>
        <sz val="10"/>
        <rFont val="WenQuanYi Zen Hei"/>
        <family val="2"/>
      </rPr>
      <t xml:space="preserve">は参照のみ</t>
    </r>
  </si>
  <si>
    <r>
      <rPr>
        <sz val="10"/>
        <rFont val="WenQuanYi Zen Hei"/>
        <family val="2"/>
      </rPr>
      <t xml:space="preserve">添付アップロードを </t>
    </r>
    <r>
      <rPr>
        <sz val="10"/>
        <rFont val="Arial"/>
        <family val="0"/>
        <charset val="1"/>
      </rPr>
      <t xml:space="preserve">QA </t>
    </r>
    <r>
      <rPr>
        <sz val="10"/>
        <rFont val="WenQuanYi Zen Hei"/>
        <family val="2"/>
      </rPr>
      <t xml:space="preserve">に限定</t>
    </r>
  </si>
  <si>
    <t xml:space="preserve">R-04</t>
  </si>
  <si>
    <r>
      <rPr>
        <sz val="10"/>
        <rFont val="WenQuanYi Zen Hei"/>
        <family val="2"/>
      </rPr>
      <t xml:space="preserve">権限マトリクス </t>
    </r>
    <r>
      <rPr>
        <sz val="10"/>
        <rFont val="Arial"/>
        <family val="0"/>
        <charset val="1"/>
      </rPr>
      <t xml:space="preserve">INV-03 </t>
    </r>
    <r>
      <rPr>
        <sz val="10"/>
        <rFont val="WenQuanYi Zen Hei"/>
        <family val="2"/>
      </rPr>
      <t xml:space="preserve">で </t>
    </r>
    <r>
      <rPr>
        <sz val="10"/>
        <rFont val="Arial"/>
        <family val="0"/>
        <charset val="1"/>
      </rPr>
      <t xml:space="preserve">QA=A</t>
    </r>
    <r>
      <rPr>
        <sz val="10"/>
        <rFont val="WenQuanYi Zen Hei"/>
        <family val="2"/>
      </rPr>
      <t xml:space="preserve">（承認）だが、承認</t>
    </r>
    <r>
      <rPr>
        <sz val="10"/>
        <rFont val="Arial"/>
        <family val="0"/>
        <charset val="1"/>
      </rPr>
      <t xml:space="preserve">API</t>
    </r>
    <r>
      <rPr>
        <sz val="10"/>
        <rFont val="WenQuanYi Zen Hei"/>
        <family val="2"/>
      </rPr>
      <t xml:space="preserve">が存在しない</t>
    </r>
  </si>
  <si>
    <r>
      <rPr>
        <sz val="10"/>
        <rFont val="Arial"/>
        <family val="0"/>
        <charset val="1"/>
      </rPr>
      <t xml:space="preserve">INV-03 </t>
    </r>
    <r>
      <rPr>
        <sz val="10"/>
        <rFont val="WenQuanYi Zen Hei"/>
        <family val="2"/>
      </rPr>
      <t xml:space="preserve">の </t>
    </r>
    <r>
      <rPr>
        <sz val="10"/>
        <rFont val="Arial"/>
        <family val="0"/>
        <charset val="1"/>
      </rPr>
      <t xml:space="preserve">QA </t>
    </r>
    <r>
      <rPr>
        <sz val="10"/>
        <rFont val="WenQuanYi Zen Hei"/>
        <family val="2"/>
      </rPr>
      <t xml:space="preserve">を </t>
    </r>
    <r>
      <rPr>
        <sz val="10"/>
        <rFont val="Arial"/>
        <family val="0"/>
        <charset val="1"/>
      </rPr>
      <t xml:space="preserve">R </t>
    </r>
    <r>
      <rPr>
        <sz val="10"/>
        <rFont val="WenQuanYi Zen Hei"/>
        <family val="2"/>
      </rPr>
      <t xml:space="preserve">に変更（調整・廃棄は理由必須＋監査ログで統制）</t>
    </r>
  </si>
  <si>
    <t xml:space="preserve">R-05</t>
  </si>
  <si>
    <r>
      <rPr>
        <sz val="10"/>
        <rFont val="WenQuanYi Zen Hei"/>
        <family val="2"/>
      </rPr>
      <t xml:space="preserve">権限マトリクス </t>
    </r>
    <r>
      <rPr>
        <sz val="10"/>
        <rFont val="Arial"/>
        <family val="0"/>
        <charset val="1"/>
      </rPr>
      <t xml:space="preserve">SHP-03</t>
    </r>
    <r>
      <rPr>
        <sz val="10"/>
        <rFont val="WenQuanYi Zen Hei"/>
        <family val="2"/>
      </rPr>
      <t xml:space="preserve">（納品書）で </t>
    </r>
    <r>
      <rPr>
        <sz val="10"/>
        <rFont val="Arial"/>
        <family val="0"/>
        <charset val="1"/>
      </rPr>
      <t xml:space="preserve">C </t>
    </r>
    <r>
      <rPr>
        <sz val="10"/>
        <rFont val="WenQuanYi Zen Hei"/>
        <family val="2"/>
      </rPr>
      <t xml:space="preserve">が付いているが、対応</t>
    </r>
    <r>
      <rPr>
        <sz val="10"/>
        <rFont val="Arial"/>
        <family val="0"/>
        <charset val="1"/>
      </rPr>
      <t xml:space="preserve">API</t>
    </r>
    <r>
      <rPr>
        <sz val="10"/>
        <rFont val="WenQuanYi Zen Hei"/>
        <family val="2"/>
      </rPr>
      <t xml:space="preserve">は参照（</t>
    </r>
    <r>
      <rPr>
        <sz val="10"/>
        <rFont val="Arial"/>
        <family val="0"/>
        <charset val="1"/>
      </rPr>
      <t xml:space="preserve">GET</t>
    </r>
    <r>
      <rPr>
        <sz val="10"/>
        <rFont val="WenQuanYi Zen Hei"/>
        <family val="2"/>
      </rPr>
      <t xml:space="preserve">）のみ</t>
    </r>
  </si>
  <si>
    <r>
      <rPr>
        <sz val="10"/>
        <rFont val="Arial"/>
        <family val="0"/>
        <charset val="1"/>
      </rPr>
      <t xml:space="preserve">SHP-03 </t>
    </r>
    <r>
      <rPr>
        <sz val="10"/>
        <rFont val="WenQuanYi Zen Hei"/>
        <family val="2"/>
      </rPr>
      <t xml:space="preserve">を </t>
    </r>
    <r>
      <rPr>
        <sz val="10"/>
        <rFont val="Arial"/>
        <family val="0"/>
        <charset val="1"/>
      </rPr>
      <t xml:space="preserve">R </t>
    </r>
    <r>
      <rPr>
        <sz val="10"/>
        <rFont val="WenQuanYi Zen Hei"/>
        <family val="2"/>
      </rPr>
      <t xml:space="preserve">に変更し </t>
    </r>
    <r>
      <rPr>
        <sz val="10"/>
        <rFont val="Arial"/>
        <family val="0"/>
        <charset val="1"/>
      </rPr>
      <t xml:space="preserve">API</t>
    </r>
    <r>
      <rPr>
        <sz val="10"/>
        <rFont val="WenQuanYi Zen Hei"/>
        <family val="2"/>
      </rPr>
      <t xml:space="preserve">許可ロールと一致</t>
    </r>
  </si>
  <si>
    <t xml:space="preserve">R-06</t>
  </si>
  <si>
    <t xml:space="preserve">コード値</t>
  </si>
  <si>
    <t xml:space="preserve">由来・形態・ロールのコード定義がない</t>
  </si>
  <si>
    <t xml:space="preserve">コード定義シートに追加</t>
  </si>
  <si>
    <t xml:space="preserve">R-07</t>
  </si>
  <si>
    <t xml:space="preserve">保管温度区分・規制区分・顧客区分のカラム備考が日本語名、コード定義は英字コードで不一致</t>
  </si>
  <si>
    <r>
      <rPr>
        <sz val="10"/>
        <rFont val="WenQuanYi Zen Hei"/>
        <family val="2"/>
      </rPr>
      <t xml:space="preserve">備考を英字コードに統一（</t>
    </r>
    <r>
      <rPr>
        <sz val="10"/>
        <rFont val="Arial"/>
        <family val="0"/>
        <charset val="1"/>
      </rPr>
      <t xml:space="preserve">DB</t>
    </r>
    <r>
      <rPr>
        <sz val="10"/>
        <rFont val="WenQuanYi Zen Hei"/>
        <family val="2"/>
      </rPr>
      <t xml:space="preserve">はコード、画面は名称）</t>
    </r>
  </si>
  <si>
    <t xml:space="preserve">R-08</t>
  </si>
  <si>
    <t xml:space="preserve">メッセージ</t>
  </si>
  <si>
    <r>
      <rPr>
        <sz val="10"/>
        <rFont val="WenQuanYi Zen Hei"/>
        <family val="2"/>
      </rPr>
      <t xml:space="preserve">温度逸脱メッセージが『警告』なのに</t>
    </r>
    <r>
      <rPr>
        <sz val="10"/>
        <rFont val="Arial"/>
        <family val="0"/>
        <charset val="1"/>
      </rPr>
      <t xml:space="preserve">ID</t>
    </r>
    <r>
      <rPr>
        <sz val="10"/>
        <rFont val="WenQuanYi Zen Hei"/>
        <family val="2"/>
      </rPr>
      <t xml:space="preserve">がエラー系（</t>
    </r>
    <r>
      <rPr>
        <sz val="10"/>
        <rFont val="Arial"/>
        <family val="0"/>
        <charset val="1"/>
      </rPr>
      <t xml:space="preserve">MSG-E17</t>
    </r>
    <r>
      <rPr>
        <sz val="10"/>
        <rFont val="WenQuanYi Zen Hei"/>
        <family val="2"/>
      </rPr>
      <t xml:space="preserve">）</t>
    </r>
  </si>
  <si>
    <r>
      <rPr>
        <sz val="10"/>
        <rFont val="Arial"/>
        <family val="0"/>
        <charset val="1"/>
      </rPr>
      <t xml:space="preserve">MSG-W05 </t>
    </r>
    <r>
      <rPr>
        <sz val="10"/>
        <rFont val="WenQuanYi Zen Hei"/>
        <family val="2"/>
      </rPr>
      <t xml:space="preserve">に変更。</t>
    </r>
    <r>
      <rPr>
        <sz val="10"/>
        <rFont val="Arial"/>
        <family val="0"/>
        <charset val="1"/>
      </rPr>
      <t xml:space="preserve">ID</t>
    </r>
    <r>
      <rPr>
        <sz val="10"/>
        <rFont val="WenQuanYi Zen Hei"/>
        <family val="2"/>
      </rPr>
      <t xml:space="preserve">接頭辞と種別の一致を自動チェックに追加</t>
    </r>
  </si>
  <si>
    <t xml:space="preserve">R-09</t>
  </si>
  <si>
    <t xml:space="preserve">業務（分納）</t>
  </si>
  <si>
    <r>
      <rPr>
        <sz val="10"/>
        <rFont val="WenQuanYi Zen Hei"/>
        <family val="2"/>
      </rPr>
      <t xml:space="preserve">同一仕入先ロットが分納されると</t>
    </r>
    <r>
      <rPr>
        <sz val="10"/>
        <rFont val="Arial"/>
        <family val="0"/>
        <charset val="1"/>
      </rPr>
      <t xml:space="preserve">2</t>
    </r>
    <r>
      <rPr>
        <sz val="10"/>
        <rFont val="WenQuanYi Zen Hei"/>
        <family val="2"/>
      </rPr>
      <t xml:space="preserve">回目の入荷が重複エラーになる</t>
    </r>
  </si>
  <si>
    <r>
      <rPr>
        <sz val="10"/>
        <rFont val="Arial"/>
        <family val="0"/>
        <charset val="1"/>
      </rPr>
      <t xml:space="preserve">P-01 </t>
    </r>
    <r>
      <rPr>
        <sz val="10"/>
        <rFont val="WenQuanYi Zen Hei"/>
        <family val="2"/>
      </rPr>
      <t xml:space="preserve">で既存ロットに加算（使用期限一致必須）。入荷明細</t>
    </r>
    <r>
      <rPr>
        <sz val="10"/>
        <rFont val="Arial"/>
        <family val="0"/>
        <charset val="1"/>
      </rPr>
      <t xml:space="preserve">:</t>
    </r>
    <r>
      <rPr>
        <sz val="10"/>
        <rFont val="WenQuanYi Zen Hei"/>
        <family val="2"/>
      </rPr>
      <t xml:space="preserve">ロット＝多</t>
    </r>
    <r>
      <rPr>
        <sz val="10"/>
        <rFont val="Arial"/>
        <family val="0"/>
        <charset val="1"/>
      </rPr>
      <t xml:space="preserve">:1</t>
    </r>
    <r>
      <rPr>
        <sz val="10"/>
        <rFont val="WenQuanYi Zen Hei"/>
        <family val="2"/>
      </rPr>
      <t xml:space="preserve">。</t>
    </r>
    <r>
      <rPr>
        <sz val="10"/>
        <rFont val="Arial"/>
        <family val="0"/>
        <charset val="1"/>
      </rPr>
      <t xml:space="preserve">BR-15</t>
    </r>
    <r>
      <rPr>
        <sz val="10"/>
        <rFont val="WenQuanYi Zen Hei"/>
        <family val="2"/>
      </rPr>
      <t xml:space="preserve">・</t>
    </r>
    <r>
      <rPr>
        <sz val="10"/>
        <rFont val="Arial"/>
        <family val="0"/>
        <charset val="1"/>
      </rPr>
      <t xml:space="preserve">MSG-E05 </t>
    </r>
    <r>
      <rPr>
        <sz val="10"/>
        <rFont val="WenQuanYi Zen Hei"/>
        <family val="2"/>
      </rPr>
      <t xml:space="preserve">改訂</t>
    </r>
  </si>
  <si>
    <t xml:space="preserve">R-10</t>
  </si>
  <si>
    <t xml:space="preserve">業務（引当）</t>
  </si>
  <si>
    <r>
      <rPr>
        <sz val="10"/>
        <rFont val="Arial"/>
        <family val="0"/>
        <charset val="1"/>
      </rPr>
      <t xml:space="preserve">HOLD/EXPIRED/RECALLED </t>
    </r>
    <r>
      <rPr>
        <sz val="10"/>
        <rFont val="WenQuanYi Zen Hei"/>
        <family val="2"/>
      </rPr>
      <t xml:space="preserve">時に引当が残り廃棄できない。回収時に他ロット明細まで取消される</t>
    </r>
  </si>
  <si>
    <r>
      <rPr>
        <sz val="10"/>
        <rFont val="WenQuanYi Zen Hei"/>
        <family val="2"/>
      </rPr>
      <t xml:space="preserve">ロット指定の引当解除 </t>
    </r>
    <r>
      <rPr>
        <sz val="10"/>
        <rFont val="Arial"/>
        <family val="0"/>
        <charset val="1"/>
      </rPr>
      <t xml:space="preserve">P-11 </t>
    </r>
    <r>
      <rPr>
        <sz val="10"/>
        <rFont val="WenQuanYi Zen Hei"/>
        <family val="2"/>
      </rPr>
      <t xml:space="preserve">を新設し </t>
    </r>
    <r>
      <rPr>
        <sz val="10"/>
        <rFont val="Arial"/>
        <family val="0"/>
        <charset val="1"/>
      </rPr>
      <t xml:space="preserve">P-08/P-09/B-01/LOT-02 </t>
    </r>
    <r>
      <rPr>
        <sz val="10"/>
        <rFont val="WenQuanYi Zen Hei"/>
        <family val="2"/>
      </rPr>
      <t xml:space="preserve">から呼出。出荷明細に </t>
    </r>
    <r>
      <rPr>
        <sz val="10"/>
        <rFont val="Arial"/>
        <family val="0"/>
        <charset val="1"/>
      </rPr>
      <t xml:space="preserve">status </t>
    </r>
    <r>
      <rPr>
        <sz val="10"/>
        <rFont val="WenQuanYi Zen Hei"/>
        <family val="2"/>
      </rPr>
      <t xml:space="preserve">を追加し明細単位で解除</t>
    </r>
  </si>
  <si>
    <t xml:space="preserve">R-11</t>
  </si>
  <si>
    <r>
      <rPr>
        <sz val="10"/>
        <rFont val="Arial"/>
        <family val="0"/>
        <charset val="1"/>
      </rPr>
      <t xml:space="preserve">QUARANTINE→HOLD</t>
    </r>
    <r>
      <rPr>
        <sz val="10"/>
        <rFont val="WenQuanYi Zen Hei"/>
        <family val="2"/>
      </rPr>
      <t xml:space="preserve">、</t>
    </r>
    <r>
      <rPr>
        <sz val="10"/>
        <rFont val="Arial"/>
        <family val="0"/>
        <charset val="1"/>
      </rPr>
      <t xml:space="preserve">HOLD→EXPIRED</t>
    </r>
    <r>
      <rPr>
        <sz val="10"/>
        <rFont val="WenQuanYi Zen Hei"/>
        <family val="2"/>
      </rPr>
      <t xml:space="preserve">、期限切れ後の回収、</t>
    </r>
    <r>
      <rPr>
        <sz val="10"/>
        <rFont val="Arial"/>
        <family val="0"/>
        <charset val="1"/>
      </rPr>
      <t xml:space="preserve">REJECTED</t>
    </r>
    <r>
      <rPr>
        <sz val="10"/>
        <rFont val="WenQuanYi Zen Hei"/>
        <family val="2"/>
      </rPr>
      <t xml:space="preserve">後の扱いが未定義。保留解除で </t>
    </r>
    <r>
      <rPr>
        <sz val="10"/>
        <rFont val="Arial"/>
        <family val="0"/>
        <charset val="1"/>
      </rPr>
      <t xml:space="preserve">COA </t>
    </r>
    <r>
      <rPr>
        <sz val="10"/>
        <rFont val="WenQuanYi Zen Hei"/>
        <family val="2"/>
      </rPr>
      <t xml:space="preserve">なしに合格できる</t>
    </r>
  </si>
  <si>
    <r>
      <rPr>
        <sz val="10"/>
        <rFont val="WenQuanYi Zen Hei"/>
        <family val="2"/>
      </rPr>
      <t xml:space="preserve">状態遷移を網羅し、</t>
    </r>
    <r>
      <rPr>
        <sz val="10"/>
        <rFont val="Arial"/>
        <family val="0"/>
        <charset val="1"/>
      </rPr>
      <t xml:space="preserve">BR-17</t>
    </r>
    <r>
      <rPr>
        <sz val="10"/>
        <rFont val="WenQuanYi Zen Hei"/>
        <family val="2"/>
      </rPr>
      <t xml:space="preserve">（保留解除は </t>
    </r>
    <r>
      <rPr>
        <sz val="10"/>
        <rFont val="Arial"/>
        <family val="0"/>
        <charset val="1"/>
      </rPr>
      <t xml:space="preserve">COA </t>
    </r>
    <r>
      <rPr>
        <sz val="10"/>
        <rFont val="WenQuanYi Zen Hei"/>
        <family val="2"/>
      </rPr>
      <t xml:space="preserve">添付かつ検品済）を追加</t>
    </r>
  </si>
  <si>
    <t xml:space="preserve">R-12</t>
  </si>
  <si>
    <t xml:space="preserve">トレーサビリティ（回収）</t>
  </si>
  <si>
    <t xml:space="preserve">回収品の物理受入が在庫・返品に記録されず、追跡結果に反映されない</t>
  </si>
  <si>
    <r>
      <rPr>
        <sz val="10"/>
        <rFont val="WenQuanYi Zen Hei"/>
        <family val="2"/>
      </rPr>
      <t xml:space="preserve">返品に </t>
    </r>
    <r>
      <rPr>
        <sz val="10"/>
        <rFont val="Arial"/>
        <family val="0"/>
        <charset val="1"/>
      </rPr>
      <t xml:space="preserve">recall_target_id </t>
    </r>
    <r>
      <rPr>
        <sz val="10"/>
        <rFont val="WenQuanYi Zen Hei"/>
        <family val="2"/>
      </rPr>
      <t xml:space="preserve">を追加し回収品は返品登録で受入。</t>
    </r>
    <r>
      <rPr>
        <sz val="10"/>
        <rFont val="Arial"/>
        <family val="0"/>
        <charset val="1"/>
      </rPr>
      <t xml:space="preserve">recovered_qty </t>
    </r>
    <r>
      <rPr>
        <sz val="10"/>
        <rFont val="WenQuanYi Zen Hei"/>
        <family val="2"/>
      </rPr>
      <t xml:space="preserve">は返品から自動集計。</t>
    </r>
    <r>
      <rPr>
        <sz val="10"/>
        <rFont val="Arial"/>
        <family val="0"/>
        <charset val="1"/>
      </rPr>
      <t xml:space="preserve">BR-18</t>
    </r>
    <r>
      <rPr>
        <sz val="10"/>
        <rFont val="WenQuanYi Zen Hei"/>
        <family val="2"/>
      </rPr>
      <t xml:space="preserve">（回収品は廃棄のみ）</t>
    </r>
  </si>
  <si>
    <t xml:space="preserve">R-13</t>
  </si>
  <si>
    <t xml:space="preserve">同時実行</t>
  </si>
  <si>
    <t xml:space="preserve">出荷確定と回収登録、返品と出荷取消の競合でチェックをすり抜ける</t>
  </si>
  <si>
    <r>
      <rPr>
        <sz val="10"/>
        <rFont val="Arial"/>
        <family val="0"/>
        <charset val="1"/>
      </rPr>
      <t xml:space="preserve">P-05 </t>
    </r>
    <r>
      <rPr>
        <sz val="10"/>
        <rFont val="WenQuanYi Zen Hei"/>
        <family val="2"/>
      </rPr>
      <t xml:space="preserve">で </t>
    </r>
    <r>
      <rPr>
        <sz val="10"/>
        <rFont val="Arial"/>
        <family val="0"/>
        <charset val="1"/>
      </rPr>
      <t xml:space="preserve">t_lot FOR SHARE</t>
    </r>
    <r>
      <rPr>
        <sz val="10"/>
        <rFont val="WenQuanYi Zen Hei"/>
        <family val="2"/>
      </rPr>
      <t xml:space="preserve">、</t>
    </r>
    <r>
      <rPr>
        <sz val="10"/>
        <rFont val="Arial"/>
        <family val="0"/>
        <charset val="1"/>
      </rPr>
      <t xml:space="preserve">P-08 </t>
    </r>
    <r>
      <rPr>
        <sz val="10"/>
        <rFont val="WenQuanYi Zen Hei"/>
        <family val="2"/>
      </rPr>
      <t xml:space="preserve">で </t>
    </r>
    <r>
      <rPr>
        <sz val="10"/>
        <rFont val="Arial"/>
        <family val="0"/>
        <charset val="1"/>
      </rPr>
      <t xml:space="preserve">FOR UPDATE</t>
    </r>
    <r>
      <rPr>
        <sz val="10"/>
        <rFont val="WenQuanYi Zen Hei"/>
        <family val="2"/>
      </rPr>
      <t xml:space="preserve">、</t>
    </r>
    <r>
      <rPr>
        <sz val="10"/>
        <rFont val="Arial"/>
        <family val="0"/>
        <charset val="1"/>
      </rPr>
      <t xml:space="preserve">P-06/P-07 </t>
    </r>
    <r>
      <rPr>
        <sz val="10"/>
        <rFont val="WenQuanYi Zen Hei"/>
        <family val="2"/>
      </rPr>
      <t xml:space="preserve">で出荷明細 </t>
    </r>
    <r>
      <rPr>
        <sz val="10"/>
        <rFont val="Arial"/>
        <family val="0"/>
        <charset val="1"/>
      </rPr>
      <t xml:space="preserve">FOR UPDATE</t>
    </r>
    <r>
      <rPr>
        <sz val="10"/>
        <rFont val="WenQuanYi Zen Hei"/>
        <family val="2"/>
      </rPr>
      <t xml:space="preserve">。ロック順序を非機能要件に明記</t>
    </r>
  </si>
  <si>
    <t xml:space="preserve">R-14</t>
  </si>
  <si>
    <t xml:space="preserve">温度逸脱</t>
  </si>
  <si>
    <r>
      <rPr>
        <sz val="10"/>
        <rFont val="Arial"/>
        <family val="0"/>
        <charset val="1"/>
      </rPr>
      <t xml:space="preserve">CSV </t>
    </r>
    <r>
      <rPr>
        <sz val="10"/>
        <rFont val="WenQuanYi Zen Hei"/>
        <family val="2"/>
      </rPr>
      <t xml:space="preserve">遅延取込時、逸脱時点以降の出荷分・検品待ちロットが追跡されない</t>
    </r>
  </si>
  <si>
    <r>
      <rPr>
        <sz val="10"/>
        <rFont val="Arial"/>
        <family val="0"/>
        <charset val="1"/>
      </rPr>
      <t xml:space="preserve">P-09 </t>
    </r>
    <r>
      <rPr>
        <sz val="10"/>
        <rFont val="WenQuanYi Zen Hei"/>
        <family val="2"/>
      </rPr>
      <t xml:space="preserve">を測定日時時点の在庫で判定し、既出荷分は回収候補として </t>
    </r>
    <r>
      <rPr>
        <sz val="10"/>
        <rFont val="Arial"/>
        <family val="0"/>
        <charset val="1"/>
      </rPr>
      <t xml:space="preserve">QA </t>
    </r>
    <r>
      <rPr>
        <sz val="10"/>
        <rFont val="WenQuanYi Zen Hei"/>
        <family val="2"/>
      </rPr>
      <t xml:space="preserve">通知。</t>
    </r>
    <r>
      <rPr>
        <sz val="10"/>
        <rFont val="Arial"/>
        <family val="0"/>
        <charset val="1"/>
      </rPr>
      <t xml:space="preserve">QUARANTINE </t>
    </r>
    <r>
      <rPr>
        <sz val="10"/>
        <rFont val="WenQuanYi Zen Hei"/>
        <family val="2"/>
      </rPr>
      <t xml:space="preserve">も </t>
    </r>
    <r>
      <rPr>
        <sz val="10"/>
        <rFont val="Arial"/>
        <family val="0"/>
        <charset val="1"/>
      </rPr>
      <t xml:space="preserve">HOLD </t>
    </r>
    <r>
      <rPr>
        <sz val="10"/>
        <rFont val="WenQuanYi Zen Hei"/>
        <family val="2"/>
      </rPr>
      <t xml:space="preserve">対象</t>
    </r>
  </si>
  <si>
    <t xml:space="preserve">R-15</t>
  </si>
  <si>
    <t xml:space="preserve">在庫整合</t>
  </si>
  <si>
    <t xml:space="preserve">廃棄返品が移動履歴に残らず、在庫受払・整合式が崩れる</t>
  </si>
  <si>
    <r>
      <rPr>
        <sz val="10"/>
        <rFont val="WenQuanYi Zen Hei"/>
        <family val="2"/>
      </rPr>
      <t xml:space="preserve">返品は隔離保管場所（</t>
    </r>
    <r>
      <rPr>
        <sz val="10"/>
        <rFont val="Arial"/>
        <family val="0"/>
        <charset val="1"/>
      </rPr>
      <t xml:space="preserve">is_quarantine</t>
    </r>
    <r>
      <rPr>
        <sz val="10"/>
        <rFont val="WenQuanYi Zen Hei"/>
        <family val="2"/>
      </rPr>
      <t xml:space="preserve">）へ </t>
    </r>
    <r>
      <rPr>
        <sz val="10"/>
        <rFont val="Arial"/>
        <family val="0"/>
        <charset val="1"/>
      </rPr>
      <t xml:space="preserve">RETURN </t>
    </r>
    <r>
      <rPr>
        <sz val="10"/>
        <rFont val="WenQuanYi Zen Hei"/>
        <family val="2"/>
      </rPr>
      <t xml:space="preserve">計上し、廃棄は </t>
    </r>
    <r>
      <rPr>
        <sz val="10"/>
        <rFont val="Arial"/>
        <family val="0"/>
        <charset val="1"/>
      </rPr>
      <t xml:space="preserve">DISPOSE </t>
    </r>
    <r>
      <rPr>
        <sz val="10"/>
        <rFont val="WenQuanYi Zen Hei"/>
        <family val="2"/>
      </rPr>
      <t xml:space="preserve">を記録</t>
    </r>
  </si>
  <si>
    <t xml:space="preserve">R-16</t>
  </si>
  <si>
    <t xml:space="preserve">データモデル</t>
  </si>
  <si>
    <r>
      <rPr>
        <sz val="10"/>
        <rFont val="WenQuanYi Zen Hei"/>
        <family val="2"/>
      </rPr>
      <t xml:space="preserve">入荷下書き時に </t>
    </r>
    <r>
      <rPr>
        <sz val="10"/>
        <rFont val="Arial"/>
        <family val="0"/>
        <charset val="1"/>
      </rPr>
      <t xml:space="preserve">lot_id </t>
    </r>
    <r>
      <rPr>
        <sz val="10"/>
        <rFont val="WenQuanYi Zen Hei"/>
        <family val="2"/>
      </rPr>
      <t xml:space="preserve">が </t>
    </r>
    <r>
      <rPr>
        <sz val="10"/>
        <rFont val="Arial"/>
        <family val="0"/>
        <charset val="1"/>
      </rPr>
      <t xml:space="preserve">NOT NULL</t>
    </r>
    <r>
      <rPr>
        <sz val="10"/>
        <rFont val="WenQuanYi Zen Hei"/>
        <family val="2"/>
      </rPr>
      <t xml:space="preserve">、仕入先ロット番号等の保持先がない</t>
    </r>
  </si>
  <si>
    <r>
      <rPr>
        <sz val="10"/>
        <rFont val="Arial"/>
        <family val="0"/>
        <charset val="1"/>
      </rPr>
      <t xml:space="preserve">t_receipt_line </t>
    </r>
    <r>
      <rPr>
        <sz val="10"/>
        <rFont val="WenQuanYi Zen Hei"/>
        <family val="2"/>
      </rPr>
      <t xml:space="preserve">に </t>
    </r>
    <r>
      <rPr>
        <sz val="10"/>
        <rFont val="Arial"/>
        <family val="0"/>
        <charset val="1"/>
      </rPr>
      <t xml:space="preserve">supplier_lot_no</t>
    </r>
    <r>
      <rPr>
        <sz val="10"/>
        <rFont val="WenQuanYi Zen Hei"/>
        <family val="2"/>
      </rPr>
      <t xml:space="preserve">・</t>
    </r>
    <r>
      <rPr>
        <sz val="10"/>
        <rFont val="Arial"/>
        <family val="0"/>
        <charset val="1"/>
      </rPr>
      <t xml:space="preserve">manufactured_on</t>
    </r>
    <r>
      <rPr>
        <sz val="10"/>
        <rFont val="WenQuanYi Zen Hei"/>
        <family val="2"/>
      </rPr>
      <t xml:space="preserve">・</t>
    </r>
    <r>
      <rPr>
        <sz val="10"/>
        <rFont val="Arial"/>
        <family val="0"/>
        <charset val="1"/>
      </rPr>
      <t xml:space="preserve">expires_on</t>
    </r>
    <r>
      <rPr>
        <sz val="10"/>
        <rFont val="WenQuanYi Zen Hei"/>
        <family val="2"/>
      </rPr>
      <t xml:space="preserve">・</t>
    </r>
    <r>
      <rPr>
        <sz val="10"/>
        <rFont val="Arial"/>
        <family val="0"/>
        <charset val="1"/>
      </rPr>
      <t xml:space="preserve">arrival_temp </t>
    </r>
    <r>
      <rPr>
        <sz val="10"/>
        <rFont val="WenQuanYi Zen Hei"/>
        <family val="2"/>
      </rPr>
      <t xml:space="preserve">を追加し、</t>
    </r>
    <r>
      <rPr>
        <sz val="10"/>
        <rFont val="Arial"/>
        <family val="0"/>
        <charset val="1"/>
      </rPr>
      <t xml:space="preserve">lot_id </t>
    </r>
    <r>
      <rPr>
        <sz val="10"/>
        <rFont val="WenQuanYi Zen Hei"/>
        <family val="2"/>
      </rPr>
      <t xml:space="preserve">を </t>
    </r>
    <r>
      <rPr>
        <sz val="10"/>
        <rFont val="Arial"/>
        <family val="0"/>
        <charset val="1"/>
      </rPr>
      <t xml:space="preserve">NULL </t>
    </r>
    <r>
      <rPr>
        <sz val="10"/>
        <rFont val="WenQuanYi Zen Hei"/>
        <family val="2"/>
      </rPr>
      <t xml:space="preserve">可に変更</t>
    </r>
  </si>
  <si>
    <t xml:space="preserve">R-17</t>
  </si>
  <si>
    <r>
      <rPr>
        <sz val="10"/>
        <rFont val="Arial"/>
        <family val="0"/>
        <charset val="1"/>
      </rPr>
      <t xml:space="preserve">t_lot </t>
    </r>
    <r>
      <rPr>
        <sz val="10"/>
        <rFont val="WenQuanYi Zen Hei"/>
        <family val="2"/>
      </rPr>
      <t xml:space="preserve">に入荷日・原価がなく、移行ロットは原価が決まらず出荷不可</t>
    </r>
  </si>
  <si>
    <r>
      <rPr>
        <sz val="10"/>
        <rFont val="Arial"/>
        <family val="0"/>
        <charset val="1"/>
      </rPr>
      <t xml:space="preserve">t_lot </t>
    </r>
    <r>
      <rPr>
        <sz val="10"/>
        <rFont val="WenQuanYi Zen Hei"/>
        <family val="2"/>
      </rPr>
      <t xml:space="preserve">に </t>
    </r>
    <r>
      <rPr>
        <sz val="10"/>
        <rFont val="Arial"/>
        <family val="0"/>
        <charset val="1"/>
      </rPr>
      <t xml:space="preserve">received_on</t>
    </r>
    <r>
      <rPr>
        <sz val="10"/>
        <rFont val="WenQuanYi Zen Hei"/>
        <family val="2"/>
      </rPr>
      <t xml:space="preserve">・</t>
    </r>
    <r>
      <rPr>
        <sz val="10"/>
        <rFont val="Arial"/>
        <family val="0"/>
        <charset val="1"/>
      </rPr>
      <t xml:space="preserve">unit_cost</t>
    </r>
    <r>
      <rPr>
        <sz val="10"/>
        <rFont val="WenQuanYi Zen Hei"/>
        <family val="2"/>
      </rPr>
      <t xml:space="preserve">（加重平均）を追加。移行</t>
    </r>
    <r>
      <rPr>
        <sz val="10"/>
        <rFont val="Arial"/>
        <family val="0"/>
        <charset val="1"/>
      </rPr>
      <t xml:space="preserve">CSV</t>
    </r>
    <r>
      <rPr>
        <sz val="10"/>
        <rFont val="WenQuanYi Zen Hei"/>
        <family val="2"/>
      </rPr>
      <t xml:space="preserve">の必須項目を定義</t>
    </r>
  </si>
  <si>
    <t xml:space="preserve">R-18</t>
  </si>
  <si>
    <t xml:space="preserve">使用期限の既定値が入荷日起点で甘い。必須なのに未入力分岐がある</t>
  </si>
  <si>
    <t xml:space="preserve">既定値を製造日＋有効期間に変更し、未入力分岐を削除</t>
  </si>
  <si>
    <t xml:space="preserve">R-19</t>
  </si>
  <si>
    <t xml:space="preserve">業務（受注）</t>
  </si>
  <si>
    <t xml:space="preserve">受注の打切り・出荷取消時の戻し・引当中受注の編集ルールがない</t>
  </si>
  <si>
    <r>
      <rPr>
        <sz val="10"/>
        <rFont val="Arial"/>
        <family val="0"/>
        <charset val="1"/>
      </rPr>
      <t xml:space="preserve">CLOSED </t>
    </r>
    <r>
      <rPr>
        <sz val="10"/>
        <rFont val="WenQuanYi Zen Hei"/>
        <family val="2"/>
      </rPr>
      <t xml:space="preserve">と戻し遷移を追加。引当中の変更・取消は不可（</t>
    </r>
    <r>
      <rPr>
        <sz val="10"/>
        <rFont val="Arial"/>
        <family val="0"/>
        <charset val="1"/>
      </rPr>
      <t xml:space="preserve">MSG-E19</t>
    </r>
    <r>
      <rPr>
        <sz val="10"/>
        <rFont val="WenQuanYi Zen Hei"/>
        <family val="2"/>
      </rPr>
      <t xml:space="preserve">）</t>
    </r>
  </si>
  <si>
    <t xml:space="preserve">R-20</t>
  </si>
  <si>
    <t xml:space="preserve">業務（入荷取消）</t>
  </si>
  <si>
    <t xml:space="preserve">確定済入荷の取消処理がない</t>
  </si>
  <si>
    <r>
      <rPr>
        <sz val="10"/>
        <rFont val="Arial"/>
        <family val="0"/>
        <charset val="1"/>
      </rPr>
      <t xml:space="preserve">P-12 </t>
    </r>
    <r>
      <rPr>
        <sz val="10"/>
        <rFont val="WenQuanYi Zen Hei"/>
        <family val="2"/>
      </rPr>
      <t xml:space="preserve">入荷取消・</t>
    </r>
    <r>
      <rPr>
        <sz val="10"/>
        <rFont val="Arial"/>
        <family val="0"/>
        <charset val="1"/>
      </rPr>
      <t xml:space="preserve">API-034</t>
    </r>
    <r>
      <rPr>
        <sz val="10"/>
        <rFont val="WenQuanYi Zen Hei"/>
        <family val="2"/>
      </rPr>
      <t xml:space="preserve">・</t>
    </r>
    <r>
      <rPr>
        <sz val="10"/>
        <rFont val="Arial"/>
        <family val="0"/>
        <charset val="1"/>
      </rPr>
      <t xml:space="preserve">MSG-E20</t>
    </r>
    <r>
      <rPr>
        <sz val="10"/>
        <rFont val="WenQuanYi Zen Hei"/>
        <family val="2"/>
      </rPr>
      <t xml:space="preserve">・</t>
    </r>
    <r>
      <rPr>
        <sz val="10"/>
        <rFont val="Arial"/>
        <family val="0"/>
        <charset val="1"/>
      </rPr>
      <t xml:space="preserve">VOID </t>
    </r>
    <r>
      <rPr>
        <sz val="10"/>
        <rFont val="WenQuanYi Zen Hei"/>
        <family val="2"/>
      </rPr>
      <t xml:space="preserve">ステータスを追加</t>
    </r>
  </si>
  <si>
    <t xml:space="preserve">R-21</t>
  </si>
  <si>
    <t xml:space="preserve">回収連絡が顧客単位で、現品のある納品先を区別できない。連絡先項目がない</t>
  </si>
  <si>
    <r>
      <rPr>
        <sz val="10"/>
        <rFont val="Arial"/>
        <family val="0"/>
        <charset val="1"/>
      </rPr>
      <t xml:space="preserve">t_recall_target </t>
    </r>
    <r>
      <rPr>
        <sz val="10"/>
        <rFont val="WenQuanYi Zen Hei"/>
        <family val="2"/>
      </rPr>
      <t xml:space="preserve">に </t>
    </r>
    <r>
      <rPr>
        <sz val="10"/>
        <rFont val="Arial"/>
        <family val="0"/>
        <charset val="1"/>
      </rPr>
      <t xml:space="preserve">ship_to_id </t>
    </r>
    <r>
      <rPr>
        <sz val="10"/>
        <rFont val="WenQuanYi Zen Hei"/>
        <family val="2"/>
      </rPr>
      <t xml:space="preserve">を追加し </t>
    </r>
    <r>
      <rPr>
        <sz val="10"/>
        <rFont val="Arial"/>
        <family val="0"/>
        <charset val="1"/>
      </rPr>
      <t xml:space="preserve">SQL-03 </t>
    </r>
    <r>
      <rPr>
        <sz val="10"/>
        <rFont val="WenQuanYi Zen Hei"/>
        <family val="2"/>
      </rPr>
      <t xml:space="preserve">を納品先単位に。顧客・納品先に担当者・メールを追加</t>
    </r>
  </si>
  <si>
    <t xml:space="preserve">R-22</t>
  </si>
  <si>
    <t xml:space="preserve">SQL</t>
  </si>
  <si>
    <r>
      <rPr>
        <sz val="10"/>
        <rFont val="Arial"/>
        <family val="0"/>
        <charset val="1"/>
      </rPr>
      <t xml:space="preserve">SQL-02 </t>
    </r>
    <r>
      <rPr>
        <sz val="10"/>
        <rFont val="WenQuanYi Zen Hei"/>
        <family val="2"/>
      </rPr>
      <t xml:space="preserve">に返品が反映されない。回収対象の出荷数量が抽出時点で固定</t>
    </r>
  </si>
  <si>
    <r>
      <rPr>
        <sz val="10"/>
        <rFont val="Arial"/>
        <family val="0"/>
        <charset val="1"/>
      </rPr>
      <t xml:space="preserve">SQL-02 </t>
    </r>
    <r>
      <rPr>
        <sz val="10"/>
        <rFont val="WenQuanYi Zen Hei"/>
        <family val="2"/>
      </rPr>
      <t xml:space="preserve">に返品・正味数量を追加。</t>
    </r>
    <r>
      <rPr>
        <sz val="10"/>
        <rFont val="Arial"/>
        <family val="0"/>
        <charset val="1"/>
      </rPr>
      <t xml:space="preserve">SQL-03 </t>
    </r>
    <r>
      <rPr>
        <sz val="10"/>
        <rFont val="WenQuanYi Zen Hei"/>
        <family val="2"/>
      </rPr>
      <t xml:space="preserve">を </t>
    </r>
    <r>
      <rPr>
        <sz val="10"/>
        <rFont val="Arial"/>
        <family val="0"/>
        <charset val="1"/>
      </rPr>
      <t xml:space="preserve">UPSERT </t>
    </r>
    <r>
      <rPr>
        <sz val="10"/>
        <rFont val="WenQuanYi Zen Hei"/>
        <family val="2"/>
      </rPr>
      <t xml:space="preserve">で再実行可能にし、返品・出荷取消時に再抽出</t>
    </r>
  </si>
  <si>
    <t xml:space="preserve">R-23</t>
  </si>
  <si>
    <t xml:space="preserve">業務ルール（販売）</t>
  </si>
  <si>
    <t xml:space="preserve">販売可否・顧客有効性を出荷時に再確認しない。与信残高の算出元・承認記録がない</t>
  </si>
  <si>
    <r>
      <rPr>
        <sz val="10"/>
        <rFont val="Arial"/>
        <family val="0"/>
        <charset val="1"/>
      </rPr>
      <t xml:space="preserve">P-05 </t>
    </r>
    <r>
      <rPr>
        <sz val="10"/>
        <rFont val="WenQuanYi Zen Hei"/>
        <family val="2"/>
      </rPr>
      <t xml:space="preserve">で再検証。与信残高の簡易算出を </t>
    </r>
    <r>
      <rPr>
        <sz val="10"/>
        <rFont val="Arial"/>
        <family val="0"/>
        <charset val="1"/>
      </rPr>
      <t xml:space="preserve">BR-11 </t>
    </r>
    <r>
      <rPr>
        <sz val="10"/>
        <rFont val="WenQuanYi Zen Hei"/>
        <family val="2"/>
      </rPr>
      <t xml:space="preserve">に定義（課題 </t>
    </r>
    <r>
      <rPr>
        <sz val="10"/>
        <rFont val="Arial"/>
        <family val="0"/>
        <charset val="1"/>
      </rPr>
      <t xml:space="preserve">Q-09</t>
    </r>
    <r>
      <rPr>
        <sz val="10"/>
        <rFont val="WenQuanYi Zen Hei"/>
        <family val="2"/>
      </rPr>
      <t xml:space="preserve">）。承認者・日時カラムを追加</t>
    </r>
  </si>
  <si>
    <t xml:space="preserve">R-24</t>
  </si>
  <si>
    <t xml:space="preserve">ロットの判定経緯を構造化して保持できない</t>
  </si>
  <si>
    <r>
      <rPr>
        <sz val="10"/>
        <rFont val="Arial"/>
        <family val="0"/>
        <charset val="1"/>
      </rPr>
      <t xml:space="preserve">t_lot_status_history </t>
    </r>
    <r>
      <rPr>
        <sz val="10"/>
        <rFont val="WenQuanYi Zen Hei"/>
        <family val="2"/>
      </rPr>
      <t xml:space="preserve">を追加（温度記録・回収案件との関連付け）</t>
    </r>
  </si>
  <si>
    <t xml:space="preserve">R-25</t>
  </si>
  <si>
    <r>
      <rPr>
        <sz val="10"/>
        <rFont val="WenQuanYi Zen Hei"/>
        <family val="2"/>
      </rPr>
      <t xml:space="preserve">温度逸脱の保留がロット単位で、他保管場所の在庫も止まる。到着時温度がヘッダに</t>
    </r>
    <r>
      <rPr>
        <sz val="10"/>
        <rFont val="Arial"/>
        <family val="0"/>
        <charset val="1"/>
      </rPr>
      <t xml:space="preserve">1</t>
    </r>
    <r>
      <rPr>
        <sz val="10"/>
        <rFont val="WenQuanYi Zen Hei"/>
        <family val="2"/>
      </rPr>
      <t xml:space="preserve">つ</t>
    </r>
  </si>
  <si>
    <r>
      <rPr>
        <sz val="10"/>
        <rFont val="WenQuanYi Zen Hei"/>
        <family val="2"/>
      </rPr>
      <t xml:space="preserve">到着時温度を明細へ移動。保留単位は安全側のロット単位を維持し、課題 </t>
    </r>
    <r>
      <rPr>
        <sz val="10"/>
        <rFont val="Arial"/>
        <family val="0"/>
        <charset val="1"/>
      </rPr>
      <t xml:space="preserve">Q-10 </t>
    </r>
    <r>
      <rPr>
        <sz val="10"/>
        <rFont val="WenQuanYi Zen Hei"/>
        <family val="2"/>
      </rPr>
      <t xml:space="preserve">として </t>
    </r>
    <r>
      <rPr>
        <sz val="10"/>
        <rFont val="Arial"/>
        <family val="0"/>
        <charset val="1"/>
      </rPr>
      <t xml:space="preserve">QA </t>
    </r>
    <r>
      <rPr>
        <sz val="10"/>
        <rFont val="WenQuanYi Zen Hei"/>
        <family val="2"/>
      </rPr>
      <t xml:space="preserve">と協議</t>
    </r>
  </si>
  <si>
    <t xml:space="preserve">R-26</t>
  </si>
  <si>
    <r>
      <rPr>
        <sz val="10"/>
        <rFont val="Arial"/>
        <family val="0"/>
        <charset val="1"/>
      </rPr>
      <t xml:space="preserve">SQL</t>
    </r>
    <r>
      <rPr>
        <sz val="10"/>
        <rFont val="WenQuanYi Zen Hei"/>
        <family val="2"/>
      </rPr>
      <t xml:space="preserve">／バッチ</t>
    </r>
  </si>
  <si>
    <r>
      <rPr>
        <sz val="10"/>
        <rFont val="Arial"/>
        <family val="0"/>
        <charset val="1"/>
      </rPr>
      <t xml:space="preserve">SQL-04 </t>
    </r>
    <r>
      <rPr>
        <sz val="10"/>
        <rFont val="WenQuanYi Zen Hei"/>
        <family val="2"/>
      </rPr>
      <t xml:space="preserve">は在庫行のない移動を検出できない。引当整合のチェックがない。引当中数量の定義がない</t>
    </r>
  </si>
  <si>
    <r>
      <rPr>
        <sz val="10"/>
        <rFont val="Arial"/>
        <family val="0"/>
        <charset val="1"/>
      </rPr>
      <t xml:space="preserve">SQL-04 </t>
    </r>
    <r>
      <rPr>
        <sz val="10"/>
        <rFont val="WenQuanYi Zen Hei"/>
        <family val="2"/>
      </rPr>
      <t xml:space="preserve">を </t>
    </r>
    <r>
      <rPr>
        <sz val="10"/>
        <rFont val="Arial"/>
        <family val="0"/>
        <charset val="1"/>
      </rPr>
      <t xml:space="preserve">FULL JOIN </t>
    </r>
    <r>
      <rPr>
        <sz val="10"/>
        <rFont val="WenQuanYi Zen Hei"/>
        <family val="2"/>
      </rPr>
      <t xml:space="preserve">に変更、</t>
    </r>
    <r>
      <rPr>
        <sz val="10"/>
        <rFont val="Arial"/>
        <family val="0"/>
        <charset val="1"/>
      </rPr>
      <t xml:space="preserve">SQL-05</t>
    </r>
    <r>
      <rPr>
        <sz val="10"/>
        <rFont val="WenQuanYi Zen Hei"/>
        <family val="2"/>
      </rPr>
      <t xml:space="preserve">（引当整合）を追加、</t>
    </r>
    <r>
      <rPr>
        <sz val="10"/>
        <rFont val="Arial"/>
        <family val="0"/>
        <charset val="1"/>
      </rPr>
      <t xml:space="preserve">P-04 </t>
    </r>
    <r>
      <rPr>
        <sz val="10"/>
        <rFont val="WenQuanYi Zen Hei"/>
        <family val="2"/>
      </rPr>
      <t xml:space="preserve">に引当中数量の定義を明記</t>
    </r>
  </si>
  <si>
    <t xml:space="preserve">R-27</t>
  </si>
  <si>
    <t xml:space="preserve">記述不足</t>
  </si>
  <si>
    <r>
      <rPr>
        <sz val="10"/>
        <rFont val="Arial"/>
        <family val="0"/>
        <charset val="1"/>
      </rPr>
      <t xml:space="preserve">SCR-32/34/43 </t>
    </r>
    <r>
      <rPr>
        <sz val="10"/>
        <rFont val="WenQuanYi Zen Hei"/>
        <family val="2"/>
      </rPr>
      <t xml:space="preserve">の画面項目、手動引当・回収完了の処理詳細、各種メッセージが不足</t>
    </r>
  </si>
  <si>
    <r>
      <rPr>
        <sz val="10"/>
        <rFont val="WenQuanYi Zen Hei"/>
        <family val="2"/>
      </rPr>
      <t xml:space="preserve">画面項目（</t>
    </r>
    <r>
      <rPr>
        <sz val="10"/>
        <rFont val="Arial"/>
        <family val="0"/>
        <charset val="1"/>
      </rPr>
      <t xml:space="preserve">SCR-31/32/33/34/43</t>
    </r>
    <r>
      <rPr>
        <sz val="10"/>
        <rFont val="WenQuanYi Zen Hei"/>
        <family val="2"/>
      </rPr>
      <t xml:space="preserve">）、</t>
    </r>
    <r>
      <rPr>
        <sz val="10"/>
        <rFont val="Arial"/>
        <family val="0"/>
        <charset val="1"/>
      </rPr>
      <t xml:space="preserve">P-13</t>
    </r>
    <r>
      <rPr>
        <sz val="10"/>
        <rFont val="WenQuanYi Zen Hei"/>
        <family val="2"/>
      </rPr>
      <t xml:space="preserve">・</t>
    </r>
    <r>
      <rPr>
        <sz val="10"/>
        <rFont val="Arial"/>
        <family val="0"/>
        <charset val="1"/>
      </rPr>
      <t xml:space="preserve">P-14</t>
    </r>
    <r>
      <rPr>
        <sz val="10"/>
        <rFont val="WenQuanYi Zen Hei"/>
        <family val="2"/>
      </rPr>
      <t xml:space="preserve">、</t>
    </r>
    <r>
      <rPr>
        <sz val="10"/>
        <rFont val="Arial"/>
        <family val="0"/>
        <charset val="1"/>
      </rPr>
      <t xml:space="preserve">MSG-E19</t>
    </r>
    <r>
      <rPr>
        <sz val="10"/>
        <rFont val="WenQuanYi Zen Hei"/>
        <family val="2"/>
      </rPr>
      <t xml:space="preserve">〜</t>
    </r>
    <r>
      <rPr>
        <sz val="10"/>
        <rFont val="Arial"/>
        <family val="0"/>
        <charset val="1"/>
      </rPr>
      <t xml:space="preserve">E24</t>
    </r>
    <r>
      <rPr>
        <sz val="10"/>
        <rFont val="WenQuanYi Zen Hei"/>
        <family val="2"/>
      </rPr>
      <t xml:space="preserve">・</t>
    </r>
    <r>
      <rPr>
        <sz val="10"/>
        <rFont val="Arial"/>
        <family val="0"/>
        <charset val="1"/>
      </rPr>
      <t xml:space="preserve">W06</t>
    </r>
    <r>
      <rPr>
        <sz val="10"/>
        <rFont val="WenQuanYi Zen Hei"/>
        <family val="2"/>
      </rPr>
      <t xml:space="preserve">・</t>
    </r>
    <r>
      <rPr>
        <sz val="10"/>
        <rFont val="Arial"/>
        <family val="0"/>
        <charset val="1"/>
      </rPr>
      <t xml:space="preserve">W07 </t>
    </r>
    <r>
      <rPr>
        <sz val="10"/>
        <rFont val="WenQuanYi Zen Hei"/>
        <family val="2"/>
      </rPr>
      <t xml:space="preserve">を追加。</t>
    </r>
    <r>
      <rPr>
        <sz val="10"/>
        <rFont val="Arial"/>
        <family val="0"/>
        <charset val="1"/>
      </rPr>
      <t xml:space="preserve">MUST </t>
    </r>
    <r>
      <rPr>
        <sz val="10"/>
        <rFont val="WenQuanYi Zen Hei"/>
        <family val="2"/>
      </rPr>
      <t xml:space="preserve">画面の項目定義有無を自動チェックに追加</t>
    </r>
  </si>
  <si>
    <t xml:space="preserve">R-28</t>
  </si>
  <si>
    <t xml:space="preserve">型・設計</t>
  </si>
  <si>
    <t xml:space="preserve">日時がタイムゾーンなし。ロット番号の固定長が成立しない。『出荷停止』ステータスが曖昧</t>
  </si>
  <si>
    <r>
      <rPr>
        <sz val="10"/>
        <rFont val="Arial"/>
        <family val="0"/>
        <charset val="1"/>
      </rPr>
      <t xml:space="preserve">TIMESTAMPTZ </t>
    </r>
    <r>
      <rPr>
        <sz val="10"/>
        <rFont val="WenQuanYi Zen Hei"/>
        <family val="2"/>
      </rPr>
      <t xml:space="preserve">に統一。ロット番号は最大</t>
    </r>
    <r>
      <rPr>
        <sz val="10"/>
        <rFont val="Arial"/>
        <family val="0"/>
        <charset val="1"/>
      </rPr>
      <t xml:space="preserve">30</t>
    </r>
    <r>
      <rPr>
        <sz val="10"/>
        <rFont val="WenQuanYi Zen Hei"/>
        <family val="2"/>
      </rPr>
      <t xml:space="preserve">文字の英数字に改定。出荷停止＝</t>
    </r>
    <r>
      <rPr>
        <sz val="10"/>
        <rFont val="Arial"/>
        <family val="0"/>
        <charset val="1"/>
      </rPr>
      <t xml:space="preserve">HOLD/RECALLED </t>
    </r>
    <r>
      <rPr>
        <sz val="10"/>
        <rFont val="WenQuanYi Zen Hei"/>
        <family val="2"/>
      </rPr>
      <t xml:space="preserve">と明記</t>
    </r>
  </si>
  <si>
    <t xml:space="preserve">R-29</t>
  </si>
  <si>
    <r>
      <rPr>
        <sz val="10"/>
        <rFont val="WenQuanYi Zen Hei"/>
        <family val="2"/>
      </rPr>
      <t xml:space="preserve">実</t>
    </r>
    <r>
      <rPr>
        <sz val="10"/>
        <rFont val="Arial"/>
        <family val="0"/>
        <charset val="1"/>
      </rPr>
      <t xml:space="preserve">DB</t>
    </r>
    <r>
      <rPr>
        <sz val="10"/>
        <rFont val="WenQuanYi Zen Hei"/>
        <family val="2"/>
      </rPr>
      <t xml:space="preserve">検証</t>
    </r>
  </si>
  <si>
    <r>
      <rPr>
        <sz val="10"/>
        <rFont val="Arial"/>
        <family val="0"/>
        <charset val="1"/>
      </rPr>
      <t xml:space="preserve">DDL/SQL </t>
    </r>
    <r>
      <rPr>
        <sz val="10"/>
        <rFont val="WenQuanYi Zen Hei"/>
        <family val="2"/>
      </rPr>
      <t xml:space="preserve">をサンプルデータで実行したところ、初期管理者が </t>
    </r>
    <r>
      <rPr>
        <sz val="10"/>
        <rFont val="Arial"/>
        <family val="0"/>
        <charset val="1"/>
      </rPr>
      <t xml:space="preserve">created_by </t>
    </r>
    <r>
      <rPr>
        <sz val="10"/>
        <rFont val="WenQuanYi Zen Hei"/>
        <family val="2"/>
      </rPr>
      <t xml:space="preserve">の自己参照で登録できないことが判明</t>
    </r>
  </si>
  <si>
    <r>
      <rPr>
        <sz val="10"/>
        <rFont val="WenQuanYi Zen Hei"/>
        <family val="2"/>
      </rPr>
      <t xml:space="preserve">非機能要件『マスタ移行』に初期管理者の投入手順（</t>
    </r>
    <r>
      <rPr>
        <sz val="10"/>
        <rFont val="Arial"/>
        <family val="0"/>
        <charset val="1"/>
      </rPr>
      <t xml:space="preserve">id=1 </t>
    </r>
    <r>
      <rPr>
        <sz val="10"/>
        <rFont val="WenQuanYi Zen Hei"/>
        <family val="2"/>
      </rPr>
      <t xml:space="preserve">明示）を追記。</t>
    </r>
    <r>
      <rPr>
        <sz val="10"/>
        <rFont val="Arial"/>
        <family val="0"/>
        <charset val="1"/>
      </rPr>
      <t xml:space="preserve">SQL</t>
    </r>
    <r>
      <rPr>
        <sz val="10"/>
        <rFont val="WenQuanYi Zen Hei"/>
        <family val="2"/>
      </rPr>
      <t xml:space="preserve">検証シナリオを </t>
    </r>
    <r>
      <rPr>
        <sz val="10"/>
        <rFont val="Arial"/>
        <family val="0"/>
        <charset val="1"/>
      </rPr>
      <t xml:space="preserve">ASSERT </t>
    </r>
    <r>
      <rPr>
        <sz val="10"/>
        <rFont val="WenQuanYi Zen Hei"/>
        <family val="2"/>
      </rPr>
      <t xml:space="preserve">付きで自動化</t>
    </r>
  </si>
  <si>
    <t xml:space="preserve">R-30</t>
  </si>
  <si>
    <r>
      <rPr>
        <sz val="10"/>
        <rFont val="WenQuanYi Zen Hei"/>
        <family val="2"/>
      </rPr>
      <t xml:space="preserve">ロック順序（ロット→在庫→伝票）に反する処理が多く、</t>
    </r>
    <r>
      <rPr>
        <sz val="10"/>
        <rFont val="Arial"/>
        <family val="0"/>
        <charset val="1"/>
      </rPr>
      <t xml:space="preserve">P-05 </t>
    </r>
    <r>
      <rPr>
        <sz val="10"/>
        <rFont val="WenQuanYi Zen Hei"/>
        <family val="2"/>
      </rPr>
      <t xml:space="preserve">と </t>
    </r>
    <r>
      <rPr>
        <sz val="10"/>
        <rFont val="Arial"/>
        <family val="0"/>
        <charset val="1"/>
      </rPr>
      <t xml:space="preserve">P-08 </t>
    </r>
    <r>
      <rPr>
        <sz val="10"/>
        <rFont val="WenQuanYi Zen Hei"/>
        <family val="2"/>
      </rPr>
      <t xml:space="preserve">でデッドロックし得る。</t>
    </r>
    <r>
      <rPr>
        <sz val="10"/>
        <rFont val="Arial"/>
        <family val="0"/>
        <charset val="1"/>
      </rPr>
      <t xml:space="preserve">P-04/P-13 </t>
    </r>
    <r>
      <rPr>
        <sz val="10"/>
        <rFont val="WenQuanYi Zen Hei"/>
        <family val="2"/>
      </rPr>
      <t xml:space="preserve">がロットをロックしない</t>
    </r>
  </si>
  <si>
    <r>
      <rPr>
        <sz val="10"/>
        <rFont val="WenQuanYi Zen Hei"/>
        <family val="2"/>
      </rPr>
      <t xml:space="preserve">共通手順 </t>
    </r>
    <r>
      <rPr>
        <sz val="10"/>
        <rFont val="Arial"/>
        <family val="0"/>
        <charset val="1"/>
      </rPr>
      <t xml:space="preserve">P-00 </t>
    </r>
    <r>
      <rPr>
        <sz val="10"/>
        <rFont val="WenQuanYi Zen Hei"/>
        <family val="2"/>
      </rPr>
      <t xml:space="preserve">を新設し、全処理のロック記述を </t>
    </r>
    <r>
      <rPr>
        <sz val="10"/>
        <rFont val="Arial"/>
        <family val="0"/>
        <charset val="1"/>
      </rPr>
      <t xml:space="preserve">P-00 </t>
    </r>
    <r>
      <rPr>
        <sz val="10"/>
        <rFont val="WenQuanYi Zen Hei"/>
        <family val="2"/>
      </rPr>
      <t xml:space="preserve">準拠に統一。</t>
    </r>
    <r>
      <rPr>
        <sz val="10"/>
        <rFont val="Arial"/>
        <family val="0"/>
        <charset val="1"/>
      </rPr>
      <t xml:space="preserve">P-04/P-13 </t>
    </r>
    <r>
      <rPr>
        <sz val="10"/>
        <rFont val="WenQuanYi Zen Hei"/>
        <family val="2"/>
      </rPr>
      <t xml:space="preserve">にロット </t>
    </r>
    <r>
      <rPr>
        <sz val="10"/>
        <rFont val="Arial"/>
        <family val="0"/>
        <charset val="1"/>
      </rPr>
      <t xml:space="preserve">FOR SHARE </t>
    </r>
    <r>
      <rPr>
        <sz val="10"/>
        <rFont val="WenQuanYi Zen Hei"/>
        <family val="2"/>
      </rPr>
      <t xml:space="preserve">を追加</t>
    </r>
  </si>
  <si>
    <t xml:space="preserve">R-31</t>
  </si>
  <si>
    <t xml:space="preserve">未検品で温度逸脱保留されたロットが合格にも検品にも進めない</t>
  </si>
  <si>
    <r>
      <rPr>
        <sz val="10"/>
        <rFont val="Arial"/>
        <family val="0"/>
        <charset val="1"/>
      </rPr>
      <t xml:space="preserve">HOLD→QUARANTINE</t>
    </r>
    <r>
      <rPr>
        <sz val="10"/>
        <rFont val="WenQuanYi Zen Hei"/>
        <family val="2"/>
      </rPr>
      <t xml:space="preserve">（未検品の保留解除）を追加し </t>
    </r>
    <r>
      <rPr>
        <sz val="10"/>
        <rFont val="Arial"/>
        <family val="0"/>
        <charset val="1"/>
      </rPr>
      <t xml:space="preserve">BR-17</t>
    </r>
    <r>
      <rPr>
        <sz val="10"/>
        <rFont val="WenQuanYi Zen Hei"/>
        <family val="2"/>
      </rPr>
      <t xml:space="preserve">・</t>
    </r>
    <r>
      <rPr>
        <sz val="10"/>
        <rFont val="Arial"/>
        <family val="0"/>
        <charset val="1"/>
      </rPr>
      <t xml:space="preserve">SCR-32</t>
    </r>
    <r>
      <rPr>
        <sz val="10"/>
        <rFont val="WenQuanYi Zen Hei"/>
        <family val="2"/>
      </rPr>
      <t xml:space="preserve">・</t>
    </r>
    <r>
      <rPr>
        <sz val="10"/>
        <rFont val="Arial"/>
        <family val="0"/>
        <charset val="1"/>
      </rPr>
      <t xml:space="preserve">MSG-E08 </t>
    </r>
    <r>
      <rPr>
        <sz val="10"/>
        <rFont val="WenQuanYi Zen Hei"/>
        <family val="2"/>
      </rPr>
      <t xml:space="preserve">を分岐</t>
    </r>
  </si>
  <si>
    <t xml:space="preserve">R-32</t>
  </si>
  <si>
    <r>
      <rPr>
        <sz val="10"/>
        <rFont val="WenQuanYi Zen Hei"/>
        <family val="2"/>
      </rPr>
      <t xml:space="preserve">分納が既存ロットの状態を見ずに加算する（</t>
    </r>
    <r>
      <rPr>
        <sz val="10"/>
        <rFont val="Arial"/>
        <family val="0"/>
        <charset val="1"/>
      </rPr>
      <t xml:space="preserve">VOID </t>
    </r>
    <r>
      <rPr>
        <sz val="10"/>
        <rFont val="WenQuanYi Zen Hei"/>
        <family val="2"/>
      </rPr>
      <t xml:space="preserve">再利用、</t>
    </r>
    <r>
      <rPr>
        <sz val="10"/>
        <rFont val="Arial"/>
        <family val="0"/>
        <charset val="1"/>
      </rPr>
      <t xml:space="preserve">REJECTED </t>
    </r>
    <r>
      <rPr>
        <sz val="10"/>
        <rFont val="WenQuanYi Zen Hei"/>
        <family val="2"/>
      </rPr>
      <t xml:space="preserve">等への入庫、</t>
    </r>
    <r>
      <rPr>
        <sz val="10"/>
        <rFont val="Arial"/>
        <family val="0"/>
        <charset val="1"/>
      </rPr>
      <t xml:space="preserve">RELEASED </t>
    </r>
    <r>
      <rPr>
        <sz val="10"/>
        <rFont val="WenQuanYi Zen Hei"/>
        <family val="2"/>
      </rPr>
      <t xml:space="preserve">への無検品追加）</t>
    </r>
  </si>
  <si>
    <r>
      <rPr>
        <sz val="10"/>
        <rFont val="Arial"/>
        <family val="0"/>
        <charset val="1"/>
      </rPr>
      <t xml:space="preserve">P-01 </t>
    </r>
    <r>
      <rPr>
        <sz val="10"/>
        <rFont val="WenQuanYi Zen Hei"/>
        <family val="2"/>
      </rPr>
      <t xml:space="preserve">に状態別処理を定義（</t>
    </r>
    <r>
      <rPr>
        <sz val="10"/>
        <rFont val="Arial"/>
        <family val="0"/>
        <charset val="1"/>
      </rPr>
      <t xml:space="preserve">VOID→QUARANTINE</t>
    </r>
    <r>
      <rPr>
        <sz val="10"/>
        <rFont val="WenQuanYi Zen Hei"/>
        <family val="2"/>
      </rPr>
      <t xml:space="preserve">、</t>
    </r>
    <r>
      <rPr>
        <sz val="10"/>
        <rFont val="Arial"/>
        <family val="0"/>
        <charset val="1"/>
      </rPr>
      <t xml:space="preserve">REJECTED/RECALLED/EXPIRED→MSG-E25</t>
    </r>
    <r>
      <rPr>
        <sz val="10"/>
        <rFont val="WenQuanYi Zen Hei"/>
        <family val="2"/>
      </rPr>
      <t xml:space="preserve">、</t>
    </r>
    <r>
      <rPr>
        <sz val="10"/>
        <rFont val="Arial"/>
        <family val="0"/>
        <charset val="1"/>
      </rPr>
      <t xml:space="preserve">RELEASED/HOLD→</t>
    </r>
    <r>
      <rPr>
        <sz val="10"/>
        <rFont val="WenQuanYi Zen Hei"/>
        <family val="2"/>
      </rPr>
      <t xml:space="preserve">隔離入庫）。分納受入判定 </t>
    </r>
    <r>
      <rPr>
        <sz val="10"/>
        <rFont val="Arial"/>
        <family val="0"/>
        <charset val="1"/>
      </rPr>
      <t xml:space="preserve">P-16</t>
    </r>
    <r>
      <rPr>
        <sz val="10"/>
        <rFont val="WenQuanYi Zen Hei"/>
        <family val="2"/>
      </rPr>
      <t xml:space="preserve">・</t>
    </r>
    <r>
      <rPr>
        <sz val="10"/>
        <rFont val="Arial"/>
        <family val="0"/>
        <charset val="1"/>
      </rPr>
      <t xml:space="preserve">BR-19</t>
    </r>
    <r>
      <rPr>
        <sz val="10"/>
        <rFont val="WenQuanYi Zen Hei"/>
        <family val="2"/>
      </rPr>
      <t xml:space="preserve">・</t>
    </r>
    <r>
      <rPr>
        <sz val="10"/>
        <rFont val="Arial"/>
        <family val="0"/>
        <charset val="1"/>
      </rPr>
      <t xml:space="preserve">API-035 </t>
    </r>
    <r>
      <rPr>
        <sz val="10"/>
        <rFont val="WenQuanYi Zen Hei"/>
        <family val="2"/>
      </rPr>
      <t xml:space="preserve">を追加</t>
    </r>
  </si>
  <si>
    <t xml:space="preserve">R-33</t>
  </si>
  <si>
    <r>
      <rPr>
        <sz val="10"/>
        <rFont val="Arial"/>
        <family val="0"/>
        <charset val="1"/>
      </rPr>
      <t xml:space="preserve">SQL</t>
    </r>
    <r>
      <rPr>
        <sz val="10"/>
        <rFont val="WenQuanYi Zen Hei"/>
        <family val="2"/>
      </rPr>
      <t xml:space="preserve">（回収）</t>
    </r>
  </si>
  <si>
    <r>
      <rPr>
        <sz val="10"/>
        <rFont val="WenQuanYi Zen Hei"/>
        <family val="2"/>
      </rPr>
      <t xml:space="preserve">出荷取消で </t>
    </r>
    <r>
      <rPr>
        <sz val="10"/>
        <rFont val="Arial"/>
        <family val="0"/>
        <charset val="1"/>
      </rPr>
      <t xml:space="preserve">SHIPPED </t>
    </r>
    <r>
      <rPr>
        <sz val="10"/>
        <rFont val="WenQuanYi Zen Hei"/>
        <family val="2"/>
      </rPr>
      <t xml:space="preserve">明細が無くなった対象が古い数量のまま残り回収完了できない。回収数量充足で </t>
    </r>
    <r>
      <rPr>
        <sz val="10"/>
        <rFont val="Arial"/>
        <family val="0"/>
        <charset val="1"/>
      </rPr>
      <t xml:space="preserve">RECOVERED </t>
    </r>
    <r>
      <rPr>
        <sz val="10"/>
        <rFont val="WenQuanYi Zen Hei"/>
        <family val="2"/>
      </rPr>
      <t xml:space="preserve">にならない</t>
    </r>
  </si>
  <si>
    <r>
      <rPr>
        <sz val="10"/>
        <rFont val="Arial"/>
        <family val="0"/>
        <charset val="1"/>
      </rPr>
      <t xml:space="preserve">SQL-03 </t>
    </r>
    <r>
      <rPr>
        <sz val="10"/>
        <rFont val="WenQuanYi Zen Hei"/>
        <family val="2"/>
      </rPr>
      <t xml:space="preserve">に消滅分の </t>
    </r>
    <r>
      <rPr>
        <sz val="10"/>
        <rFont val="Arial"/>
        <family val="0"/>
        <charset val="1"/>
      </rPr>
      <t xml:space="preserve">UPDATE </t>
    </r>
    <r>
      <rPr>
        <sz val="10"/>
        <rFont val="WenQuanYi Zen Hei"/>
        <family val="2"/>
      </rPr>
      <t xml:space="preserve">を追加し、</t>
    </r>
    <r>
      <rPr>
        <sz val="10"/>
        <rFont val="Arial"/>
        <family val="0"/>
        <charset val="1"/>
      </rPr>
      <t xml:space="preserve">RECOVERED </t>
    </r>
    <r>
      <rPr>
        <sz val="10"/>
        <rFont val="WenQuanYi Zen Hei"/>
        <family val="2"/>
      </rPr>
      <t xml:space="preserve">判定（回収＋回収不能 </t>
    </r>
    <r>
      <rPr>
        <sz val="10"/>
        <rFont val="Arial"/>
        <family val="0"/>
        <charset val="1"/>
      </rPr>
      <t xml:space="preserve">&gt;= </t>
    </r>
    <r>
      <rPr>
        <sz val="10"/>
        <rFont val="WenQuanYi Zen Hei"/>
        <family val="2"/>
      </rPr>
      <t xml:space="preserve">出荷正味）を追加。</t>
    </r>
    <r>
      <rPr>
        <sz val="10"/>
        <rFont val="Arial"/>
        <family val="0"/>
        <charset val="1"/>
      </rPr>
      <t xml:space="preserve">ASSERT </t>
    </r>
    <r>
      <rPr>
        <sz val="10"/>
        <rFont val="WenQuanYi Zen Hei"/>
        <family val="2"/>
      </rPr>
      <t xml:space="preserve">で検証</t>
    </r>
  </si>
  <si>
    <t xml:space="preserve">R-34</t>
  </si>
  <si>
    <r>
      <rPr>
        <sz val="10"/>
        <rFont val="Arial"/>
        <family val="0"/>
        <charset val="1"/>
      </rPr>
      <t xml:space="preserve">P-06 </t>
    </r>
    <r>
      <rPr>
        <sz val="10"/>
        <rFont val="WenQuanYi Zen Hei"/>
        <family val="2"/>
      </rPr>
      <t xml:space="preserve">が </t>
    </r>
    <r>
      <rPr>
        <sz val="10"/>
        <rFont val="Arial"/>
        <family val="0"/>
        <charset val="1"/>
      </rPr>
      <t xml:space="preserve">CANCELLED </t>
    </r>
    <r>
      <rPr>
        <sz val="10"/>
        <rFont val="WenQuanYi Zen Hei"/>
        <family val="2"/>
      </rPr>
      <t xml:space="preserve">済明細も含めて減算・戻しを行う。</t>
    </r>
    <r>
      <rPr>
        <sz val="10"/>
        <rFont val="Arial"/>
        <family val="0"/>
        <charset val="1"/>
      </rPr>
      <t xml:space="preserve">P-07 RESTOCK </t>
    </r>
    <r>
      <rPr>
        <sz val="10"/>
        <rFont val="WenQuanYi Zen Hei"/>
        <family val="2"/>
      </rPr>
      <t xml:space="preserve">後のステータス未設定</t>
    </r>
  </si>
  <si>
    <r>
      <rPr>
        <sz val="10"/>
        <rFont val="Arial"/>
        <family val="0"/>
        <charset val="1"/>
      </rPr>
      <t xml:space="preserve">P-06 </t>
    </r>
    <r>
      <rPr>
        <sz val="10"/>
        <rFont val="WenQuanYi Zen Hei"/>
        <family val="2"/>
      </rPr>
      <t xml:space="preserve">を </t>
    </r>
    <r>
      <rPr>
        <sz val="10"/>
        <rFont val="Arial"/>
        <family val="0"/>
        <charset val="1"/>
      </rPr>
      <t xml:space="preserve">ALLOCATED</t>
    </r>
    <r>
      <rPr>
        <sz val="10"/>
        <rFont val="WenQuanYi Zen Hei"/>
        <family val="2"/>
      </rPr>
      <t xml:space="preserve">／</t>
    </r>
    <r>
      <rPr>
        <sz val="10"/>
        <rFont val="Arial"/>
        <family val="0"/>
        <charset val="1"/>
      </rPr>
      <t xml:space="preserve">SHIPPED </t>
    </r>
    <r>
      <rPr>
        <sz val="10"/>
        <rFont val="WenQuanYi Zen Hei"/>
        <family val="2"/>
      </rPr>
      <t xml:space="preserve">明細に限定。</t>
    </r>
    <r>
      <rPr>
        <sz val="10"/>
        <rFont val="Arial"/>
        <family val="0"/>
        <charset val="1"/>
      </rPr>
      <t xml:space="preserve">P-07 RESTOCK </t>
    </r>
    <r>
      <rPr>
        <sz val="10"/>
        <rFont val="WenQuanYi Zen Hei"/>
        <family val="2"/>
      </rPr>
      <t xml:space="preserve">に </t>
    </r>
    <r>
      <rPr>
        <sz val="10"/>
        <rFont val="Arial"/>
        <family val="0"/>
        <charset val="1"/>
      </rPr>
      <t xml:space="preserve">CLOSED </t>
    </r>
    <r>
      <rPr>
        <sz val="10"/>
        <rFont val="WenQuanYi Zen Hei"/>
        <family val="2"/>
      </rPr>
      <t xml:space="preserve">を追記</t>
    </r>
  </si>
  <si>
    <t xml:space="preserve">R-35</t>
  </si>
  <si>
    <r>
      <rPr>
        <sz val="10"/>
        <rFont val="WenQuanYi Zen Hei"/>
        <family val="2"/>
      </rPr>
      <t xml:space="preserve">入荷取消の </t>
    </r>
    <r>
      <rPr>
        <sz val="10"/>
        <rFont val="Arial"/>
        <family val="0"/>
        <charset val="1"/>
      </rPr>
      <t xml:space="preserve">VOID </t>
    </r>
    <r>
      <rPr>
        <sz val="10"/>
        <rFont val="WenQuanYi Zen Hei"/>
        <family val="2"/>
      </rPr>
      <t xml:space="preserve">遷移元・履歴記録・原価再計算が </t>
    </r>
    <r>
      <rPr>
        <sz val="10"/>
        <rFont val="Arial"/>
        <family val="0"/>
        <charset val="1"/>
      </rPr>
      <t xml:space="preserve">P-01 </t>
    </r>
    <r>
      <rPr>
        <sz val="10"/>
        <rFont val="WenQuanYi Zen Hei"/>
        <family val="2"/>
      </rPr>
      <t xml:space="preserve">と不整合</t>
    </r>
  </si>
  <si>
    <r>
      <rPr>
        <sz val="10"/>
        <rFont val="Arial"/>
        <family val="0"/>
        <charset val="1"/>
      </rPr>
      <t xml:space="preserve">P-12 </t>
    </r>
    <r>
      <rPr>
        <sz val="10"/>
        <rFont val="WenQuanYi Zen Hei"/>
        <family val="2"/>
      </rPr>
      <t xml:space="preserve">を </t>
    </r>
    <r>
      <rPr>
        <sz val="10"/>
        <rFont val="Arial"/>
        <family val="0"/>
        <charset val="1"/>
      </rPr>
      <t xml:space="preserve">QUARANTINE </t>
    </r>
    <r>
      <rPr>
        <sz val="10"/>
        <rFont val="WenQuanYi Zen Hei"/>
        <family val="2"/>
      </rPr>
      <t xml:space="preserve">ロットに限定し、履歴記録と移動平均の逆算式を定義</t>
    </r>
  </si>
  <si>
    <t xml:space="preserve">R-36</t>
  </si>
  <si>
    <t xml:space="preserve">業務（在庫処分）</t>
  </si>
  <si>
    <r>
      <rPr>
        <sz val="10"/>
        <rFont val="WenQuanYi Zen Hei"/>
        <family val="2"/>
      </rPr>
      <t xml:space="preserve">仕入先返品の移動区分・</t>
    </r>
    <r>
      <rPr>
        <sz val="10"/>
        <rFont val="Arial"/>
        <family val="0"/>
        <charset val="1"/>
      </rPr>
      <t xml:space="preserve">API</t>
    </r>
    <r>
      <rPr>
        <sz val="10"/>
        <rFont val="WenQuanYi Zen Hei"/>
        <family val="2"/>
      </rPr>
      <t xml:space="preserve">・処理がない</t>
    </r>
  </si>
  <si>
    <r>
      <rPr>
        <sz val="10"/>
        <rFont val="WenQuanYi Zen Hei"/>
        <family val="2"/>
      </rPr>
      <t xml:space="preserve">移動区分 </t>
    </r>
    <r>
      <rPr>
        <sz val="10"/>
        <rFont val="Arial"/>
        <family val="0"/>
        <charset val="1"/>
      </rPr>
      <t xml:space="preserve">SUPPLIER_RETURN</t>
    </r>
    <r>
      <rPr>
        <sz val="10"/>
        <rFont val="WenQuanYi Zen Hei"/>
        <family val="2"/>
      </rPr>
      <t xml:space="preserve">、</t>
    </r>
    <r>
      <rPr>
        <sz val="10"/>
        <rFont val="Arial"/>
        <family val="0"/>
        <charset val="1"/>
      </rPr>
      <t xml:space="preserve">P-17</t>
    </r>
    <r>
      <rPr>
        <sz val="10"/>
        <rFont val="WenQuanYi Zen Hei"/>
        <family val="2"/>
      </rPr>
      <t xml:space="preserve">、</t>
    </r>
    <r>
      <rPr>
        <sz val="10"/>
        <rFont val="Arial"/>
        <family val="0"/>
        <charset val="1"/>
      </rPr>
      <t xml:space="preserve">API-055</t>
    </r>
    <r>
      <rPr>
        <sz val="10"/>
        <rFont val="WenQuanYi Zen Hei"/>
        <family val="2"/>
      </rPr>
      <t xml:space="preserve">、</t>
    </r>
    <r>
      <rPr>
        <sz val="10"/>
        <rFont val="Arial"/>
        <family val="0"/>
        <charset val="1"/>
      </rPr>
      <t xml:space="preserve">SCR-34 </t>
    </r>
    <r>
      <rPr>
        <sz val="10"/>
        <rFont val="WenQuanYi Zen Hei"/>
        <family val="2"/>
      </rPr>
      <t xml:space="preserve">の処理区分を追加</t>
    </r>
  </si>
  <si>
    <t xml:space="preserve">R-37</t>
  </si>
  <si>
    <t xml:space="preserve">回収</t>
  </si>
  <si>
    <r>
      <rPr>
        <sz val="10"/>
        <rFont val="WenQuanYi Zen Hei"/>
        <family val="2"/>
      </rPr>
      <t xml:space="preserve">回収品返品の回収対象整合を検証しない。手動で </t>
    </r>
    <r>
      <rPr>
        <sz val="10"/>
        <rFont val="Arial"/>
        <family val="0"/>
        <charset val="1"/>
      </rPr>
      <t xml:space="preserve">RECOVERED </t>
    </r>
    <r>
      <rPr>
        <sz val="10"/>
        <rFont val="WenQuanYi Zen Hei"/>
        <family val="2"/>
      </rPr>
      <t xml:space="preserve">にでき自動集計と矛盾。回収不能数量・クローズ理由がない</t>
    </r>
  </si>
  <si>
    <r>
      <rPr>
        <sz val="10"/>
        <rFont val="Arial"/>
        <family val="0"/>
        <charset val="1"/>
      </rPr>
      <t xml:space="preserve">P-07 </t>
    </r>
    <r>
      <rPr>
        <sz val="10"/>
        <rFont val="WenQuanYi Zen Hei"/>
        <family val="2"/>
      </rPr>
      <t xml:space="preserve">に整合検証と必須条件（</t>
    </r>
    <r>
      <rPr>
        <sz val="10"/>
        <rFont val="Arial"/>
        <family val="0"/>
        <charset val="1"/>
      </rPr>
      <t xml:space="preserve">MSG-E26</t>
    </r>
    <r>
      <rPr>
        <sz val="10"/>
        <rFont val="WenQuanYi Zen Hei"/>
        <family val="2"/>
      </rPr>
      <t xml:space="preserve">）を追加。</t>
    </r>
    <r>
      <rPr>
        <sz val="10"/>
        <rFont val="Arial"/>
        <family val="0"/>
        <charset val="1"/>
      </rPr>
      <t xml:space="preserve">API-102 </t>
    </r>
    <r>
      <rPr>
        <sz val="10"/>
        <rFont val="WenQuanYi Zen Hei"/>
        <family val="2"/>
      </rPr>
      <t xml:space="preserve">は </t>
    </r>
    <r>
      <rPr>
        <sz val="10"/>
        <rFont val="Arial"/>
        <family val="0"/>
        <charset val="1"/>
      </rPr>
      <t xml:space="preserve">CONTACTED/CLOSED </t>
    </r>
    <r>
      <rPr>
        <sz val="10"/>
        <rFont val="WenQuanYi Zen Hei"/>
        <family val="2"/>
      </rPr>
      <t xml:space="preserve">のみ。</t>
    </r>
    <r>
      <rPr>
        <sz val="10"/>
        <rFont val="Arial"/>
        <family val="0"/>
        <charset val="1"/>
      </rPr>
      <t xml:space="preserve">unrecoverable_qty</t>
    </r>
    <r>
      <rPr>
        <sz val="10"/>
        <rFont val="WenQuanYi Zen Hei"/>
        <family val="2"/>
      </rPr>
      <t xml:space="preserve">・</t>
    </r>
    <r>
      <rPr>
        <sz val="10"/>
        <rFont val="Arial"/>
        <family val="0"/>
        <charset val="1"/>
      </rPr>
      <t xml:space="preserve">close_reason </t>
    </r>
    <r>
      <rPr>
        <sz val="10"/>
        <rFont val="WenQuanYi Zen Hei"/>
        <family val="2"/>
      </rPr>
      <t xml:space="preserve">を追加</t>
    </r>
  </si>
  <si>
    <t xml:space="preserve">R-38</t>
  </si>
  <si>
    <t xml:space="preserve">与信</t>
  </si>
  <si>
    <r>
      <rPr>
        <sz val="10"/>
        <rFont val="WenQuanYi Zen Hei"/>
        <family val="2"/>
      </rPr>
      <t xml:space="preserve">与信超過の承認手段（</t>
    </r>
    <r>
      <rPr>
        <sz val="10"/>
        <rFont val="Arial"/>
        <family val="0"/>
        <charset val="1"/>
      </rPr>
      <t xml:space="preserve">API</t>
    </r>
    <r>
      <rPr>
        <sz val="10"/>
        <rFont val="WenQuanYi Zen Hei"/>
        <family val="2"/>
      </rPr>
      <t xml:space="preserve">・画面・状態）がない</t>
    </r>
  </si>
  <si>
    <r>
      <rPr>
        <sz val="10"/>
        <rFont val="WenQuanYi Zen Hei"/>
        <family val="2"/>
      </rPr>
      <t xml:space="preserve">受注に </t>
    </r>
    <r>
      <rPr>
        <sz val="10"/>
        <rFont val="Arial"/>
        <family val="0"/>
        <charset val="1"/>
      </rPr>
      <t xml:space="preserve">CREDIT_PENDING </t>
    </r>
    <r>
      <rPr>
        <sz val="10"/>
        <rFont val="WenQuanYi Zen Hei"/>
        <family val="2"/>
      </rPr>
      <t xml:space="preserve">を追加し、</t>
    </r>
    <r>
      <rPr>
        <sz val="10"/>
        <rFont val="Arial"/>
        <family val="0"/>
        <charset val="1"/>
      </rPr>
      <t xml:space="preserve">API-063</t>
    </r>
    <r>
      <rPr>
        <sz val="10"/>
        <rFont val="WenQuanYi Zen Hei"/>
        <family val="2"/>
      </rPr>
      <t xml:space="preserve">・</t>
    </r>
    <r>
      <rPr>
        <sz val="10"/>
        <rFont val="Arial"/>
        <family val="0"/>
        <charset val="1"/>
      </rPr>
      <t xml:space="preserve">SCR-41 </t>
    </r>
    <r>
      <rPr>
        <sz val="10"/>
        <rFont val="WenQuanYi Zen Hei"/>
        <family val="2"/>
      </rPr>
      <t xml:space="preserve">の承認項目を追加</t>
    </r>
  </si>
  <si>
    <t xml:space="preserve">R-39</t>
  </si>
  <si>
    <r>
      <rPr>
        <sz val="10"/>
        <rFont val="Arial"/>
        <family val="0"/>
        <charset val="1"/>
      </rPr>
      <t xml:space="preserve">API-100/101 </t>
    </r>
    <r>
      <rPr>
        <sz val="10"/>
        <rFont val="WenQuanYi Zen Hei"/>
        <family val="2"/>
      </rPr>
      <t xml:space="preserve">が同じ </t>
    </r>
    <r>
      <rPr>
        <sz val="10"/>
        <rFont val="Arial"/>
        <family val="0"/>
        <charset val="1"/>
      </rPr>
      <t xml:space="preserve">P-08 </t>
    </r>
    <r>
      <rPr>
        <sz val="10"/>
        <rFont val="WenQuanYi Zen Hei"/>
        <family val="2"/>
      </rPr>
      <t xml:space="preserve">を指し責務が不明。</t>
    </r>
    <r>
      <rPr>
        <sz val="10"/>
        <rFont val="Arial"/>
        <family val="0"/>
        <charset val="1"/>
      </rPr>
      <t xml:space="preserve">OPEN </t>
    </r>
    <r>
      <rPr>
        <sz val="10"/>
        <rFont val="WenQuanYi Zen Hei"/>
        <family val="2"/>
      </rPr>
      <t xml:space="preserve">が永続化されない。再指定時の扱いが未定義</t>
    </r>
  </si>
  <si>
    <r>
      <rPr>
        <sz val="10"/>
        <rFont val="Arial"/>
        <family val="0"/>
        <charset val="1"/>
      </rPr>
      <t xml:space="preserve">P-08</t>
    </r>
    <r>
      <rPr>
        <sz val="10"/>
        <rFont val="WenQuanYi Zen Hei"/>
        <family val="2"/>
      </rPr>
      <t xml:space="preserve">（登録・</t>
    </r>
    <r>
      <rPr>
        <sz val="10"/>
        <rFont val="Arial"/>
        <family val="0"/>
        <charset val="1"/>
      </rPr>
      <t xml:space="preserve">OPEN</t>
    </r>
    <r>
      <rPr>
        <sz val="10"/>
        <rFont val="WenQuanYi Zen Hei"/>
        <family val="2"/>
      </rPr>
      <t xml:space="preserve">）と </t>
    </r>
    <r>
      <rPr>
        <sz val="10"/>
        <rFont val="Arial"/>
        <family val="0"/>
        <charset val="1"/>
      </rPr>
      <t xml:space="preserve">P-18</t>
    </r>
    <r>
      <rPr>
        <sz val="10"/>
        <rFont val="WenQuanYi Zen Hei"/>
        <family val="2"/>
      </rPr>
      <t xml:space="preserve">（抽出・冪等）に分離。既 </t>
    </r>
    <r>
      <rPr>
        <sz val="10"/>
        <rFont val="Arial"/>
        <family val="0"/>
        <charset val="1"/>
      </rPr>
      <t xml:space="preserve">RECALLED </t>
    </r>
    <r>
      <rPr>
        <sz val="10"/>
        <rFont val="WenQuanYi Zen Hei"/>
        <family val="2"/>
      </rPr>
      <t xml:space="preserve">はスキップ、</t>
    </r>
    <r>
      <rPr>
        <sz val="10"/>
        <rFont val="Arial"/>
        <family val="0"/>
        <charset val="1"/>
      </rPr>
      <t xml:space="preserve">VOID </t>
    </r>
    <r>
      <rPr>
        <sz val="10"/>
        <rFont val="WenQuanYi Zen Hei"/>
        <family val="2"/>
      </rPr>
      <t xml:space="preserve">は </t>
    </r>
    <r>
      <rPr>
        <sz val="10"/>
        <rFont val="Arial"/>
        <family val="0"/>
        <charset val="1"/>
      </rPr>
      <t xml:space="preserve">MSG-E27</t>
    </r>
    <r>
      <rPr>
        <sz val="10"/>
        <rFont val="WenQuanYi Zen Hei"/>
        <family val="2"/>
      </rPr>
      <t xml:space="preserve">、</t>
    </r>
    <r>
      <rPr>
        <sz val="10"/>
        <rFont val="Arial"/>
        <family val="0"/>
        <charset val="1"/>
      </rPr>
      <t xml:space="preserve">REJECTED </t>
    </r>
    <r>
      <rPr>
        <sz val="10"/>
        <rFont val="WenQuanYi Zen Hei"/>
        <family val="2"/>
      </rPr>
      <t xml:space="preserve">からの回収を許可</t>
    </r>
  </si>
  <si>
    <t xml:space="preserve">R-40</t>
  </si>
  <si>
    <r>
      <rPr>
        <sz val="10"/>
        <rFont val="Arial"/>
        <family val="0"/>
        <charset val="1"/>
      </rPr>
      <t xml:space="preserve">LOT-02 </t>
    </r>
    <r>
      <rPr>
        <sz val="10"/>
        <rFont val="WenQuanYi Zen Hei"/>
        <family val="2"/>
      </rPr>
      <t xml:space="preserve">の処理（遷移検証・履歴）が未定義。自動処理の作成者（システムユーザー）が未定義</t>
    </r>
  </si>
  <si>
    <r>
      <rPr>
        <sz val="10"/>
        <rFont val="Arial"/>
        <family val="0"/>
        <charset val="1"/>
      </rPr>
      <t xml:space="preserve">P-15 </t>
    </r>
    <r>
      <rPr>
        <sz val="10"/>
        <rFont val="WenQuanYi Zen Hei"/>
        <family val="2"/>
      </rPr>
      <t xml:space="preserve">を新設（</t>
    </r>
    <r>
      <rPr>
        <sz val="10"/>
        <rFont val="Arial"/>
        <family val="0"/>
        <charset val="1"/>
      </rPr>
      <t xml:space="preserve">MSG-E29</t>
    </r>
    <r>
      <rPr>
        <sz val="10"/>
        <rFont val="WenQuanYi Zen Hei"/>
        <family val="2"/>
      </rPr>
      <t xml:space="preserve">）。システムユーザー（</t>
    </r>
    <r>
      <rPr>
        <sz val="10"/>
        <rFont val="Arial"/>
        <family val="0"/>
        <charset val="1"/>
      </rPr>
      <t xml:space="preserve">id=2</t>
    </r>
    <r>
      <rPr>
        <sz val="10"/>
        <rFont val="WenQuanYi Zen Hei"/>
        <family val="2"/>
      </rPr>
      <t xml:space="preserve">）を移行要件に追記</t>
    </r>
  </si>
  <si>
    <t xml:space="preserve">R-41</t>
  </si>
  <si>
    <t xml:space="preserve">在庫</t>
  </si>
  <si>
    <r>
      <rPr>
        <sz val="10"/>
        <rFont val="WenQuanYi Zen Hei"/>
        <family val="2"/>
      </rPr>
      <t xml:space="preserve">隔離保管場所の返品在庫を </t>
    </r>
    <r>
      <rPr>
        <sz val="10"/>
        <rFont val="Arial"/>
        <family val="0"/>
        <charset val="1"/>
      </rPr>
      <t xml:space="preserve">P-10 </t>
    </r>
    <r>
      <rPr>
        <sz val="10"/>
        <rFont val="WenQuanYi Zen Hei"/>
        <family val="2"/>
      </rPr>
      <t xml:space="preserve">で移動・廃棄でき、</t>
    </r>
    <r>
      <rPr>
        <sz val="10"/>
        <rFont val="Arial"/>
        <family val="0"/>
        <charset val="1"/>
      </rPr>
      <t xml:space="preserve">QA</t>
    </r>
    <r>
      <rPr>
        <sz val="10"/>
        <rFont val="WenQuanYi Zen Hei"/>
        <family val="2"/>
      </rPr>
      <t xml:space="preserve">判定を迂回できる</t>
    </r>
  </si>
  <si>
    <r>
      <rPr>
        <sz val="10"/>
        <rFont val="Arial"/>
        <family val="0"/>
        <charset val="1"/>
      </rPr>
      <t xml:space="preserve">BR-20 </t>
    </r>
    <r>
      <rPr>
        <sz val="10"/>
        <rFont val="WenQuanYi Zen Hei"/>
        <family val="2"/>
      </rPr>
      <t xml:space="preserve">と </t>
    </r>
    <r>
      <rPr>
        <sz val="10"/>
        <rFont val="Arial"/>
        <family val="0"/>
        <charset val="1"/>
      </rPr>
      <t xml:space="preserve">P-10 </t>
    </r>
    <r>
      <rPr>
        <sz val="10"/>
        <rFont val="WenQuanYi Zen Hei"/>
        <family val="2"/>
      </rPr>
      <t xml:space="preserve">の禁止チェック（</t>
    </r>
    <r>
      <rPr>
        <sz val="10"/>
        <rFont val="Arial"/>
        <family val="0"/>
        <charset val="1"/>
      </rPr>
      <t xml:space="preserve">MSG-E28</t>
    </r>
    <r>
      <rPr>
        <sz val="10"/>
        <rFont val="WenQuanYi Zen Hei"/>
        <family val="2"/>
      </rPr>
      <t xml:space="preserve">）を追加</t>
    </r>
  </si>
  <si>
    <t xml:space="preserve">R-42</t>
  </si>
  <si>
    <t xml:space="preserve">マスタ・ダッシュボード・帳票・監査ログ画面の項目定義がなく新カラムが画面に現れない</t>
  </si>
  <si>
    <r>
      <rPr>
        <sz val="10"/>
        <rFont val="Arial"/>
        <family val="0"/>
        <charset val="1"/>
      </rPr>
      <t xml:space="preserve">SCR-01/11</t>
    </r>
    <r>
      <rPr>
        <sz val="10"/>
        <rFont val="WenQuanYi Zen Hei"/>
        <family val="2"/>
      </rPr>
      <t xml:space="preserve">〜</t>
    </r>
    <r>
      <rPr>
        <sz val="10"/>
        <rFont val="Arial"/>
        <family val="0"/>
        <charset val="1"/>
      </rPr>
      <t xml:space="preserve">16/61/62 </t>
    </r>
    <r>
      <rPr>
        <sz val="10"/>
        <rFont val="WenQuanYi Zen Hei"/>
        <family val="2"/>
      </rPr>
      <t xml:space="preserve">の画面項目を追加。自動チェックを全 </t>
    </r>
    <r>
      <rPr>
        <sz val="10"/>
        <rFont val="Arial"/>
        <family val="0"/>
        <charset val="1"/>
      </rPr>
      <t xml:space="preserve">MUST </t>
    </r>
    <r>
      <rPr>
        <sz val="10"/>
        <rFont val="WenQuanYi Zen Hei"/>
        <family val="2"/>
      </rPr>
      <t xml:space="preserve">画面（ログイン除く）に拡大</t>
    </r>
  </si>
  <si>
    <t xml:space="preserve">R-43</t>
  </si>
  <si>
    <r>
      <rPr>
        <sz val="10"/>
        <rFont val="WenQuanYi Zen Hei"/>
        <family val="2"/>
      </rPr>
      <t xml:space="preserve">発注の残数打切り</t>
    </r>
    <r>
      <rPr>
        <sz val="10"/>
        <rFont val="Arial"/>
        <family val="0"/>
        <charset val="1"/>
      </rPr>
      <t xml:space="preserve">API</t>
    </r>
    <r>
      <rPr>
        <sz val="10"/>
        <rFont val="WenQuanYi Zen Hei"/>
        <family val="2"/>
      </rPr>
      <t xml:space="preserve">がない。打切り済受注の出荷取消時の遷移が未定義</t>
    </r>
  </si>
  <si>
    <r>
      <rPr>
        <sz val="10"/>
        <rFont val="Arial"/>
        <family val="0"/>
        <charset val="1"/>
      </rPr>
      <t xml:space="preserve">API-024 </t>
    </r>
    <r>
      <rPr>
        <sz val="10"/>
        <rFont val="WenQuanYi Zen Hei"/>
        <family val="2"/>
      </rPr>
      <t xml:space="preserve">を追加。受注 </t>
    </r>
    <r>
      <rPr>
        <sz val="10"/>
        <rFont val="Arial"/>
        <family val="0"/>
        <charset val="1"/>
      </rPr>
      <t xml:space="preserve">CLOSED </t>
    </r>
    <r>
      <rPr>
        <sz val="10"/>
        <rFont val="WenQuanYi Zen Hei"/>
        <family val="2"/>
      </rPr>
      <t xml:space="preserve">の出荷取消（状態維持）を追加</t>
    </r>
  </si>
  <si>
    <t xml:space="preserve">R-44</t>
  </si>
  <si>
    <r>
      <rPr>
        <sz val="10"/>
        <rFont val="Arial"/>
        <family val="0"/>
        <charset val="1"/>
      </rPr>
      <t xml:space="preserve">SQL</t>
    </r>
    <r>
      <rPr>
        <sz val="10"/>
        <rFont val="WenQuanYi Zen Hei"/>
        <family val="2"/>
      </rPr>
      <t xml:space="preserve">（追跡）</t>
    </r>
  </si>
  <si>
    <r>
      <rPr>
        <sz val="10"/>
        <rFont val="WenQuanYi Zen Hei"/>
        <family val="2"/>
      </rPr>
      <t xml:space="preserve">取消済を区別表示するとしながら </t>
    </r>
    <r>
      <rPr>
        <sz val="10"/>
        <rFont val="Arial"/>
        <family val="0"/>
        <charset val="1"/>
      </rPr>
      <t xml:space="preserve">SQL-01 </t>
    </r>
    <r>
      <rPr>
        <sz val="10"/>
        <rFont val="WenQuanYi Zen Hei"/>
        <family val="2"/>
      </rPr>
      <t xml:space="preserve">が取消行を返さない。回収数量列がない</t>
    </r>
  </si>
  <si>
    <r>
      <rPr>
        <sz val="10"/>
        <rFont val="Arial"/>
        <family val="0"/>
        <charset val="1"/>
      </rPr>
      <t xml:space="preserve">SQL-01 </t>
    </r>
    <r>
      <rPr>
        <sz val="10"/>
        <rFont val="WenQuanYi Zen Hei"/>
        <family val="2"/>
      </rPr>
      <t xml:space="preserve">を出荷後取消の行も返すよう変更（正味</t>
    </r>
    <r>
      <rPr>
        <sz val="10"/>
        <rFont val="Arial"/>
        <family val="0"/>
        <charset val="1"/>
      </rPr>
      <t xml:space="preserve">0</t>
    </r>
    <r>
      <rPr>
        <sz val="10"/>
        <rFont val="WenQuanYi Zen Hei"/>
        <family val="2"/>
      </rPr>
      <t xml:space="preserve">）し、通常返品／回収数量を分けて表示。</t>
    </r>
    <r>
      <rPr>
        <sz val="10"/>
        <rFont val="Arial"/>
        <family val="0"/>
        <charset val="1"/>
      </rPr>
      <t xml:space="preserve">ASSERT </t>
    </r>
    <r>
      <rPr>
        <sz val="10"/>
        <rFont val="WenQuanYi Zen Hei"/>
        <family val="2"/>
      </rPr>
      <t xml:space="preserve">で検証</t>
    </r>
  </si>
  <si>
    <t xml:space="preserve">R-45</t>
  </si>
  <si>
    <t xml:space="preserve">隔離在庫</t>
  </si>
  <si>
    <t xml:space="preserve">隔離保管場所で分納分と返品が合算され、二重判定・判定迂回・後続の廃棄失敗が起き得る</t>
  </si>
  <si>
    <r>
      <rPr>
        <sz val="10"/>
        <rFont val="WenQuanYi Zen Hei"/>
        <family val="2"/>
      </rPr>
      <t xml:space="preserve">入荷明細に </t>
    </r>
    <r>
      <rPr>
        <sz val="10"/>
        <rFont val="Arial"/>
        <family val="0"/>
        <charset val="1"/>
      </rPr>
      <t xml:space="preserve">split_status </t>
    </r>
    <r>
      <rPr>
        <sz val="10"/>
        <rFont val="WenQuanYi Zen Hei"/>
        <family val="2"/>
      </rPr>
      <t xml:space="preserve">を追加。隔離からの払出しは出所伝票 </t>
    </r>
    <r>
      <rPr>
        <sz val="10"/>
        <rFont val="Arial"/>
        <family val="0"/>
        <charset val="1"/>
      </rPr>
      <t xml:space="preserve">ref </t>
    </r>
    <r>
      <rPr>
        <sz val="10"/>
        <rFont val="WenQuanYi Zen Hei"/>
        <family val="2"/>
      </rPr>
      <t xml:space="preserve">必須・残数上限（</t>
    </r>
    <r>
      <rPr>
        <sz val="10"/>
        <rFont val="Arial"/>
        <family val="0"/>
        <charset val="1"/>
      </rPr>
      <t xml:space="preserve">P-00 </t>
    </r>
    <r>
      <rPr>
        <sz val="10"/>
        <rFont val="WenQuanYi Zen Hei"/>
        <family val="2"/>
      </rPr>
      <t xml:space="preserve">ステップ</t>
    </r>
    <r>
      <rPr>
        <sz val="10"/>
        <rFont val="Arial"/>
        <family val="0"/>
        <charset val="1"/>
      </rPr>
      <t xml:space="preserve">7</t>
    </r>
    <r>
      <rPr>
        <sz val="10"/>
        <rFont val="WenQuanYi Zen Hei"/>
        <family val="2"/>
      </rPr>
      <t xml:space="preserve">、</t>
    </r>
    <r>
      <rPr>
        <sz val="10"/>
        <rFont val="Arial"/>
        <family val="0"/>
        <charset val="1"/>
      </rPr>
      <t xml:space="preserve">BR-20</t>
    </r>
    <r>
      <rPr>
        <sz val="10"/>
        <rFont val="WenQuanYi Zen Hei"/>
        <family val="2"/>
      </rPr>
      <t xml:space="preserve">、</t>
    </r>
    <r>
      <rPr>
        <sz val="10"/>
        <rFont val="Arial"/>
        <family val="0"/>
        <charset val="1"/>
      </rPr>
      <t xml:space="preserve">MSG-E30</t>
    </r>
    <r>
      <rPr>
        <sz val="10"/>
        <rFont val="WenQuanYi Zen Hei"/>
        <family val="2"/>
      </rPr>
      <t xml:space="preserve">）。</t>
    </r>
    <r>
      <rPr>
        <sz val="10"/>
        <rFont val="Arial"/>
        <family val="0"/>
        <charset val="1"/>
      </rPr>
      <t xml:space="preserve">P-17 </t>
    </r>
    <r>
      <rPr>
        <sz val="10"/>
        <rFont val="WenQuanYi Zen Hei"/>
        <family val="2"/>
      </rPr>
      <t xml:space="preserve">は </t>
    </r>
    <r>
      <rPr>
        <sz val="10"/>
        <rFont val="Arial"/>
        <family val="0"/>
        <charset val="1"/>
      </rPr>
      <t xml:space="preserve">REJECTED </t>
    </r>
    <r>
      <rPr>
        <sz val="10"/>
        <rFont val="WenQuanYi Zen Hei"/>
        <family val="2"/>
      </rPr>
      <t xml:space="preserve">分納のみ</t>
    </r>
  </si>
  <si>
    <t xml:space="preserve">R-46</t>
  </si>
  <si>
    <t xml:space="preserve">同時実行（受注）</t>
  </si>
  <si>
    <r>
      <rPr>
        <sz val="10"/>
        <rFont val="Arial"/>
        <family val="0"/>
        <charset val="1"/>
      </rPr>
      <t xml:space="preserve">P-03 </t>
    </r>
    <r>
      <rPr>
        <sz val="10"/>
        <rFont val="WenQuanYi Zen Hei"/>
        <family val="2"/>
      </rPr>
      <t xml:space="preserve">が受注をロックせず、取消・打切り済受注の引当が </t>
    </r>
    <r>
      <rPr>
        <sz val="10"/>
        <rFont val="Arial"/>
        <family val="0"/>
        <charset val="1"/>
      </rPr>
      <t xml:space="preserve">P-05 </t>
    </r>
    <r>
      <rPr>
        <sz val="10"/>
        <rFont val="WenQuanYi Zen Hei"/>
        <family val="2"/>
      </rPr>
      <t xml:space="preserve">で出荷され得る。与信再判定の遷移が未定義</t>
    </r>
  </si>
  <si>
    <r>
      <rPr>
        <sz val="10"/>
        <rFont val="Arial"/>
        <family val="0"/>
        <charset val="1"/>
      </rPr>
      <t xml:space="preserve">P-03/P-05/P-13 </t>
    </r>
    <r>
      <rPr>
        <sz val="10"/>
        <rFont val="WenQuanYi Zen Hei"/>
        <family val="2"/>
      </rPr>
      <t xml:space="preserve">で受注ヘッダをロックし状態検証。変更で超過時は引当なし→</t>
    </r>
    <r>
      <rPr>
        <sz val="10"/>
        <rFont val="Arial"/>
        <family val="0"/>
        <charset val="1"/>
      </rPr>
      <t xml:space="preserve">CREDIT_PENDING</t>
    </r>
    <r>
      <rPr>
        <sz val="10"/>
        <rFont val="WenQuanYi Zen Hei"/>
        <family val="2"/>
      </rPr>
      <t xml:space="preserve">、引当あり→</t>
    </r>
    <r>
      <rPr>
        <sz val="10"/>
        <rFont val="Arial"/>
        <family val="0"/>
        <charset val="1"/>
      </rPr>
      <t xml:space="preserve">MSG-E31</t>
    </r>
  </si>
  <si>
    <t xml:space="preserve">R-47</t>
  </si>
  <si>
    <t xml:space="preserve">状態遷移（発注）</t>
  </si>
  <si>
    <r>
      <rPr>
        <sz val="10"/>
        <rFont val="WenQuanYi Zen Hei"/>
        <family val="2"/>
      </rPr>
      <t xml:space="preserve">打切り済発注が入荷取消で </t>
    </r>
    <r>
      <rPr>
        <sz val="10"/>
        <rFont val="Arial"/>
        <family val="0"/>
        <charset val="1"/>
      </rPr>
      <t xml:space="preserve">PARTIAL </t>
    </r>
    <r>
      <rPr>
        <sz val="10"/>
        <rFont val="WenQuanYi Zen Hei"/>
        <family val="2"/>
      </rPr>
      <t xml:space="preserve">に戻り再入荷対象になる</t>
    </r>
  </si>
  <si>
    <r>
      <rPr>
        <sz val="10"/>
        <rFont val="WenQuanYi Zen Hei"/>
        <family val="2"/>
      </rPr>
      <t xml:space="preserve">発注に </t>
    </r>
    <r>
      <rPr>
        <sz val="10"/>
        <rFont val="Arial"/>
        <family val="0"/>
        <charset val="1"/>
      </rPr>
      <t xml:space="preserve">CLOSED</t>
    </r>
    <r>
      <rPr>
        <sz val="10"/>
        <rFont val="WenQuanYi Zen Hei"/>
        <family val="2"/>
      </rPr>
      <t xml:space="preserve">（打切り）を追加し、入荷取消でも状態維持</t>
    </r>
  </si>
  <si>
    <t xml:space="preserve">R-48</t>
  </si>
  <si>
    <t xml:space="preserve">同時実行（回収）</t>
  </si>
  <si>
    <r>
      <rPr>
        <sz val="10"/>
        <rFont val="Arial"/>
        <family val="0"/>
        <charset val="1"/>
      </rPr>
      <t xml:space="preserve">P-00 </t>
    </r>
    <r>
      <rPr>
        <sz val="10"/>
        <rFont val="WenQuanYi Zen Hei"/>
        <family val="2"/>
      </rPr>
      <t xml:space="preserve">に回収テーブルが含まれず、完了判定と回収品登録・再抽出が競合する</t>
    </r>
  </si>
  <si>
    <r>
      <rPr>
        <sz val="10"/>
        <rFont val="Arial"/>
        <family val="0"/>
        <charset val="1"/>
      </rPr>
      <t xml:space="preserve">P-00 </t>
    </r>
    <r>
      <rPr>
        <sz val="10"/>
        <rFont val="WenQuanYi Zen Hei"/>
        <family val="2"/>
      </rPr>
      <t xml:space="preserve">に回収案件→回収対象のロックを追加し </t>
    </r>
    <r>
      <rPr>
        <sz val="10"/>
        <rFont val="Arial"/>
        <family val="0"/>
        <charset val="1"/>
      </rPr>
      <t xml:space="preserve">P-07/P-14/P-18/P-19 </t>
    </r>
    <r>
      <rPr>
        <sz val="10"/>
        <rFont val="WenQuanYi Zen Hei"/>
        <family val="2"/>
      </rPr>
      <t xml:space="preserve">に明記</t>
    </r>
  </si>
  <si>
    <t xml:space="preserve">R-49</t>
  </si>
  <si>
    <t xml:space="preserve">権限・処理（回収）</t>
  </si>
  <si>
    <r>
      <rPr>
        <sz val="10"/>
        <rFont val="Arial"/>
        <family val="0"/>
        <charset val="1"/>
      </rPr>
      <t xml:space="preserve">API-102 </t>
    </r>
    <r>
      <rPr>
        <sz val="10"/>
        <rFont val="WenQuanYi Zen Hei"/>
        <family val="2"/>
      </rPr>
      <t xml:space="preserve">で </t>
    </r>
    <r>
      <rPr>
        <sz val="10"/>
        <rFont val="Arial"/>
        <family val="0"/>
        <charset val="1"/>
      </rPr>
      <t xml:space="preserve">SALES </t>
    </r>
    <r>
      <rPr>
        <sz val="10"/>
        <rFont val="WenQuanYi Zen Hei"/>
        <family val="2"/>
      </rPr>
      <t xml:space="preserve">がクローズでき、回収不能入力で </t>
    </r>
    <r>
      <rPr>
        <sz val="10"/>
        <rFont val="Arial"/>
        <family val="0"/>
        <charset val="1"/>
      </rPr>
      <t xml:space="preserve">RECOVERED </t>
    </r>
    <r>
      <rPr>
        <sz val="10"/>
        <rFont val="WenQuanYi Zen Hei"/>
        <family val="2"/>
      </rPr>
      <t xml:space="preserve">にならない</t>
    </r>
  </si>
  <si>
    <r>
      <rPr>
        <sz val="10"/>
        <rFont val="Arial"/>
        <family val="0"/>
        <charset val="1"/>
      </rPr>
      <t xml:space="preserve">P-19 </t>
    </r>
    <r>
      <rPr>
        <sz val="10"/>
        <rFont val="WenQuanYi Zen Hei"/>
        <family val="2"/>
      </rPr>
      <t xml:space="preserve">を新設（</t>
    </r>
    <r>
      <rPr>
        <sz val="10"/>
        <rFont val="Arial"/>
        <family val="0"/>
        <charset val="1"/>
      </rPr>
      <t xml:space="preserve">SALES </t>
    </r>
    <r>
      <rPr>
        <sz val="10"/>
        <rFont val="WenQuanYi Zen Hei"/>
        <family val="2"/>
      </rPr>
      <t xml:space="preserve">は連絡情報のみ、</t>
    </r>
    <r>
      <rPr>
        <sz val="10"/>
        <rFont val="Arial"/>
        <family val="0"/>
        <charset val="1"/>
      </rPr>
      <t xml:space="preserve">QA </t>
    </r>
    <r>
      <rPr>
        <sz val="10"/>
        <rFont val="WenQuanYi Zen Hei"/>
        <family val="2"/>
      </rPr>
      <t xml:space="preserve">はクローズ・回収不能数量）し、更新後に </t>
    </r>
    <r>
      <rPr>
        <sz val="10"/>
        <rFont val="Arial"/>
        <family val="0"/>
        <charset val="1"/>
      </rPr>
      <t xml:space="preserve">RECOVERED </t>
    </r>
    <r>
      <rPr>
        <sz val="10"/>
        <rFont val="WenQuanYi Zen Hei"/>
        <family val="2"/>
      </rPr>
      <t xml:space="preserve">判定</t>
    </r>
  </si>
  <si>
    <t xml:space="preserve">R-50</t>
  </si>
  <si>
    <t xml:space="preserve">処理（仕入先返品）</t>
  </si>
  <si>
    <t xml:space="preserve">移行ロット・分納ロットで参照する入荷明細が決まらない</t>
  </si>
  <si>
    <r>
      <rPr>
        <sz val="10"/>
        <rFont val="WenQuanYi Zen Hei"/>
        <family val="2"/>
      </rPr>
      <t xml:space="preserve">返品元入荷明細を利用者が選択（残数上限）、移行ロットは </t>
    </r>
    <r>
      <rPr>
        <sz val="10"/>
        <rFont val="Arial"/>
        <family val="0"/>
        <charset val="1"/>
      </rPr>
      <t xml:space="preserve">ref_type=migration</t>
    </r>
    <r>
      <rPr>
        <sz val="10"/>
        <rFont val="WenQuanYi Zen Hei"/>
        <family val="2"/>
      </rPr>
      <t xml:space="preserve">・単価は </t>
    </r>
    <r>
      <rPr>
        <sz val="10"/>
        <rFont val="Arial"/>
        <family val="0"/>
        <charset val="1"/>
      </rPr>
      <t xml:space="preserve">t_lot.unit_cost</t>
    </r>
  </si>
  <si>
    <t xml:space="preserve">項目</t>
  </si>
  <si>
    <t xml:space="preserve">目的</t>
  </si>
  <si>
    <t xml:space="preserve">エクソソーム製品（原料・製剤）の仕入から在庫・販売・回収までをロット単位で一元管理し、「どのロットを・いつ・どの顧客に・どれだけ販売したか」を即時に追跡できる状態にする。</t>
  </si>
  <si>
    <t xml:space="preserve">背景・課題</t>
  </si>
  <si>
    <r>
      <rPr>
        <sz val="10"/>
        <rFont val="WenQuanYi Zen Hei"/>
        <family val="2"/>
      </rPr>
      <t xml:space="preserve">現状は仕入台帳・在庫表・販売台帳が</t>
    </r>
    <r>
      <rPr>
        <sz val="10"/>
        <rFont val="Arial"/>
        <family val="0"/>
        <charset val="1"/>
      </rPr>
      <t xml:space="preserve">Excel</t>
    </r>
    <r>
      <rPr>
        <sz val="10"/>
        <rFont val="WenQuanYi Zen Hei"/>
        <family val="2"/>
      </rPr>
      <t xml:space="preserve">等で分散しており、①ロットと販売先の紐付けが手作業 ②使用期限切れ・温度逸脱の見落とし ③品質問題発生時に販売先の特定に時間がかかる、という課題がある。</t>
    </r>
  </si>
  <si>
    <t xml:space="preserve">スコープ（対象）</t>
  </si>
  <si>
    <r>
      <rPr>
        <sz val="10"/>
        <rFont val="WenQuanYi Zen Hei"/>
        <family val="2"/>
      </rPr>
      <t xml:space="preserve">仕入先・商品・顧客マスタ管理／発注／入荷・受入検品／ロット・在庫管理／受注・出荷（ロット引当）／返品／回収（リコール）／温度記録／帳票・</t>
    </r>
    <r>
      <rPr>
        <sz val="10"/>
        <rFont val="Arial"/>
        <family val="0"/>
        <charset val="1"/>
      </rPr>
      <t xml:space="preserve">CSV</t>
    </r>
    <r>
      <rPr>
        <sz val="10"/>
        <rFont val="WenQuanYi Zen Hei"/>
        <family val="2"/>
      </rPr>
      <t xml:space="preserve">出力／監査ログ</t>
    </r>
  </si>
  <si>
    <t xml:space="preserve">スコープ（対象外）</t>
  </si>
  <si>
    <r>
      <rPr>
        <sz val="10"/>
        <rFont val="WenQuanYi Zen Hei"/>
        <family val="2"/>
      </rPr>
      <t xml:space="preserve">会計システム本体（仕訳は</t>
    </r>
    <r>
      <rPr>
        <sz val="10"/>
        <rFont val="Arial"/>
        <family val="0"/>
        <charset val="1"/>
      </rPr>
      <t xml:space="preserve">CSV</t>
    </r>
    <r>
      <rPr>
        <sz val="10"/>
        <rFont val="WenQuanYi Zen Hei"/>
        <family val="2"/>
      </rPr>
      <t xml:space="preserve">連携のみ）／</t>
    </r>
    <r>
      <rPr>
        <sz val="10"/>
        <rFont val="Arial"/>
        <family val="0"/>
        <charset val="1"/>
      </rPr>
      <t xml:space="preserve">EC</t>
    </r>
    <r>
      <rPr>
        <sz val="10"/>
        <rFont val="WenQuanYi Zen Hei"/>
        <family val="2"/>
      </rPr>
      <t xml:space="preserve">サイト／患者・施術記録（医療機関側の管理範囲）</t>
    </r>
  </si>
  <si>
    <t xml:space="preserve">利用者</t>
  </si>
  <si>
    <r>
      <rPr>
        <sz val="10"/>
        <rFont val="WenQuanYi Zen Hei"/>
        <family val="2"/>
      </rPr>
      <t xml:space="preserve">経営者・管理者、仕入担当、倉庫（入出庫）担当、営業担当、品質保証（</t>
    </r>
    <r>
      <rPr>
        <sz val="10"/>
        <rFont val="Arial"/>
        <family val="0"/>
        <charset val="1"/>
      </rPr>
      <t xml:space="preserve">QA</t>
    </r>
    <r>
      <rPr>
        <sz val="10"/>
        <rFont val="WenQuanYi Zen Hei"/>
        <family val="2"/>
      </rPr>
      <t xml:space="preserve">）担当</t>
    </r>
  </si>
  <si>
    <t xml:space="preserve">想定規模</t>
  </si>
  <si>
    <r>
      <rPr>
        <sz val="10"/>
        <rFont val="WenQuanYi Zen Hei"/>
        <family val="2"/>
      </rPr>
      <t xml:space="preserve">商品 〜</t>
    </r>
    <r>
      <rPr>
        <sz val="10"/>
        <rFont val="Arial"/>
        <family val="0"/>
        <charset val="1"/>
      </rPr>
      <t xml:space="preserve">100</t>
    </r>
    <r>
      <rPr>
        <sz val="10"/>
        <rFont val="WenQuanYi Zen Hei"/>
        <family val="2"/>
      </rPr>
      <t xml:space="preserve">品目／顧客 〜</t>
    </r>
    <r>
      <rPr>
        <sz val="10"/>
        <rFont val="Arial"/>
        <family val="0"/>
        <charset val="1"/>
      </rPr>
      <t xml:space="preserve">2,000</t>
    </r>
    <r>
      <rPr>
        <sz val="10"/>
        <rFont val="WenQuanYi Zen Hei"/>
        <family val="2"/>
      </rPr>
      <t xml:space="preserve">件／ロット 〜</t>
    </r>
    <r>
      <rPr>
        <sz val="10"/>
        <rFont val="Arial"/>
        <family val="0"/>
        <charset val="1"/>
      </rPr>
      <t xml:space="preserve">1,000</t>
    </r>
    <r>
      <rPr>
        <sz val="10"/>
        <rFont val="WenQuanYi Zen Hei"/>
        <family val="2"/>
      </rPr>
      <t xml:space="preserve">件</t>
    </r>
    <r>
      <rPr>
        <sz val="10"/>
        <rFont val="Arial"/>
        <family val="0"/>
        <charset val="1"/>
      </rPr>
      <t xml:space="preserve">/</t>
    </r>
    <r>
      <rPr>
        <sz val="10"/>
        <rFont val="WenQuanYi Zen Hei"/>
        <family val="2"/>
      </rPr>
      <t xml:space="preserve">年／出荷 〜</t>
    </r>
    <r>
      <rPr>
        <sz val="10"/>
        <rFont val="Arial"/>
        <family val="0"/>
        <charset val="1"/>
      </rPr>
      <t xml:space="preserve">10,000</t>
    </r>
    <r>
      <rPr>
        <sz val="10"/>
        <rFont val="WenQuanYi Zen Hei"/>
        <family val="2"/>
      </rPr>
      <t xml:space="preserve">明細</t>
    </r>
    <r>
      <rPr>
        <sz val="10"/>
        <rFont val="Arial"/>
        <family val="0"/>
        <charset val="1"/>
      </rPr>
      <t xml:space="preserve">/</t>
    </r>
    <r>
      <rPr>
        <sz val="10"/>
        <rFont val="WenQuanYi Zen Hei"/>
        <family val="2"/>
      </rPr>
      <t xml:space="preserve">年／同時利用 〜</t>
    </r>
    <r>
      <rPr>
        <sz val="10"/>
        <rFont val="Arial"/>
        <family val="0"/>
        <charset val="1"/>
      </rPr>
      <t xml:space="preserve">20</t>
    </r>
    <r>
      <rPr>
        <sz val="10"/>
        <rFont val="WenQuanYi Zen Hei"/>
        <family val="2"/>
      </rPr>
      <t xml:space="preserve">名</t>
    </r>
  </si>
  <si>
    <t xml:space="preserve">トレーサビリティの原則</t>
  </si>
  <si>
    <t xml:space="preserve">①全ての在庫はロット番号（＋保管場所）単位で保持する ②出荷明細には必ずロットを紐付ける（ロット未指定の出荷は登録不可） ③在庫数量の増減は全て在庫移動履歴に記録し、直接更新しない ④確定済み伝票は物理削除せず、取消伝票（赤伝）で打ち消す</t>
  </si>
  <si>
    <t xml:space="preserve">規制・コンプライアンス前提</t>
  </si>
  <si>
    <t xml:space="preserve">エクソソーム製品の法的区分（化粧品原料／研究用試薬／医療機関向け自由診療用途等）は商品ごとに『規制区分』として保持し、区分に応じて販売可能な顧客区分を制限する。法規制（薬機法・再生医療等安全性確保法の改正動向等）は導入前に専門家確認を要する（課題一覧 参照）。</t>
  </si>
  <si>
    <t xml:space="preserve">システム構成（提案）</t>
  </si>
  <si>
    <r>
      <rPr>
        <sz val="10"/>
        <rFont val="Arial"/>
        <family val="0"/>
        <charset val="1"/>
      </rPr>
      <t xml:space="preserve">Web</t>
    </r>
    <r>
      <rPr>
        <sz val="10"/>
        <rFont val="WenQuanYi Zen Hei"/>
        <family val="2"/>
      </rPr>
      <t xml:space="preserve">アプリケーション（ブラウザ利用）。フロント：</t>
    </r>
    <r>
      <rPr>
        <sz val="10"/>
        <rFont val="Arial"/>
        <family val="0"/>
        <charset val="1"/>
      </rPr>
      <t xml:space="preserve">Next.js(TypeScript)</t>
    </r>
    <r>
      <rPr>
        <sz val="10"/>
        <rFont val="WenQuanYi Zen Hei"/>
        <family val="2"/>
      </rPr>
      <t xml:space="preserve">／</t>
    </r>
    <r>
      <rPr>
        <sz val="10"/>
        <rFont val="Arial"/>
        <family val="0"/>
        <charset val="1"/>
      </rPr>
      <t xml:space="preserve">API</t>
    </r>
    <r>
      <rPr>
        <sz val="10"/>
        <rFont val="WenQuanYi Zen Hei"/>
        <family val="2"/>
      </rPr>
      <t xml:space="preserve">：</t>
    </r>
    <r>
      <rPr>
        <sz val="10"/>
        <rFont val="Arial"/>
        <family val="0"/>
        <charset val="1"/>
      </rPr>
      <t xml:space="preserve">Node.js</t>
    </r>
    <r>
      <rPr>
        <sz val="10"/>
        <rFont val="WenQuanYi Zen Hei"/>
        <family val="2"/>
      </rPr>
      <t xml:space="preserve">／</t>
    </r>
    <r>
      <rPr>
        <sz val="10"/>
        <rFont val="Arial"/>
        <family val="0"/>
        <charset val="1"/>
      </rPr>
      <t xml:space="preserve">DB</t>
    </r>
    <r>
      <rPr>
        <sz val="10"/>
        <rFont val="WenQuanYi Zen Hei"/>
        <family val="2"/>
      </rPr>
      <t xml:space="preserve">：</t>
    </r>
    <r>
      <rPr>
        <sz val="10"/>
        <rFont val="Arial"/>
        <family val="0"/>
        <charset val="1"/>
      </rPr>
      <t xml:space="preserve">PostgreSQL</t>
    </r>
    <r>
      <rPr>
        <sz val="10"/>
        <rFont val="WenQuanYi Zen Hei"/>
        <family val="2"/>
      </rPr>
      <t xml:space="preserve">／ファイル保管：オブジェクトストレージ（</t>
    </r>
    <r>
      <rPr>
        <sz val="10"/>
        <rFont val="Arial"/>
        <family val="0"/>
        <charset val="1"/>
      </rPr>
      <t xml:space="preserve">COA</t>
    </r>
    <r>
      <rPr>
        <sz val="10"/>
        <rFont val="WenQuanYi Zen Hei"/>
        <family val="2"/>
      </rPr>
      <t xml:space="preserve">等</t>
    </r>
    <r>
      <rPr>
        <sz val="10"/>
        <rFont val="Arial"/>
        <family val="0"/>
        <charset val="1"/>
      </rPr>
      <t xml:space="preserve">PDF</t>
    </r>
    <r>
      <rPr>
        <sz val="10"/>
        <rFont val="WenQuanYi Zen Hei"/>
        <family val="2"/>
      </rPr>
      <t xml:space="preserve">）／認証：メール＋パスワード＋</t>
    </r>
    <r>
      <rPr>
        <sz val="10"/>
        <rFont val="Arial"/>
        <family val="0"/>
        <charset val="1"/>
      </rPr>
      <t xml:space="preserve">2</t>
    </r>
    <r>
      <rPr>
        <sz val="10"/>
        <rFont val="WenQuanYi Zen Hei"/>
        <family val="2"/>
      </rPr>
      <t xml:space="preserve">要素認証。小規模で先行する場合は </t>
    </r>
    <r>
      <rPr>
        <sz val="10"/>
        <rFont val="Arial"/>
        <family val="0"/>
        <charset val="1"/>
      </rPr>
      <t xml:space="preserve">Google </t>
    </r>
    <r>
      <rPr>
        <sz val="10"/>
        <rFont val="WenQuanYi Zen Hei"/>
        <family val="2"/>
      </rPr>
      <t xml:space="preserve">スプレッドシート＋</t>
    </r>
    <r>
      <rPr>
        <sz val="10"/>
        <rFont val="Arial"/>
        <family val="0"/>
        <charset val="1"/>
      </rPr>
      <t xml:space="preserve">AppSheet </t>
    </r>
    <r>
      <rPr>
        <sz val="10"/>
        <rFont val="WenQuanYi Zen Hei"/>
        <family val="2"/>
      </rPr>
      <t xml:space="preserve">での簡易版も可（非機能要件 参照）。</t>
    </r>
  </si>
  <si>
    <t xml:space="preserve">仕入 → 受入検品 → 保管 → 受注 → ロット引当・出荷 → 返品／回収 の流れ。全工程でロット番号を引き継ぐ</t>
  </si>
  <si>
    <t xml:space="preserve">業務</t>
  </si>
  <si>
    <t xml:space="preserve">ステップ</t>
  </si>
  <si>
    <t xml:space="preserve">担当</t>
  </si>
  <si>
    <r>
      <rPr>
        <b val="true"/>
        <sz val="10"/>
        <color rgb="FFFFFFFF"/>
        <rFont val="WenQuanYi Zen Hei"/>
        <family val="2"/>
      </rPr>
      <t xml:space="preserve">関連機能</t>
    </r>
    <r>
      <rPr>
        <b val="true"/>
        <sz val="10"/>
        <color rgb="FFFFFFFF"/>
        <rFont val="Arial"/>
        <family val="0"/>
        <charset val="1"/>
      </rPr>
      <t xml:space="preserve">ID</t>
    </r>
  </si>
  <si>
    <r>
      <rPr>
        <b val="true"/>
        <sz val="10"/>
        <color rgb="FFFFFFFF"/>
        <rFont val="WenQuanYi Zen Hei"/>
        <family val="2"/>
      </rPr>
      <t xml:space="preserve">生成</t>
    </r>
    <r>
      <rPr>
        <b val="true"/>
        <sz val="10"/>
        <color rgb="FFFFFFFF"/>
        <rFont val="Arial"/>
        <family val="0"/>
        <charset val="1"/>
      </rPr>
      <t xml:space="preserve">/</t>
    </r>
    <r>
      <rPr>
        <b val="true"/>
        <sz val="10"/>
        <color rgb="FFFFFFFF"/>
        <rFont val="WenQuanYi Zen Hei"/>
        <family val="2"/>
      </rPr>
      <t xml:space="preserve">更新データ</t>
    </r>
  </si>
  <si>
    <t xml:space="preserve">F-01</t>
  </si>
  <si>
    <t xml:space="preserve">仕入</t>
  </si>
  <si>
    <t xml:space="preserve">発注</t>
  </si>
  <si>
    <t xml:space="preserve">仕入担当</t>
  </si>
  <si>
    <t xml:space="preserve">仕入先・商品・数量・希望納期を指定して発注書を作成し、承認後に仕入先へ送付する。</t>
  </si>
  <si>
    <t xml:space="preserve">PUR-01,PUR-02</t>
  </si>
  <si>
    <t xml:space="preserve">t_purchase_order, t_purchase_order_line</t>
  </si>
  <si>
    <t xml:space="preserve">F-02</t>
  </si>
  <si>
    <t xml:space="preserve">入荷登録</t>
  </si>
  <si>
    <t xml:space="preserve">倉庫担当</t>
  </si>
  <si>
    <t xml:space="preserve">納品物を発注と照合し、仕入先ロット番号・製造日・使用期限・数量・到着時温度を登録する。入荷時点のロットは『検品待ち』で、引当不可。</t>
  </si>
  <si>
    <t xml:space="preserve">RCV-01</t>
  </si>
  <si>
    <t xml:space="preserve">t_receipt, t_receipt_line, t_lot, t_inventory, t_stock_movement</t>
  </si>
  <si>
    <t xml:space="preserve">F-03</t>
  </si>
  <si>
    <t xml:space="preserve">受入検品</t>
  </si>
  <si>
    <r>
      <rPr>
        <sz val="10"/>
        <rFont val="Arial"/>
        <family val="0"/>
        <charset val="1"/>
      </rPr>
      <t xml:space="preserve">QA</t>
    </r>
    <r>
      <rPr>
        <sz val="10"/>
        <rFont val="WenQuanYi Zen Hei"/>
        <family val="2"/>
      </rPr>
      <t xml:space="preserve">担当</t>
    </r>
  </si>
  <si>
    <r>
      <rPr>
        <sz val="10"/>
        <rFont val="Arial"/>
        <family val="0"/>
        <charset val="1"/>
      </rPr>
      <t xml:space="preserve">COA</t>
    </r>
    <r>
      <rPr>
        <sz val="10"/>
        <rFont val="WenQuanYi Zen Hei"/>
        <family val="2"/>
      </rPr>
      <t xml:space="preserve">（試験成績書）・外観・温度記録を確認し、ロットを『合格』『不合格』『保留』に判定する。合格のみ出荷引当可能になる。</t>
    </r>
  </si>
  <si>
    <t xml:space="preserve">RCV-02,LOT-02</t>
  </si>
  <si>
    <t xml:space="preserve">t_lot, t_attachment</t>
  </si>
  <si>
    <t xml:space="preserve">F-04</t>
  </si>
  <si>
    <t xml:space="preserve">保管・温度管理</t>
  </si>
  <si>
    <t xml:space="preserve">保管場所（冷凍庫等）ごとに温度を記録する。許容範囲外は温度逸脱として該当在庫ロットを『保留』にする。</t>
  </si>
  <si>
    <t xml:space="preserve">INV-04</t>
  </si>
  <si>
    <t xml:space="preserve">t_temperature_log, t_lot</t>
  </si>
  <si>
    <t xml:space="preserve">F-05</t>
  </si>
  <si>
    <t xml:space="preserve">販売</t>
  </si>
  <si>
    <t xml:space="preserve">受注</t>
  </si>
  <si>
    <t xml:space="preserve">営業担当</t>
  </si>
  <si>
    <t xml:space="preserve">顧客・納品先・商品・数量を登録する。商品の規制区分と顧客区分の組合せが販売不可の場合は登録できない。</t>
  </si>
  <si>
    <t xml:space="preserve">SAL-01</t>
  </si>
  <si>
    <t xml:space="preserve">t_sales_order, t_sales_order_line</t>
  </si>
  <si>
    <t xml:space="preserve">F-06</t>
  </si>
  <si>
    <t xml:space="preserve">出荷（ロット引当）</t>
  </si>
  <si>
    <r>
      <rPr>
        <sz val="10"/>
        <rFont val="WenQuanYi Zen Hei"/>
        <family val="2"/>
      </rPr>
      <t xml:space="preserve">受注明細に対してロットを引当（既定は使用期限の近い順＝</t>
    </r>
    <r>
      <rPr>
        <sz val="10"/>
        <rFont val="Arial"/>
        <family val="0"/>
        <charset val="1"/>
      </rPr>
      <t xml:space="preserve">FEFO</t>
    </r>
    <r>
      <rPr>
        <sz val="10"/>
        <rFont val="WenQuanYi Zen Hei"/>
        <family val="2"/>
      </rPr>
      <t xml:space="preserve">）し、出荷を確定する。出荷時点で残存有効期間が商品ごとの最低出荷残期間を下回るロットは引当不可。</t>
    </r>
  </si>
  <si>
    <t xml:space="preserve">SHP-01,SHP-02</t>
  </si>
  <si>
    <t xml:space="preserve">t_shipment, t_shipment_line, t_inventory, t_stock_movement</t>
  </si>
  <si>
    <t xml:space="preserve">F-07</t>
  </si>
  <si>
    <t xml:space="preserve">納品書・請求</t>
  </si>
  <si>
    <r>
      <rPr>
        <sz val="10"/>
        <rFont val="WenQuanYi Zen Hei"/>
        <family val="2"/>
      </rPr>
      <t xml:space="preserve">出荷確定後に納品書（ロット番号・使用期限記載）を発行し、請求データを会計連携</t>
    </r>
    <r>
      <rPr>
        <sz val="10"/>
        <rFont val="Arial"/>
        <family val="0"/>
        <charset val="1"/>
      </rPr>
      <t xml:space="preserve">CSV</t>
    </r>
    <r>
      <rPr>
        <sz val="10"/>
        <rFont val="WenQuanYi Zen Hei"/>
        <family val="2"/>
      </rPr>
      <t xml:space="preserve">で出力する。</t>
    </r>
  </si>
  <si>
    <t xml:space="preserve">SHP-03,RPT-05</t>
  </si>
  <si>
    <t xml:space="preserve">—</t>
  </si>
  <si>
    <t xml:space="preserve">F-08</t>
  </si>
  <si>
    <t xml:space="preserve">返品</t>
  </si>
  <si>
    <r>
      <rPr>
        <sz val="10"/>
        <rFont val="WenQuanYi Zen Hei"/>
        <family val="2"/>
      </rPr>
      <t xml:space="preserve">返品を元出荷明細（＝ロット）に紐付けて隔離保管場所に受入れ、</t>
    </r>
    <r>
      <rPr>
        <sz val="10"/>
        <rFont val="Arial"/>
        <family val="0"/>
        <charset val="1"/>
      </rPr>
      <t xml:space="preserve">QA</t>
    </r>
    <r>
      <rPr>
        <sz val="10"/>
        <rFont val="WenQuanYi Zen Hei"/>
        <family val="2"/>
      </rPr>
      <t xml:space="preserve">判定後に在庫戻し </t>
    </r>
    <r>
      <rPr>
        <sz val="10"/>
        <rFont val="Arial"/>
        <family val="0"/>
        <charset val="1"/>
      </rPr>
      <t xml:space="preserve">or </t>
    </r>
    <r>
      <rPr>
        <sz val="10"/>
        <rFont val="WenQuanYi Zen Hei"/>
        <family val="2"/>
      </rPr>
      <t xml:space="preserve">廃棄とする。回収品は廃棄のみ。</t>
    </r>
  </si>
  <si>
    <t xml:space="preserve">RET-01</t>
  </si>
  <si>
    <t xml:space="preserve">t_return, t_inventory, t_stock_movement, t_recall_target</t>
  </si>
  <si>
    <t xml:space="preserve">F-09</t>
  </si>
  <si>
    <t xml:space="preserve">品質</t>
  </si>
  <si>
    <t xml:space="preserve">回収（リコール）</t>
  </si>
  <si>
    <t xml:space="preserve">対象ロットを指定すると、出荷先顧客・数量を自動抽出する。ロットを『回収』にして出荷停止し、納品先ごとの連絡・回収状況を管理する。回収品の受入は返品登録で行い回収数量に自動反映。</t>
  </si>
  <si>
    <t xml:space="preserve">RCL-01,RCL-02,TRC-01,RET-01</t>
  </si>
  <si>
    <t xml:space="preserve">t_recall, t_recall_lot, t_recall_target, t_return, t_lot</t>
  </si>
  <si>
    <t xml:space="preserve">F-10</t>
  </si>
  <si>
    <t xml:space="preserve">管理</t>
  </si>
  <si>
    <t xml:space="preserve">棚卸</t>
  </si>
  <si>
    <r>
      <rPr>
        <sz val="10"/>
        <rFont val="WenQuanYi Zen Hei"/>
        <family val="2"/>
      </rPr>
      <t xml:space="preserve">保管場所</t>
    </r>
    <r>
      <rPr>
        <sz val="10"/>
        <rFont val="Arial"/>
        <family val="0"/>
        <charset val="1"/>
      </rPr>
      <t xml:space="preserve">×</t>
    </r>
    <r>
      <rPr>
        <sz val="10"/>
        <rFont val="WenQuanYi Zen Hei"/>
        <family val="2"/>
      </rPr>
      <t xml:space="preserve">ロット単位で実数をカウントし、差異は理由付きの在庫調整として記録する。</t>
    </r>
  </si>
  <si>
    <t xml:space="preserve">INV-03</t>
  </si>
  <si>
    <t xml:space="preserve">t_stock_movement, t_inventory</t>
  </si>
  <si>
    <r>
      <rPr>
        <i val="true"/>
        <sz val="9"/>
        <color rgb="FF595959"/>
        <rFont val="WenQuanYi Zen Hei"/>
        <family val="2"/>
      </rPr>
      <t xml:space="preserve">優先度：</t>
    </r>
    <r>
      <rPr>
        <i val="true"/>
        <sz val="9"/>
        <color rgb="FF595959"/>
        <rFont val="Arial"/>
        <family val="0"/>
        <charset val="1"/>
      </rPr>
      <t xml:space="preserve">MUST</t>
    </r>
    <r>
      <rPr>
        <i val="true"/>
        <sz val="9"/>
        <color rgb="FF595959"/>
        <rFont val="WenQuanYi Zen Hei"/>
        <family val="2"/>
      </rPr>
      <t xml:space="preserve">＝初期リリース必須／</t>
    </r>
    <r>
      <rPr>
        <i val="true"/>
        <sz val="9"/>
        <color rgb="FF595959"/>
        <rFont val="Arial"/>
        <family val="0"/>
        <charset val="1"/>
      </rPr>
      <t xml:space="preserve">SHOULD</t>
    </r>
    <r>
      <rPr>
        <i val="true"/>
        <sz val="9"/>
        <color rgb="FF595959"/>
        <rFont val="WenQuanYi Zen Hei"/>
        <family val="2"/>
      </rPr>
      <t xml:space="preserve">＝初期リリース推奨／</t>
    </r>
    <r>
      <rPr>
        <i val="true"/>
        <sz val="9"/>
        <color rgb="FF595959"/>
        <rFont val="Arial"/>
        <family val="0"/>
        <charset val="1"/>
      </rPr>
      <t xml:space="preserve">COULD</t>
    </r>
    <r>
      <rPr>
        <i val="true"/>
        <sz val="9"/>
        <color rgb="FF595959"/>
        <rFont val="WenQuanYi Zen Hei"/>
        <family val="2"/>
      </rPr>
      <t xml:space="preserve">＝将来</t>
    </r>
  </si>
  <si>
    <r>
      <rPr>
        <b val="true"/>
        <sz val="10"/>
        <color rgb="FFFFFFFF"/>
        <rFont val="WenQuanYi Zen Hei"/>
        <family val="2"/>
      </rPr>
      <t xml:space="preserve">機能</t>
    </r>
    <r>
      <rPr>
        <b val="true"/>
        <sz val="10"/>
        <color rgb="FFFFFFFF"/>
        <rFont val="Arial"/>
        <family val="0"/>
        <charset val="1"/>
      </rPr>
      <t xml:space="preserve">ID</t>
    </r>
  </si>
  <si>
    <t xml:space="preserve">大分類</t>
  </si>
  <si>
    <t xml:space="preserve">機能名</t>
  </si>
  <si>
    <t xml:space="preserve">概要</t>
  </si>
  <si>
    <t xml:space="preserve">優先度</t>
  </si>
  <si>
    <r>
      <rPr>
        <b val="true"/>
        <sz val="10"/>
        <color rgb="FFFFFFFF"/>
        <rFont val="WenQuanYi Zen Hei"/>
        <family val="2"/>
      </rPr>
      <t xml:space="preserve">関連画面</t>
    </r>
    <r>
      <rPr>
        <b val="true"/>
        <sz val="10"/>
        <color rgb="FFFFFFFF"/>
        <rFont val="Arial"/>
        <family val="0"/>
        <charset val="1"/>
      </rPr>
      <t xml:space="preserve">ID</t>
    </r>
  </si>
  <si>
    <t xml:space="preserve">MST-01</t>
  </si>
  <si>
    <t xml:space="preserve">マスタ</t>
  </si>
  <si>
    <t xml:space="preserve">仕入先管理</t>
  </si>
  <si>
    <t xml:space="preserve">仕入先の登録・編集・無効化。取引条件・連絡先・取引開始日を保持。</t>
  </si>
  <si>
    <t xml:space="preserve">MUST</t>
  </si>
  <si>
    <t xml:space="preserve">SCR-11</t>
  </si>
  <si>
    <t xml:space="preserve">MST-02</t>
  </si>
  <si>
    <t xml:space="preserve">商品管理</t>
  </si>
  <si>
    <t xml:space="preserve">商品の登録・編集・無効化。形態・由来・保管温度区分・有効期間・最低出荷残期間・規制区分を保持。</t>
  </si>
  <si>
    <t xml:space="preserve">SCR-12</t>
  </si>
  <si>
    <t xml:space="preserve">MST-03</t>
  </si>
  <si>
    <t xml:space="preserve">顧客管理</t>
  </si>
  <si>
    <t xml:space="preserve">顧客（医療機関・サロン・代理店等）と納品先の登録・編集。顧客区分・医療機関コード・与信限度額を保持。</t>
  </si>
  <si>
    <t xml:space="preserve">SCR-13</t>
  </si>
  <si>
    <t xml:space="preserve">MST-04</t>
  </si>
  <si>
    <t xml:space="preserve">保管場所管理</t>
  </si>
  <si>
    <t xml:space="preserve">倉庫・冷凍庫等の保管場所と許容温度範囲の登録。</t>
  </si>
  <si>
    <t xml:space="preserve">SCR-14</t>
  </si>
  <si>
    <t xml:space="preserve">MST-05</t>
  </si>
  <si>
    <t xml:space="preserve">ユーザー・権限管理</t>
  </si>
  <si>
    <t xml:space="preserve">ユーザーの登録、ロール割当、アカウント停止。</t>
  </si>
  <si>
    <t xml:space="preserve">SCR-15</t>
  </si>
  <si>
    <t xml:space="preserve">MST-06</t>
  </si>
  <si>
    <t xml:space="preserve">販売可否ルール管理</t>
  </si>
  <si>
    <r>
      <rPr>
        <sz val="10"/>
        <rFont val="WenQuanYi Zen Hei"/>
        <family val="2"/>
      </rPr>
      <t xml:space="preserve">商品の規制区分</t>
    </r>
    <r>
      <rPr>
        <sz val="10"/>
        <rFont val="Arial"/>
        <family val="0"/>
        <charset val="1"/>
      </rPr>
      <t xml:space="preserve">×</t>
    </r>
    <r>
      <rPr>
        <sz val="10"/>
        <rFont val="WenQuanYi Zen Hei"/>
        <family val="2"/>
      </rPr>
      <t xml:space="preserve">顧客区分ごとの販売可否を設定。</t>
    </r>
  </si>
  <si>
    <t xml:space="preserve">SCR-16</t>
  </si>
  <si>
    <t xml:space="preserve">PUR-01</t>
  </si>
  <si>
    <t xml:space="preserve">発注登録</t>
  </si>
  <si>
    <t xml:space="preserve">発注書の作成・編集・取消。</t>
  </si>
  <si>
    <t xml:space="preserve">SHOULD</t>
  </si>
  <si>
    <t xml:space="preserve">SCR-21</t>
  </si>
  <si>
    <t xml:space="preserve">PUR-02</t>
  </si>
  <si>
    <t xml:space="preserve">発注承認・発注書出力</t>
  </si>
  <si>
    <r>
      <rPr>
        <sz val="10"/>
        <rFont val="WenQuanYi Zen Hei"/>
        <family val="2"/>
      </rPr>
      <t xml:space="preserve">管理者による承認と発注書</t>
    </r>
    <r>
      <rPr>
        <sz val="10"/>
        <rFont val="Arial"/>
        <family val="0"/>
        <charset val="1"/>
      </rPr>
      <t xml:space="preserve">PDF</t>
    </r>
    <r>
      <rPr>
        <sz val="10"/>
        <rFont val="WenQuanYi Zen Hei"/>
        <family val="2"/>
      </rPr>
      <t xml:space="preserve">の出力。</t>
    </r>
  </si>
  <si>
    <t xml:space="preserve">発注引当または発注なしでの入荷登録・取消。ロット自動生成／分納時は既存ロットへ加算。</t>
  </si>
  <si>
    <t xml:space="preserve">SCR-22</t>
  </si>
  <si>
    <t xml:space="preserve">RCV-02</t>
  </si>
  <si>
    <r>
      <rPr>
        <sz val="10"/>
        <rFont val="Arial"/>
        <family val="0"/>
        <charset val="1"/>
      </rPr>
      <t xml:space="preserve">COA</t>
    </r>
    <r>
      <rPr>
        <sz val="10"/>
        <rFont val="WenQuanYi Zen Hei"/>
        <family val="2"/>
      </rPr>
      <t xml:space="preserve">添付、検品結果の登録、ロット判定（合格</t>
    </r>
    <r>
      <rPr>
        <sz val="10"/>
        <rFont val="Arial"/>
        <family val="0"/>
        <charset val="1"/>
      </rPr>
      <t xml:space="preserve">/</t>
    </r>
    <r>
      <rPr>
        <sz val="10"/>
        <rFont val="WenQuanYi Zen Hei"/>
        <family val="2"/>
      </rPr>
      <t xml:space="preserve">不合格</t>
    </r>
    <r>
      <rPr>
        <sz val="10"/>
        <rFont val="Arial"/>
        <family val="0"/>
        <charset val="1"/>
      </rPr>
      <t xml:space="preserve">/</t>
    </r>
    <r>
      <rPr>
        <sz val="10"/>
        <rFont val="WenQuanYi Zen Hei"/>
        <family val="2"/>
      </rPr>
      <t xml:space="preserve">保留）、分納受入判定。</t>
    </r>
  </si>
  <si>
    <t xml:space="preserve">SCR-23</t>
  </si>
  <si>
    <t xml:space="preserve">LOT-01</t>
  </si>
  <si>
    <t xml:space="preserve">ロット</t>
  </si>
  <si>
    <t xml:space="preserve">ロット一覧・詳細</t>
  </si>
  <si>
    <t xml:space="preserve">ロットごとの基本情報・在庫・入出荷履歴・添付書類の参照。</t>
  </si>
  <si>
    <t xml:space="preserve">SCR-31,SCR-32</t>
  </si>
  <si>
    <t xml:space="preserve">LOT-02</t>
  </si>
  <si>
    <t xml:space="preserve">ロットステータス変更</t>
  </si>
  <si>
    <r>
      <rPr>
        <sz val="10"/>
        <rFont val="WenQuanYi Zen Hei"/>
        <family val="2"/>
      </rPr>
      <t xml:space="preserve">保留・保留解除・不合格判定のステータス変更（理由必須、</t>
    </r>
    <r>
      <rPr>
        <sz val="10"/>
        <rFont val="Arial"/>
        <family val="0"/>
        <charset val="1"/>
      </rPr>
      <t xml:space="preserve">QA</t>
    </r>
    <r>
      <rPr>
        <sz val="10"/>
        <rFont val="WenQuanYi Zen Hei"/>
        <family val="2"/>
      </rPr>
      <t xml:space="preserve">権限、履歴記録）。出荷停止は </t>
    </r>
    <r>
      <rPr>
        <sz val="10"/>
        <rFont val="Arial"/>
        <family val="0"/>
        <charset val="1"/>
      </rPr>
      <t xml:space="preserve">HOLD/RECALLED </t>
    </r>
    <r>
      <rPr>
        <sz val="10"/>
        <rFont val="WenQuanYi Zen Hei"/>
        <family val="2"/>
      </rPr>
      <t xml:space="preserve">で表現。</t>
    </r>
  </si>
  <si>
    <t xml:space="preserve">SCR-32</t>
  </si>
  <si>
    <t xml:space="preserve">INV-01</t>
  </si>
  <si>
    <t xml:space="preserve">在庫照会</t>
  </si>
  <si>
    <r>
      <rPr>
        <sz val="10"/>
        <rFont val="WenQuanYi Zen Hei"/>
        <family val="2"/>
      </rPr>
      <t xml:space="preserve">商品</t>
    </r>
    <r>
      <rPr>
        <sz val="10"/>
        <rFont val="Arial"/>
        <family val="0"/>
        <charset val="1"/>
      </rPr>
      <t xml:space="preserve">×</t>
    </r>
    <r>
      <rPr>
        <sz val="10"/>
        <rFont val="WenQuanYi Zen Hei"/>
        <family val="2"/>
      </rPr>
      <t xml:space="preserve">ロット</t>
    </r>
    <r>
      <rPr>
        <sz val="10"/>
        <rFont val="Arial"/>
        <family val="0"/>
        <charset val="1"/>
      </rPr>
      <t xml:space="preserve">×</t>
    </r>
    <r>
      <rPr>
        <sz val="10"/>
        <rFont val="WenQuanYi Zen Hei"/>
        <family val="2"/>
      </rPr>
      <t xml:space="preserve">保管場所の在庫数・引当可能数・使用期限を照会。</t>
    </r>
  </si>
  <si>
    <t xml:space="preserve">SCR-33</t>
  </si>
  <si>
    <t xml:space="preserve">INV-02</t>
  </si>
  <si>
    <t xml:space="preserve">在庫移動（保管場所間）</t>
  </si>
  <si>
    <t xml:space="preserve">保管場所間の移動登録。</t>
  </si>
  <si>
    <t xml:space="preserve">SCR-34</t>
  </si>
  <si>
    <t xml:space="preserve">棚卸・在庫調整</t>
  </si>
  <si>
    <t xml:space="preserve">棚卸結果の登録と差異調整、破損・期限切れによる廃棄、不合格・回収ロットの仕入先返品。</t>
  </si>
  <si>
    <t xml:space="preserve">温度記録</t>
  </si>
  <si>
    <r>
      <rPr>
        <sz val="10"/>
        <rFont val="WenQuanYi Zen Hei"/>
        <family val="2"/>
      </rPr>
      <t xml:space="preserve">保管場所ごとの温度入力（手入力</t>
    </r>
    <r>
      <rPr>
        <sz val="10"/>
        <rFont val="Arial"/>
        <family val="0"/>
        <charset val="1"/>
      </rPr>
      <t xml:space="preserve">/CSV</t>
    </r>
    <r>
      <rPr>
        <sz val="10"/>
        <rFont val="WenQuanYi Zen Hei"/>
        <family val="2"/>
      </rPr>
      <t xml:space="preserve">取込）と逸脱検知。</t>
    </r>
  </si>
  <si>
    <t xml:space="preserve">SCR-35</t>
  </si>
  <si>
    <t xml:space="preserve">INV-05</t>
  </si>
  <si>
    <t xml:space="preserve">期限・在庫アラート</t>
  </si>
  <si>
    <t xml:space="preserve">使用期限接近・期限切れ・在庫下限割れ・温度逸脱をダッシュボードとメールで通知。</t>
  </si>
  <si>
    <t xml:space="preserve">SCR-01</t>
  </si>
  <si>
    <t xml:space="preserve">受注登録</t>
  </si>
  <si>
    <t xml:space="preserve">受注の登録・編集・取消・打切り。販売可否ルール・与信限度額チェックと与信超過の承認。</t>
  </si>
  <si>
    <t xml:space="preserve">SCR-41</t>
  </si>
  <si>
    <t xml:space="preserve">SHP-01</t>
  </si>
  <si>
    <t xml:space="preserve">ロット引当</t>
  </si>
  <si>
    <r>
      <rPr>
        <sz val="10"/>
        <rFont val="WenQuanYi Zen Hei"/>
        <family val="2"/>
      </rPr>
      <t xml:space="preserve">受注明細へのロット引当（</t>
    </r>
    <r>
      <rPr>
        <sz val="10"/>
        <rFont val="Arial"/>
        <family val="0"/>
        <charset val="1"/>
      </rPr>
      <t xml:space="preserve">FEFO</t>
    </r>
    <r>
      <rPr>
        <sz val="10"/>
        <rFont val="WenQuanYi Zen Hei"/>
        <family val="2"/>
      </rPr>
      <t xml:space="preserve">自動引当＋手動変更）。</t>
    </r>
  </si>
  <si>
    <t xml:space="preserve">SCR-42</t>
  </si>
  <si>
    <t xml:space="preserve">SHP-02</t>
  </si>
  <si>
    <t xml:space="preserve">出荷確定・取消</t>
  </si>
  <si>
    <t xml:space="preserve">出荷確定による在庫減算、取消時の赤伝処理。</t>
  </si>
  <si>
    <t xml:space="preserve">SHP-03</t>
  </si>
  <si>
    <t xml:space="preserve">納品書出力</t>
  </si>
  <si>
    <r>
      <rPr>
        <sz val="10"/>
        <rFont val="WenQuanYi Zen Hei"/>
        <family val="2"/>
      </rPr>
      <t xml:space="preserve">ロット番号・使用期限を記載した納品書</t>
    </r>
    <r>
      <rPr>
        <sz val="10"/>
        <rFont val="Arial"/>
        <family val="0"/>
        <charset val="1"/>
      </rPr>
      <t xml:space="preserve">PDF</t>
    </r>
    <r>
      <rPr>
        <sz val="10"/>
        <rFont val="WenQuanYi Zen Hei"/>
        <family val="2"/>
      </rPr>
      <t xml:space="preserve">の出力。</t>
    </r>
  </si>
  <si>
    <t xml:space="preserve">返品登録</t>
  </si>
  <si>
    <r>
      <rPr>
        <sz val="10"/>
        <rFont val="WenQuanYi Zen Hei"/>
        <family val="2"/>
      </rPr>
      <t xml:space="preserve">元出荷明細を指定した返品登録と</t>
    </r>
    <r>
      <rPr>
        <sz val="10"/>
        <rFont val="Arial"/>
        <family val="0"/>
        <charset val="1"/>
      </rPr>
      <t xml:space="preserve">QA</t>
    </r>
    <r>
      <rPr>
        <sz val="10"/>
        <rFont val="WenQuanYi Zen Hei"/>
        <family val="2"/>
      </rPr>
      <t xml:space="preserve">判定（在庫戻し</t>
    </r>
    <r>
      <rPr>
        <sz val="10"/>
        <rFont val="Arial"/>
        <family val="0"/>
        <charset val="1"/>
      </rPr>
      <t xml:space="preserve">/</t>
    </r>
    <r>
      <rPr>
        <sz val="10"/>
        <rFont val="WenQuanYi Zen Hei"/>
        <family val="2"/>
      </rPr>
      <t xml:space="preserve">廃棄）。</t>
    </r>
  </si>
  <si>
    <t xml:space="preserve">SCR-43</t>
  </si>
  <si>
    <t xml:space="preserve">TRC-01</t>
  </si>
  <si>
    <t xml:space="preserve">トレース</t>
  </si>
  <si>
    <t xml:space="preserve">ロット→顧客 追跡</t>
  </si>
  <si>
    <t xml:space="preserve">ロット番号から出荷先顧客・納品先・出荷日・数量を一覧（前方追跡）。</t>
  </si>
  <si>
    <t xml:space="preserve">SCR-51</t>
  </si>
  <si>
    <t xml:space="preserve">TRC-02</t>
  </si>
  <si>
    <t xml:space="preserve">顧客→ロット 追跡</t>
  </si>
  <si>
    <t xml:space="preserve">顧客から購入した商品・ロット・数量を一覧（後方追跡）。</t>
  </si>
  <si>
    <t xml:space="preserve">SCR-52</t>
  </si>
  <si>
    <t xml:space="preserve">RCL-01</t>
  </si>
  <si>
    <t xml:space="preserve">回収案件登録</t>
  </si>
  <si>
    <t xml:space="preserve">回収案件の登録、対象ロット指定、対象顧客の自動抽出、ロットの出荷停止。</t>
  </si>
  <si>
    <t xml:space="preserve">SCR-53</t>
  </si>
  <si>
    <t xml:space="preserve">RCL-02</t>
  </si>
  <si>
    <t xml:space="preserve">回収進捗管理</t>
  </si>
  <si>
    <t xml:space="preserve">納品先ごとの連絡日・回答・回収数量・回収不能数量・完了の管理。</t>
  </si>
  <si>
    <t xml:space="preserve">RPT-01</t>
  </si>
  <si>
    <t xml:space="preserve">帳票</t>
  </si>
  <si>
    <t xml:space="preserve">仕入実績表</t>
  </si>
  <si>
    <t xml:space="preserve">期間・仕入先・商品別の仕入数量・金額。</t>
  </si>
  <si>
    <t xml:space="preserve">SCR-61</t>
  </si>
  <si>
    <t xml:space="preserve">RPT-02</t>
  </si>
  <si>
    <t xml:space="preserve">販売実績表</t>
  </si>
  <si>
    <t xml:space="preserve">期間・顧客・商品別の販売数量・金額・粗利。</t>
  </si>
  <si>
    <t xml:space="preserve">RPT-03</t>
  </si>
  <si>
    <t xml:space="preserve">在庫受払表</t>
  </si>
  <si>
    <r>
      <rPr>
        <sz val="10"/>
        <rFont val="WenQuanYi Zen Hei"/>
        <family val="2"/>
      </rPr>
      <t xml:space="preserve">期間・商品・ロット別の期首</t>
    </r>
    <r>
      <rPr>
        <sz val="10"/>
        <rFont val="Arial"/>
        <family val="0"/>
        <charset val="1"/>
      </rPr>
      <t xml:space="preserve">/</t>
    </r>
    <r>
      <rPr>
        <sz val="10"/>
        <rFont val="WenQuanYi Zen Hei"/>
        <family val="2"/>
      </rPr>
      <t xml:space="preserve">入庫</t>
    </r>
    <r>
      <rPr>
        <sz val="10"/>
        <rFont val="Arial"/>
        <family val="0"/>
        <charset val="1"/>
      </rPr>
      <t xml:space="preserve">/</t>
    </r>
    <r>
      <rPr>
        <sz val="10"/>
        <rFont val="WenQuanYi Zen Hei"/>
        <family val="2"/>
      </rPr>
      <t xml:space="preserve">出庫</t>
    </r>
    <r>
      <rPr>
        <sz val="10"/>
        <rFont val="Arial"/>
        <family val="0"/>
        <charset val="1"/>
      </rPr>
      <t xml:space="preserve">/</t>
    </r>
    <r>
      <rPr>
        <sz val="10"/>
        <rFont val="WenQuanYi Zen Hei"/>
        <family val="2"/>
      </rPr>
      <t xml:space="preserve">期末。</t>
    </r>
  </si>
  <si>
    <t xml:space="preserve">RPT-04</t>
  </si>
  <si>
    <t xml:space="preserve">トレーサビリティ台帳</t>
  </si>
  <si>
    <t xml:space="preserve">ロット別の入荷〜出荷〜返品・回収の全履歴（監査・行政対応用）。</t>
  </si>
  <si>
    <t xml:space="preserve">RPT-05</t>
  </si>
  <si>
    <r>
      <rPr>
        <sz val="10"/>
        <rFont val="WenQuanYi Zen Hei"/>
        <family val="2"/>
      </rPr>
      <t xml:space="preserve">会計連携</t>
    </r>
    <r>
      <rPr>
        <sz val="10"/>
        <rFont val="Arial"/>
        <family val="0"/>
        <charset val="1"/>
      </rPr>
      <t xml:space="preserve">CSV</t>
    </r>
  </si>
  <si>
    <t xml:space="preserve">売上・仕入データを会計ソフト取込形式で出力。</t>
  </si>
  <si>
    <t xml:space="preserve">SYS-01</t>
  </si>
  <si>
    <t xml:space="preserve">共通</t>
  </si>
  <si>
    <t xml:space="preserve">ログイン・認証</t>
  </si>
  <si>
    <r>
      <rPr>
        <sz val="10"/>
        <rFont val="WenQuanYi Zen Hei"/>
        <family val="2"/>
      </rPr>
      <t xml:space="preserve">メール＋パスワード＋</t>
    </r>
    <r>
      <rPr>
        <sz val="10"/>
        <rFont val="Arial"/>
        <family val="0"/>
        <charset val="1"/>
      </rPr>
      <t xml:space="preserve">2</t>
    </r>
    <r>
      <rPr>
        <sz val="10"/>
        <rFont val="WenQuanYi Zen Hei"/>
        <family val="2"/>
      </rPr>
      <t xml:space="preserve">要素認証、一定回数失敗でロック。</t>
    </r>
  </si>
  <si>
    <t xml:space="preserve">SCR-00</t>
  </si>
  <si>
    <t xml:space="preserve">SYS-02</t>
  </si>
  <si>
    <t xml:space="preserve">監査ログ</t>
  </si>
  <si>
    <t xml:space="preserve">登録・更新・取消・ステータス変更・ログインの記録と照会。</t>
  </si>
  <si>
    <t xml:space="preserve">SCR-62</t>
  </si>
  <si>
    <t xml:space="preserve">SYS-03</t>
  </si>
  <si>
    <t xml:space="preserve">ダッシュボード</t>
  </si>
  <si>
    <t xml:space="preserve">アラート、当日の入荷予定・出荷予定、回収案件の状況。</t>
  </si>
  <si>
    <r>
      <rPr>
        <b val="true"/>
        <sz val="10"/>
        <color rgb="FFFFFFFF"/>
        <rFont val="WenQuanYi Zen Hei"/>
        <family val="2"/>
      </rPr>
      <t xml:space="preserve">画面</t>
    </r>
    <r>
      <rPr>
        <b val="true"/>
        <sz val="10"/>
        <color rgb="FFFFFFFF"/>
        <rFont val="Arial"/>
        <family val="0"/>
        <charset val="1"/>
      </rPr>
      <t xml:space="preserve">ID</t>
    </r>
  </si>
  <si>
    <t xml:space="preserve">画面名</t>
  </si>
  <si>
    <t xml:space="preserve">主な操作</t>
  </si>
  <si>
    <t xml:space="preserve">ログイン</t>
  </si>
  <si>
    <t xml:space="preserve">認証画面</t>
  </si>
  <si>
    <r>
      <rPr>
        <sz val="10"/>
        <rFont val="WenQuanYi Zen Hei"/>
        <family val="2"/>
      </rPr>
      <t xml:space="preserve">ログイン、</t>
    </r>
    <r>
      <rPr>
        <sz val="10"/>
        <rFont val="Arial"/>
        <family val="0"/>
        <charset val="1"/>
      </rPr>
      <t xml:space="preserve">2</t>
    </r>
    <r>
      <rPr>
        <sz val="10"/>
        <rFont val="WenQuanYi Zen Hei"/>
        <family val="2"/>
      </rPr>
      <t xml:space="preserve">要素認証、パスワード再設定</t>
    </r>
  </si>
  <si>
    <t xml:space="preserve">アラート・当日予定・回収状況の表示</t>
  </si>
  <si>
    <t xml:space="preserve">各アラートから該当画面へ遷移</t>
  </si>
  <si>
    <t xml:space="preserve">仕入先一覧・編集</t>
  </si>
  <si>
    <t xml:space="preserve">仕入先の検索・登録・編集</t>
  </si>
  <si>
    <t xml:space="preserve">検索、新規、編集、無効化</t>
  </si>
  <si>
    <t xml:space="preserve">商品一覧・編集</t>
  </si>
  <si>
    <t xml:space="preserve">商品の検索・登録・編集</t>
  </si>
  <si>
    <t xml:space="preserve">顧客一覧・編集</t>
  </si>
  <si>
    <t xml:space="preserve">顧客・納品先の検索・登録・編集</t>
  </si>
  <si>
    <t xml:space="preserve">検索、新規、編集、納品先追加、無効化</t>
  </si>
  <si>
    <t xml:space="preserve">保管場所一覧・編集</t>
  </si>
  <si>
    <t xml:space="preserve">保管場所の登録・編集</t>
  </si>
  <si>
    <t xml:space="preserve">新規、編集、無効化</t>
  </si>
  <si>
    <t xml:space="preserve">ユーザー管理</t>
  </si>
  <si>
    <t xml:space="preserve">ユーザー・ロールの管理</t>
  </si>
  <si>
    <t xml:space="preserve">新規、ロール変更、停止</t>
  </si>
  <si>
    <t xml:space="preserve">販売可否ルール</t>
  </si>
  <si>
    <r>
      <rPr>
        <sz val="10"/>
        <rFont val="WenQuanYi Zen Hei"/>
        <family val="2"/>
      </rPr>
      <t xml:space="preserve">規制区分</t>
    </r>
    <r>
      <rPr>
        <sz val="10"/>
        <rFont val="Arial"/>
        <family val="0"/>
        <charset val="1"/>
      </rPr>
      <t xml:space="preserve">×</t>
    </r>
    <r>
      <rPr>
        <sz val="10"/>
        <rFont val="WenQuanYi Zen Hei"/>
        <family val="2"/>
      </rPr>
      <t xml:space="preserve">顧客区分のマトリクス編集</t>
    </r>
  </si>
  <si>
    <t xml:space="preserve">編集</t>
  </si>
  <si>
    <t xml:space="preserve">発注一覧・登録</t>
  </si>
  <si>
    <t xml:space="preserve">発注の検索・登録・承認</t>
  </si>
  <si>
    <r>
      <rPr>
        <sz val="10"/>
        <rFont val="WenQuanYi Zen Hei"/>
        <family val="2"/>
      </rPr>
      <t xml:space="preserve">新規、編集、承認、取消、発注書</t>
    </r>
    <r>
      <rPr>
        <sz val="10"/>
        <rFont val="Arial"/>
        <family val="0"/>
        <charset val="1"/>
      </rPr>
      <t xml:space="preserve">PDF</t>
    </r>
  </si>
  <si>
    <t xml:space="preserve">発注を選択して入荷・ロット情報を登録</t>
  </si>
  <si>
    <t xml:space="preserve">発注選択、ロット入力、確定</t>
  </si>
  <si>
    <t xml:space="preserve">検品待ちロットの判定</t>
  </si>
  <si>
    <r>
      <rPr>
        <sz val="10"/>
        <rFont val="Arial"/>
        <family val="0"/>
        <charset val="1"/>
      </rPr>
      <t xml:space="preserve">COA</t>
    </r>
    <r>
      <rPr>
        <sz val="10"/>
        <rFont val="WenQuanYi Zen Hei"/>
        <family val="2"/>
      </rPr>
      <t xml:space="preserve">添付、判定登録</t>
    </r>
  </si>
  <si>
    <t xml:space="preserve">SCR-31</t>
  </si>
  <si>
    <t xml:space="preserve">ロット一覧</t>
  </si>
  <si>
    <t xml:space="preserve">ロットの検索（商品・期限・ステータス）</t>
  </si>
  <si>
    <r>
      <rPr>
        <sz val="10"/>
        <rFont val="WenQuanYi Zen Hei"/>
        <family val="2"/>
      </rPr>
      <t xml:space="preserve">検索、</t>
    </r>
    <r>
      <rPr>
        <sz val="10"/>
        <rFont val="Arial"/>
        <family val="0"/>
        <charset val="1"/>
      </rPr>
      <t xml:space="preserve">CSV</t>
    </r>
    <r>
      <rPr>
        <sz val="10"/>
        <rFont val="WenQuanYi Zen Hei"/>
        <family val="2"/>
      </rPr>
      <t xml:space="preserve">出力</t>
    </r>
  </si>
  <si>
    <t xml:space="preserve">ロット詳細</t>
  </si>
  <si>
    <t xml:space="preserve">ロット情報・在庫・入出荷履歴・添付・ステータス履歴</t>
  </si>
  <si>
    <t xml:space="preserve">ステータス変更、トレース画面へ遷移</t>
  </si>
  <si>
    <r>
      <rPr>
        <sz val="10"/>
        <rFont val="WenQuanYi Zen Hei"/>
        <family val="2"/>
      </rPr>
      <t xml:space="preserve">商品</t>
    </r>
    <r>
      <rPr>
        <sz val="10"/>
        <rFont val="Arial"/>
        <family val="0"/>
        <charset val="1"/>
      </rPr>
      <t xml:space="preserve">×</t>
    </r>
    <r>
      <rPr>
        <sz val="10"/>
        <rFont val="WenQuanYi Zen Hei"/>
        <family val="2"/>
      </rPr>
      <t xml:space="preserve">ロット</t>
    </r>
    <r>
      <rPr>
        <sz val="10"/>
        <rFont val="Arial"/>
        <family val="0"/>
        <charset val="1"/>
      </rPr>
      <t xml:space="preserve">×</t>
    </r>
    <r>
      <rPr>
        <sz val="10"/>
        <rFont val="WenQuanYi Zen Hei"/>
        <family val="2"/>
      </rPr>
      <t xml:space="preserve">保管場所の在庫</t>
    </r>
  </si>
  <si>
    <t xml:space="preserve">在庫移動・棚卸</t>
  </si>
  <si>
    <t xml:space="preserve">保管場所間移動、棚卸、調整、廃棄</t>
  </si>
  <si>
    <t xml:space="preserve">登録、確定</t>
  </si>
  <si>
    <t xml:space="preserve">保管場所ごとの温度記録と逸脱一覧</t>
  </si>
  <si>
    <r>
      <rPr>
        <sz val="10"/>
        <rFont val="WenQuanYi Zen Hei"/>
        <family val="2"/>
      </rPr>
      <t xml:space="preserve">入力、</t>
    </r>
    <r>
      <rPr>
        <sz val="10"/>
        <rFont val="Arial"/>
        <family val="0"/>
        <charset val="1"/>
      </rPr>
      <t xml:space="preserve">CSV</t>
    </r>
    <r>
      <rPr>
        <sz val="10"/>
        <rFont val="WenQuanYi Zen Hei"/>
        <family val="2"/>
      </rPr>
      <t xml:space="preserve">取込</t>
    </r>
  </si>
  <si>
    <t xml:space="preserve">受注一覧・登録</t>
  </si>
  <si>
    <t xml:space="preserve">受注の検索・登録</t>
  </si>
  <si>
    <t xml:space="preserve">新規、編集、取消</t>
  </si>
  <si>
    <t xml:space="preserve">出荷（引当・確定）</t>
  </si>
  <si>
    <t xml:space="preserve">ロット引当・出荷確定・納品書出力</t>
  </si>
  <si>
    <r>
      <rPr>
        <sz val="10"/>
        <rFont val="WenQuanYi Zen Hei"/>
        <family val="2"/>
      </rPr>
      <t xml:space="preserve">自動引当、手動変更、確定、取消、納品書</t>
    </r>
    <r>
      <rPr>
        <sz val="10"/>
        <rFont val="Arial"/>
        <family val="0"/>
        <charset val="1"/>
      </rPr>
      <t xml:space="preserve">PDF</t>
    </r>
  </si>
  <si>
    <t xml:space="preserve">元出荷明細を指定して返品登録</t>
  </si>
  <si>
    <r>
      <rPr>
        <sz val="10"/>
        <rFont val="WenQuanYi Zen Hei"/>
        <family val="2"/>
      </rPr>
      <t xml:space="preserve">登録、</t>
    </r>
    <r>
      <rPr>
        <sz val="10"/>
        <rFont val="Arial"/>
        <family val="0"/>
        <charset val="1"/>
      </rPr>
      <t xml:space="preserve">QA</t>
    </r>
    <r>
      <rPr>
        <sz val="10"/>
        <rFont val="WenQuanYi Zen Hei"/>
        <family val="2"/>
      </rPr>
      <t xml:space="preserve">判定</t>
    </r>
  </si>
  <si>
    <t xml:space="preserve">ロット追跡（前方）</t>
  </si>
  <si>
    <t xml:space="preserve">ロット→出荷先顧客一覧</t>
  </si>
  <si>
    <r>
      <rPr>
        <sz val="10"/>
        <rFont val="WenQuanYi Zen Hei"/>
        <family val="2"/>
      </rPr>
      <t xml:space="preserve">検索、</t>
    </r>
    <r>
      <rPr>
        <sz val="10"/>
        <rFont val="Arial"/>
        <family val="0"/>
        <charset val="1"/>
      </rPr>
      <t xml:space="preserve">CSV/PDF</t>
    </r>
    <r>
      <rPr>
        <sz val="10"/>
        <rFont val="WenQuanYi Zen Hei"/>
        <family val="2"/>
      </rPr>
      <t xml:space="preserve">出力</t>
    </r>
  </si>
  <si>
    <t xml:space="preserve">顧客追跡（後方）</t>
  </si>
  <si>
    <t xml:space="preserve">顧客→購入ロット一覧</t>
  </si>
  <si>
    <t xml:space="preserve">回収管理</t>
  </si>
  <si>
    <t xml:space="preserve">回収案件・対象顧客・進捗</t>
  </si>
  <si>
    <t xml:space="preserve">新規、対象抽出、進捗更新、完了</t>
  </si>
  <si>
    <t xml:space="preserve">帳票出力</t>
  </si>
  <si>
    <r>
      <rPr>
        <sz val="10"/>
        <rFont val="WenQuanYi Zen Hei"/>
        <family val="2"/>
      </rPr>
      <t xml:space="preserve">各種帳票・</t>
    </r>
    <r>
      <rPr>
        <sz val="10"/>
        <rFont val="Arial"/>
        <family val="0"/>
        <charset val="1"/>
      </rPr>
      <t xml:space="preserve">CSV</t>
    </r>
    <r>
      <rPr>
        <sz val="10"/>
        <rFont val="WenQuanYi Zen Hei"/>
        <family val="2"/>
      </rPr>
      <t xml:space="preserve">の条件指定と出力</t>
    </r>
  </si>
  <si>
    <t xml:space="preserve">条件指定、出力</t>
  </si>
  <si>
    <t xml:space="preserve">監査ログ照会</t>
  </si>
  <si>
    <t xml:space="preserve">操作履歴の検索</t>
  </si>
  <si>
    <t xml:space="preserve">主要画面（入荷・検品・受注・出荷・追跡・回収）の項目。マスタ画面は項目定義シートのカラムをそのまま入力項目とする</t>
  </si>
  <si>
    <t xml:space="preserve">項目名</t>
  </si>
  <si>
    <t xml:space="preserve">種別</t>
  </si>
  <si>
    <t xml:space="preserve">入出力</t>
  </si>
  <si>
    <t xml:space="preserve">必須</t>
  </si>
  <si>
    <r>
      <rPr>
        <b val="true"/>
        <sz val="10"/>
        <color rgb="FFFFFFFF"/>
        <rFont val="WenQuanYi Zen Hei"/>
        <family val="2"/>
      </rPr>
      <t xml:space="preserve">桁</t>
    </r>
    <r>
      <rPr>
        <b val="true"/>
        <sz val="10"/>
        <color rgb="FFFFFFFF"/>
        <rFont val="Arial"/>
        <family val="0"/>
        <charset val="1"/>
      </rPr>
      <t xml:space="preserve">/</t>
    </r>
    <r>
      <rPr>
        <b val="true"/>
        <sz val="10"/>
        <color rgb="FFFFFFFF"/>
        <rFont val="WenQuanYi Zen Hei"/>
        <family val="2"/>
      </rPr>
      <t xml:space="preserve">形式</t>
    </r>
  </si>
  <si>
    <r>
      <rPr>
        <b val="true"/>
        <sz val="10"/>
        <color rgb="FFFFFFFF"/>
        <rFont val="WenQuanYi Zen Hei"/>
        <family val="2"/>
      </rPr>
      <t xml:space="preserve">対応テーブル</t>
    </r>
    <r>
      <rPr>
        <b val="true"/>
        <sz val="10"/>
        <color rgb="FFFFFFFF"/>
        <rFont val="Arial"/>
        <family val="0"/>
        <charset val="1"/>
      </rPr>
      <t xml:space="preserve">.</t>
    </r>
    <r>
      <rPr>
        <b val="true"/>
        <sz val="10"/>
        <color rgb="FFFFFFFF"/>
        <rFont val="WenQuanYi Zen Hei"/>
        <family val="2"/>
      </rPr>
      <t xml:space="preserve">カラム</t>
    </r>
  </si>
  <si>
    <t xml:space="preserve">初期値</t>
  </si>
  <si>
    <t xml:space="preserve">チェック・備考</t>
  </si>
  <si>
    <t xml:space="preserve">アラート一覧</t>
  </si>
  <si>
    <t xml:space="preserve">一覧</t>
  </si>
  <si>
    <t xml:space="preserve">出力</t>
  </si>
  <si>
    <t xml:space="preserve">（アラート）</t>
  </si>
  <si>
    <r>
      <rPr>
        <sz val="10"/>
        <rFont val="Arial"/>
        <family val="0"/>
        <charset val="1"/>
      </rPr>
      <t xml:space="preserve">BR-16 </t>
    </r>
    <r>
      <rPr>
        <sz val="10"/>
        <rFont val="WenQuanYi Zen Hei"/>
        <family val="2"/>
      </rPr>
      <t xml:space="preserve">の種類別件数と明細。クリックで該当画面へ</t>
    </r>
  </si>
  <si>
    <t xml:space="preserve">本日の入荷予定</t>
  </si>
  <si>
    <t xml:space="preserve">t_purchase_order</t>
  </si>
  <si>
    <r>
      <rPr>
        <sz val="10"/>
        <rFont val="WenQuanYi Zen Hei"/>
        <family val="2"/>
      </rPr>
      <t xml:space="preserve">入荷予定日</t>
    </r>
    <r>
      <rPr>
        <sz val="10"/>
        <rFont val="Arial"/>
        <family val="0"/>
        <charset val="1"/>
      </rPr>
      <t xml:space="preserve">=</t>
    </r>
    <r>
      <rPr>
        <sz val="10"/>
        <rFont val="WenQuanYi Zen Hei"/>
        <family val="2"/>
      </rPr>
      <t xml:space="preserve">当日 の </t>
    </r>
    <r>
      <rPr>
        <sz val="10"/>
        <rFont val="Arial"/>
        <family val="0"/>
        <charset val="1"/>
      </rPr>
      <t xml:space="preserve">APPROVED/PARTIAL</t>
    </r>
  </si>
  <si>
    <t xml:space="preserve">本日の出荷予定</t>
  </si>
  <si>
    <t xml:space="preserve">t_sales_order</t>
  </si>
  <si>
    <r>
      <rPr>
        <sz val="10"/>
        <rFont val="WenQuanYi Zen Hei"/>
        <family val="2"/>
      </rPr>
      <t xml:space="preserve">希望納期</t>
    </r>
    <r>
      <rPr>
        <sz val="10"/>
        <rFont val="Arial"/>
        <family val="0"/>
        <charset val="1"/>
      </rPr>
      <t xml:space="preserve">&lt;=</t>
    </r>
    <r>
      <rPr>
        <sz val="10"/>
        <rFont val="WenQuanYi Zen Hei"/>
        <family val="2"/>
      </rPr>
      <t xml:space="preserve">当日 の </t>
    </r>
    <r>
      <rPr>
        <sz val="10"/>
        <rFont val="Arial"/>
        <family val="0"/>
        <charset val="1"/>
      </rPr>
      <t xml:space="preserve">OPEN/PARTIAL</t>
    </r>
    <r>
      <rPr>
        <sz val="10"/>
        <rFont val="WenQuanYi Zen Hei"/>
        <family val="2"/>
      </rPr>
      <t xml:space="preserve">。</t>
    </r>
    <r>
      <rPr>
        <sz val="10"/>
        <rFont val="Arial"/>
        <family val="0"/>
        <charset val="1"/>
      </rPr>
      <t xml:space="preserve">CREDIT_PENDING </t>
    </r>
    <r>
      <rPr>
        <sz val="10"/>
        <rFont val="WenQuanYi Zen Hei"/>
        <family val="2"/>
      </rPr>
      <t xml:space="preserve">は別枠表示</t>
    </r>
  </si>
  <si>
    <t xml:space="preserve">検品待ち・分納受入待ち</t>
  </si>
  <si>
    <t xml:space="preserve">件数</t>
  </si>
  <si>
    <t xml:space="preserve">t_lot</t>
  </si>
  <si>
    <r>
      <rPr>
        <sz val="10"/>
        <rFont val="Arial"/>
        <family val="0"/>
        <charset val="1"/>
      </rPr>
      <t xml:space="preserve">QA</t>
    </r>
    <r>
      <rPr>
        <sz val="10"/>
        <rFont val="WenQuanYi Zen Hei"/>
        <family val="2"/>
      </rPr>
      <t xml:space="preserve">ロール向け</t>
    </r>
  </si>
  <si>
    <t xml:space="preserve">回収案件の状況</t>
  </si>
  <si>
    <t xml:space="preserve">t_recall, t_recall_target</t>
  </si>
  <si>
    <t xml:space="preserve">未完了案件ごとの連絡済率・回収率</t>
  </si>
  <si>
    <t xml:space="preserve">仕入先コード</t>
  </si>
  <si>
    <t xml:space="preserve">テキスト</t>
  </si>
  <si>
    <t xml:space="preserve">入力</t>
  </si>
  <si>
    <t xml:space="preserve">Y</t>
  </si>
  <si>
    <t xml:space="preserve">20</t>
  </si>
  <si>
    <t xml:space="preserve">m_supplier.supplier_code</t>
  </si>
  <si>
    <t xml:space="preserve">一意</t>
  </si>
  <si>
    <t xml:space="preserve">仕入先名・国・住所・担当者・電話・メール・支払条件</t>
  </si>
  <si>
    <t xml:space="preserve">項目定義に従う</t>
  </si>
  <si>
    <t xml:space="preserve">m_supplier.name</t>
  </si>
  <si>
    <t xml:space="preserve">仕入先名は必須</t>
  </si>
  <si>
    <t xml:space="preserve">有効フラグ</t>
  </si>
  <si>
    <t xml:space="preserve">チェック</t>
  </si>
  <si>
    <t xml:space="preserve">m_supplier.is_active</t>
  </si>
  <si>
    <t xml:space="preserve">ON</t>
  </si>
  <si>
    <t xml:space="preserve">無効化しても過去伝票は参照可</t>
  </si>
  <si>
    <t xml:space="preserve">商品コード</t>
  </si>
  <si>
    <t xml:space="preserve">m_product.product_code</t>
  </si>
  <si>
    <t xml:space="preserve">一意。英数字・ハイフン（ロット番号に使用）</t>
  </si>
  <si>
    <t xml:space="preserve">商品名</t>
  </si>
  <si>
    <t xml:space="preserve">100</t>
  </si>
  <si>
    <t xml:space="preserve">m_product.name</t>
  </si>
  <si>
    <t xml:space="preserve">主仕入先</t>
  </si>
  <si>
    <t xml:space="preserve">選択</t>
  </si>
  <si>
    <t xml:space="preserve">m_product.supplier_id</t>
  </si>
  <si>
    <t xml:space="preserve">由来・形態</t>
  </si>
  <si>
    <t xml:space="preserve">m_product.source_type</t>
  </si>
  <si>
    <r>
      <rPr>
        <sz val="10"/>
        <rFont val="WenQuanYi Zen Hei"/>
        <family val="2"/>
      </rPr>
      <t xml:space="preserve">形態は </t>
    </r>
    <r>
      <rPr>
        <sz val="10"/>
        <rFont val="Arial"/>
        <family val="0"/>
        <charset val="1"/>
      </rPr>
      <t xml:space="preserve">m_product.form</t>
    </r>
  </si>
  <si>
    <t xml:space="preserve">粒子濃度・内容量・販売単位</t>
  </si>
  <si>
    <r>
      <rPr>
        <sz val="10"/>
        <rFont val="WenQuanYi Zen Hei"/>
        <family val="2"/>
      </rPr>
      <t xml:space="preserve">数値</t>
    </r>
    <r>
      <rPr>
        <sz val="10"/>
        <rFont val="Arial"/>
        <family val="0"/>
        <charset val="1"/>
      </rPr>
      <t xml:space="preserve">/</t>
    </r>
    <r>
      <rPr>
        <sz val="10"/>
        <rFont val="WenQuanYi Zen Hei"/>
        <family val="2"/>
      </rPr>
      <t xml:space="preserve">テキスト</t>
    </r>
  </si>
  <si>
    <t xml:space="preserve">m_product.particle_conc</t>
  </si>
  <si>
    <t xml:space="preserve">保管温度区分</t>
  </si>
  <si>
    <t xml:space="preserve">m_product.storage_class</t>
  </si>
  <si>
    <r>
      <rPr>
        <sz val="10"/>
        <rFont val="WenQuanYi Zen Hei"/>
        <family val="2"/>
      </rPr>
      <t xml:space="preserve">入荷・移動先の保管場所を制限（</t>
    </r>
    <r>
      <rPr>
        <sz val="10"/>
        <rFont val="Arial"/>
        <family val="0"/>
        <charset val="1"/>
      </rPr>
      <t xml:space="preserve">BR-06</t>
    </r>
    <r>
      <rPr>
        <sz val="10"/>
        <rFont val="WenQuanYi Zen Hei"/>
        <family val="2"/>
      </rPr>
      <t xml:space="preserve">）</t>
    </r>
  </si>
  <si>
    <t xml:space="preserve">有効期間（日）</t>
  </si>
  <si>
    <t xml:space="preserve">数値</t>
  </si>
  <si>
    <t xml:space="preserve">整数</t>
  </si>
  <si>
    <t xml:space="preserve">m_product.shelf_life_days</t>
  </si>
  <si>
    <t xml:space="preserve">使用期限の初期値計算用</t>
  </si>
  <si>
    <t xml:space="preserve">最低出荷残期間（日）</t>
  </si>
  <si>
    <t xml:space="preserve">m_product.min_remaining_days</t>
  </si>
  <si>
    <t xml:space="preserve">90</t>
  </si>
  <si>
    <t xml:space="preserve">BR-04</t>
  </si>
  <si>
    <t xml:space="preserve">規制区分</t>
  </si>
  <si>
    <t xml:space="preserve">m_product.regulatory_class</t>
  </si>
  <si>
    <r>
      <rPr>
        <sz val="10"/>
        <rFont val="WenQuanYi Zen Hei"/>
        <family val="2"/>
      </rPr>
      <t xml:space="preserve">販売可否ルール（</t>
    </r>
    <r>
      <rPr>
        <sz val="10"/>
        <rFont val="Arial"/>
        <family val="0"/>
        <charset val="1"/>
      </rPr>
      <t xml:space="preserve">BR-09</t>
    </r>
    <r>
      <rPr>
        <sz val="10"/>
        <rFont val="WenQuanYi Zen Hei"/>
        <family val="2"/>
      </rPr>
      <t xml:space="preserve">）の判定キー</t>
    </r>
  </si>
  <si>
    <t xml:space="preserve">標準原価・標準売価・発注点</t>
  </si>
  <si>
    <t xml:space="preserve">m_product.list_price</t>
  </si>
  <si>
    <r>
      <rPr>
        <sz val="10"/>
        <rFont val="WenQuanYi Zen Hei"/>
        <family val="2"/>
      </rPr>
      <t xml:space="preserve">発注点は在庫下限アラート（</t>
    </r>
    <r>
      <rPr>
        <sz val="10"/>
        <rFont val="Arial"/>
        <family val="0"/>
        <charset val="1"/>
      </rPr>
      <t xml:space="preserve">BR-16</t>
    </r>
    <r>
      <rPr>
        <sz val="10"/>
        <rFont val="WenQuanYi Zen Hei"/>
        <family val="2"/>
      </rPr>
      <t xml:space="preserve">）</t>
    </r>
  </si>
  <si>
    <t xml:space="preserve">m_product.is_active</t>
  </si>
  <si>
    <t xml:space="preserve">顧客コード・顧客名</t>
  </si>
  <si>
    <t xml:space="preserve">20/100</t>
  </si>
  <si>
    <t xml:space="preserve">m_customer.customer_code</t>
  </si>
  <si>
    <t xml:space="preserve">コードは一意</t>
  </si>
  <si>
    <t xml:space="preserve">顧客区分</t>
  </si>
  <si>
    <t xml:space="preserve">m_customer.customer_type</t>
  </si>
  <si>
    <t xml:space="preserve">販売可否ルールの判定キー</t>
  </si>
  <si>
    <t xml:space="preserve">医療機関コード</t>
  </si>
  <si>
    <r>
      <rPr>
        <sz val="10"/>
        <rFont val="WenQuanYi Zen Hei"/>
        <family val="2"/>
      </rPr>
      <t xml:space="preserve">医療機関</t>
    </r>
    <r>
      <rPr>
        <sz val="10"/>
        <rFont val="Arial"/>
        <family val="0"/>
        <charset val="1"/>
      </rPr>
      <t xml:space="preserve">Y</t>
    </r>
  </si>
  <si>
    <t xml:space="preserve">m_customer.medical_inst_code</t>
  </si>
  <si>
    <t xml:space="preserve">BR-10</t>
  </si>
  <si>
    <t xml:space="preserve">代表者・担当者・住所・電話・メール</t>
  </si>
  <si>
    <t xml:space="preserve">m_customer.contact_name</t>
  </si>
  <si>
    <t xml:space="preserve">住所は必須</t>
  </si>
  <si>
    <t xml:space="preserve">与信限度額（円）</t>
  </si>
  <si>
    <t xml:space="preserve">12,0</t>
  </si>
  <si>
    <t xml:space="preserve">m_customer.credit_limit</t>
  </si>
  <si>
    <r>
      <rPr>
        <sz val="10"/>
        <rFont val="WenQuanYi Zen Hei"/>
        <family val="2"/>
      </rPr>
      <t xml:space="preserve">未入力は無制限（</t>
    </r>
    <r>
      <rPr>
        <sz val="10"/>
        <rFont val="Arial"/>
        <family val="0"/>
        <charset val="1"/>
      </rPr>
      <t xml:space="preserve">BR-11</t>
    </r>
    <r>
      <rPr>
        <sz val="10"/>
        <rFont val="WenQuanYi Zen Hei"/>
        <family val="2"/>
      </rPr>
      <t xml:space="preserve">）</t>
    </r>
  </si>
  <si>
    <t xml:space="preserve">納品先一覧</t>
  </si>
  <si>
    <t xml:space="preserve">一覧（編集可）</t>
  </si>
  <si>
    <t xml:space="preserve">m_ship_to</t>
  </si>
  <si>
    <t xml:space="preserve">名称・住所・電話・担当者・メール（回収連絡先）・既定・有効</t>
  </si>
  <si>
    <t xml:space="preserve">納品先 担当者・メール</t>
  </si>
  <si>
    <t xml:space="preserve">50/254</t>
  </si>
  <si>
    <t xml:space="preserve">m_ship_to.email</t>
  </si>
  <si>
    <r>
      <rPr>
        <sz val="10"/>
        <rFont val="WenQuanYi Zen Hei"/>
        <family val="2"/>
      </rPr>
      <t xml:space="preserve">回収連絡に使用（担当者は </t>
    </r>
    <r>
      <rPr>
        <sz val="10"/>
        <rFont val="Arial"/>
        <family val="0"/>
        <charset val="1"/>
      </rPr>
      <t xml:space="preserve">m_ship_to.contact_name</t>
    </r>
    <r>
      <rPr>
        <sz val="10"/>
        <rFont val="WenQuanYi Zen Hei"/>
        <family val="2"/>
      </rPr>
      <t xml:space="preserve">）</t>
    </r>
  </si>
  <si>
    <t xml:space="preserve">m_customer.is_active</t>
  </si>
  <si>
    <r>
      <rPr>
        <sz val="10"/>
        <rFont val="WenQuanYi Zen Hei"/>
        <family val="2"/>
      </rPr>
      <t xml:space="preserve">無効顧客は受注・出荷不可（</t>
    </r>
    <r>
      <rPr>
        <sz val="10"/>
        <rFont val="Arial"/>
        <family val="0"/>
        <charset val="1"/>
      </rPr>
      <t xml:space="preserve">P-03/P-05</t>
    </r>
    <r>
      <rPr>
        <sz val="10"/>
        <rFont val="WenQuanYi Zen Hei"/>
        <family val="2"/>
      </rPr>
      <t xml:space="preserve">）</t>
    </r>
  </si>
  <si>
    <t xml:space="preserve">保管場所コード・名称</t>
  </si>
  <si>
    <t xml:space="preserve">20/50</t>
  </si>
  <si>
    <t xml:space="preserve">m_location.location_code</t>
  </si>
  <si>
    <t xml:space="preserve">m_location.storage_class</t>
  </si>
  <si>
    <t xml:space="preserve">許容温度下限・上限（℃）</t>
  </si>
  <si>
    <t xml:space="preserve">5,1</t>
  </si>
  <si>
    <t xml:space="preserve">m_location.temp_min</t>
  </si>
  <si>
    <t xml:space="preserve">区分の許容例</t>
  </si>
  <si>
    <r>
      <rPr>
        <sz val="10"/>
        <rFont val="WenQuanYi Zen Hei"/>
        <family val="2"/>
      </rPr>
      <t xml:space="preserve">下限 </t>
    </r>
    <r>
      <rPr>
        <sz val="10"/>
        <rFont val="Arial"/>
        <family val="0"/>
        <charset val="1"/>
      </rPr>
      <t xml:space="preserve">&lt; </t>
    </r>
    <r>
      <rPr>
        <sz val="10"/>
        <rFont val="WenQuanYi Zen Hei"/>
        <family val="2"/>
      </rPr>
      <t xml:space="preserve">上限。温度逸脱判定（</t>
    </r>
    <r>
      <rPr>
        <sz val="10"/>
        <rFont val="Arial"/>
        <family val="0"/>
        <charset val="1"/>
      </rPr>
      <t xml:space="preserve">BR-07</t>
    </r>
    <r>
      <rPr>
        <sz val="10"/>
        <rFont val="WenQuanYi Zen Hei"/>
        <family val="2"/>
      </rPr>
      <t xml:space="preserve">）</t>
    </r>
  </si>
  <si>
    <t xml:space="preserve">隔離保管フラグ</t>
  </si>
  <si>
    <t xml:space="preserve">m_location.is_quarantine</t>
  </si>
  <si>
    <t xml:space="preserve">OFF</t>
  </si>
  <si>
    <r>
      <rPr>
        <sz val="10"/>
        <rFont val="WenQuanYi Zen Hei"/>
        <family val="2"/>
      </rPr>
      <t xml:space="preserve">返品・分納受入待ち用。引当対象外（</t>
    </r>
    <r>
      <rPr>
        <sz val="10"/>
        <rFont val="Arial"/>
        <family val="0"/>
        <charset val="1"/>
      </rPr>
      <t xml:space="preserve">BR-04/BR-20</t>
    </r>
    <r>
      <rPr>
        <sz val="10"/>
        <rFont val="WenQuanYi Zen Hei"/>
        <family val="2"/>
      </rPr>
      <t xml:space="preserve">）</t>
    </r>
  </si>
  <si>
    <t xml:space="preserve">m_location.is_active</t>
  </si>
  <si>
    <t xml:space="preserve">在庫がある場所は無効化不可</t>
  </si>
  <si>
    <r>
      <rPr>
        <sz val="10"/>
        <rFont val="WenQuanYi Zen Hei"/>
        <family val="2"/>
      </rPr>
      <t xml:space="preserve">メール（ログイン</t>
    </r>
    <r>
      <rPr>
        <sz val="10"/>
        <rFont val="Arial"/>
        <family val="0"/>
        <charset val="1"/>
      </rPr>
      <t xml:space="preserve">ID</t>
    </r>
    <r>
      <rPr>
        <sz val="10"/>
        <rFont val="WenQuanYi Zen Hei"/>
        <family val="2"/>
      </rPr>
      <t xml:space="preserve">）・氏名</t>
    </r>
  </si>
  <si>
    <t xml:space="preserve">254/50</t>
  </si>
  <si>
    <t xml:space="preserve">m_user.email</t>
  </si>
  <si>
    <t xml:space="preserve">メールは一意</t>
  </si>
  <si>
    <t xml:space="preserve">ロール</t>
  </si>
  <si>
    <t xml:space="preserve">m_user.role</t>
  </si>
  <si>
    <t xml:space="preserve">権限マトリクス参照</t>
  </si>
  <si>
    <t xml:space="preserve">m_user.is_active</t>
  </si>
  <si>
    <t xml:space="preserve">停止で即時ログイン不可</t>
  </si>
  <si>
    <r>
      <rPr>
        <sz val="10"/>
        <rFont val="Arial"/>
        <family val="0"/>
        <charset val="1"/>
      </rPr>
      <t xml:space="preserve">2</t>
    </r>
    <r>
      <rPr>
        <sz val="10"/>
        <rFont val="WenQuanYi Zen Hei"/>
        <family val="2"/>
      </rPr>
      <t xml:space="preserve">要素認証リセット／ロック解除ボタン</t>
    </r>
  </si>
  <si>
    <t xml:space="preserve">ボタン</t>
  </si>
  <si>
    <t xml:space="preserve">m_user.failed_login_count</t>
  </si>
  <si>
    <r>
      <rPr>
        <sz val="10"/>
        <rFont val="Arial"/>
        <family val="0"/>
        <charset val="1"/>
      </rPr>
      <t xml:space="preserve">ADMIN</t>
    </r>
    <r>
      <rPr>
        <sz val="10"/>
        <rFont val="WenQuanYi Zen Hei"/>
        <family val="2"/>
      </rPr>
      <t xml:space="preserve">のみ。監査ログ記録</t>
    </r>
  </si>
  <si>
    <t xml:space="preserve">販売可否マトリクス</t>
  </si>
  <si>
    <t xml:space="preserve">マトリクス（チェック）</t>
  </si>
  <si>
    <r>
      <rPr>
        <sz val="10"/>
        <rFont val="WenQuanYi Zen Hei"/>
        <family val="2"/>
      </rPr>
      <t xml:space="preserve">規制区分</t>
    </r>
    <r>
      <rPr>
        <sz val="10"/>
        <rFont val="Arial"/>
        <family val="0"/>
        <charset val="1"/>
      </rPr>
      <t xml:space="preserve">×</t>
    </r>
    <r>
      <rPr>
        <sz val="10"/>
        <rFont val="WenQuanYi Zen Hei"/>
        <family val="2"/>
      </rPr>
      <t xml:space="preserve">顧客区分</t>
    </r>
  </si>
  <si>
    <t xml:space="preserve">m_sales_rule.allowed</t>
  </si>
  <si>
    <t xml:space="preserve">全て不可</t>
  </si>
  <si>
    <r>
      <rPr>
        <sz val="10"/>
        <rFont val="Arial"/>
        <family val="0"/>
        <charset val="1"/>
      </rPr>
      <t xml:space="preserve">ADMIN </t>
    </r>
    <r>
      <rPr>
        <sz val="10"/>
        <rFont val="WenQuanYi Zen Hei"/>
        <family val="2"/>
      </rPr>
      <t xml:space="preserve">が編集し </t>
    </r>
    <r>
      <rPr>
        <sz val="10"/>
        <rFont val="Arial"/>
        <family val="0"/>
        <charset val="1"/>
      </rPr>
      <t xml:space="preserve">QA </t>
    </r>
    <r>
      <rPr>
        <sz val="10"/>
        <rFont val="WenQuanYi Zen Hei"/>
        <family val="2"/>
      </rPr>
      <t xml:space="preserve">が承認して有効化。変更は監査ログ記録</t>
    </r>
  </si>
  <si>
    <t xml:space="preserve">発注番号</t>
  </si>
  <si>
    <t xml:space="preserve">検索選択</t>
  </si>
  <si>
    <t xml:space="preserve">t_receipt.purchase_order_id</t>
  </si>
  <si>
    <r>
      <rPr>
        <sz val="10"/>
        <rFont val="Arial"/>
        <family val="0"/>
        <charset val="1"/>
      </rPr>
      <t xml:space="preserve">APPROVED/PARTIAL </t>
    </r>
    <r>
      <rPr>
        <sz val="10"/>
        <rFont val="WenQuanYi Zen Hei"/>
        <family val="2"/>
      </rPr>
      <t xml:space="preserve">の発注のみ選択可。選択で明細を展開</t>
    </r>
  </si>
  <si>
    <t xml:space="preserve">仕入先</t>
  </si>
  <si>
    <t xml:space="preserve">t_receipt.supplier_id</t>
  </si>
  <si>
    <t xml:space="preserve">発注の仕入先</t>
  </si>
  <si>
    <t xml:space="preserve">発注選択時は変更不可</t>
  </si>
  <si>
    <t xml:space="preserve">入荷日</t>
  </si>
  <si>
    <t xml:space="preserve">YYYY-MM-DD</t>
  </si>
  <si>
    <t xml:space="preserve">t_receipt.receipt_date</t>
  </si>
  <si>
    <t xml:space="preserve">当日</t>
  </si>
  <si>
    <r>
      <rPr>
        <sz val="10"/>
        <rFont val="WenQuanYi Zen Hei"/>
        <family val="2"/>
      </rPr>
      <t xml:space="preserve">未来日不可（</t>
    </r>
    <r>
      <rPr>
        <sz val="10"/>
        <rFont val="Arial"/>
        <family val="0"/>
        <charset val="1"/>
      </rPr>
      <t xml:space="preserve">MSG-E22</t>
    </r>
    <r>
      <rPr>
        <sz val="10"/>
        <rFont val="WenQuanYi Zen Hei"/>
        <family val="2"/>
      </rPr>
      <t xml:space="preserve">）</t>
    </r>
  </si>
  <si>
    <t xml:space="preserve">到着時温度（℃）</t>
  </si>
  <si>
    <t xml:space="preserve">t_receipt_line.arrival_temp</t>
  </si>
  <si>
    <r>
      <rPr>
        <sz val="10"/>
        <rFont val="WenQuanYi Zen Hei"/>
        <family val="2"/>
      </rPr>
      <t xml:space="preserve">明細ごと。保管温度区分の許容範囲外なら警告（</t>
    </r>
    <r>
      <rPr>
        <sz val="10"/>
        <rFont val="Arial"/>
        <family val="0"/>
        <charset val="1"/>
      </rPr>
      <t xml:space="preserve">MSG-W01</t>
    </r>
    <r>
      <rPr>
        <sz val="10"/>
        <rFont val="WenQuanYi Zen Hei"/>
        <family val="2"/>
      </rPr>
      <t xml:space="preserve">）</t>
    </r>
  </si>
  <si>
    <t xml:space="preserve">商品</t>
  </si>
  <si>
    <t xml:space="preserve">t_receipt_line.product_id</t>
  </si>
  <si>
    <t xml:space="preserve">発注明細</t>
  </si>
  <si>
    <t xml:space="preserve">明細行</t>
  </si>
  <si>
    <t xml:space="preserve">仕入先ロット番号</t>
  </si>
  <si>
    <t xml:space="preserve">50</t>
  </si>
  <si>
    <t xml:space="preserve">t_receipt_line.supplier_lot_no</t>
  </si>
  <si>
    <r>
      <rPr>
        <sz val="10"/>
        <rFont val="WenQuanYi Zen Hei"/>
        <family val="2"/>
      </rPr>
      <t xml:space="preserve">既存ロットがあれば「分納」と表示し使用期限を自動表示（</t>
    </r>
    <r>
      <rPr>
        <sz val="10"/>
        <rFont val="Arial"/>
        <family val="0"/>
        <charset val="1"/>
      </rPr>
      <t xml:space="preserve">BR-15</t>
    </r>
    <r>
      <rPr>
        <sz val="10"/>
        <rFont val="WenQuanYi Zen Hei"/>
        <family val="2"/>
      </rPr>
      <t xml:space="preserve">、</t>
    </r>
    <r>
      <rPr>
        <sz val="10"/>
        <rFont val="Arial"/>
        <family val="0"/>
        <charset val="1"/>
      </rPr>
      <t xml:space="preserve">MSG-E05</t>
    </r>
    <r>
      <rPr>
        <sz val="10"/>
        <rFont val="WenQuanYi Zen Hei"/>
        <family val="2"/>
      </rPr>
      <t xml:space="preserve">）</t>
    </r>
  </si>
  <si>
    <t xml:space="preserve">製造日</t>
  </si>
  <si>
    <t xml:space="preserve">t_receipt_line.manufactured_on</t>
  </si>
  <si>
    <r>
      <rPr>
        <sz val="10"/>
        <rFont val="WenQuanYi Zen Hei"/>
        <family val="2"/>
      </rPr>
      <t xml:space="preserve">入荷日以前（</t>
    </r>
    <r>
      <rPr>
        <sz val="10"/>
        <rFont val="Arial"/>
        <family val="0"/>
        <charset val="1"/>
      </rPr>
      <t xml:space="preserve">MSG-E22</t>
    </r>
    <r>
      <rPr>
        <sz val="10"/>
        <rFont val="WenQuanYi Zen Hei"/>
        <family val="2"/>
      </rPr>
      <t xml:space="preserve">）</t>
    </r>
  </si>
  <si>
    <t xml:space="preserve">使用期限</t>
  </si>
  <si>
    <t xml:space="preserve">t_receipt_line.expires_on</t>
  </si>
  <si>
    <t xml:space="preserve">製造日＋有効期間</t>
  </si>
  <si>
    <r>
      <rPr>
        <sz val="10"/>
        <rFont val="WenQuanYi Zen Hei"/>
        <family val="2"/>
      </rPr>
      <t xml:space="preserve">入荷日より後（</t>
    </r>
    <r>
      <rPr>
        <sz val="10"/>
        <rFont val="Arial"/>
        <family val="0"/>
        <charset val="1"/>
      </rPr>
      <t xml:space="preserve">MSG-E06</t>
    </r>
    <r>
      <rPr>
        <sz val="10"/>
        <rFont val="WenQuanYi Zen Hei"/>
        <family val="2"/>
      </rPr>
      <t xml:space="preserve">）</t>
    </r>
  </si>
  <si>
    <t xml:space="preserve">入荷数量</t>
  </si>
  <si>
    <t xml:space="preserve">t_receipt_line.quantity</t>
  </si>
  <si>
    <t xml:space="preserve">発注残数</t>
  </si>
  <si>
    <r>
      <rPr>
        <sz val="10"/>
        <rFont val="Arial"/>
        <family val="0"/>
        <charset val="1"/>
      </rPr>
      <t xml:space="preserve">1</t>
    </r>
    <r>
      <rPr>
        <sz val="10"/>
        <rFont val="WenQuanYi Zen Hei"/>
        <family val="2"/>
      </rPr>
      <t xml:space="preserve">以上。発注残超過は警告（</t>
    </r>
    <r>
      <rPr>
        <sz val="10"/>
        <rFont val="Arial"/>
        <family val="0"/>
        <charset val="1"/>
      </rPr>
      <t xml:space="preserve">MSG-W02</t>
    </r>
    <r>
      <rPr>
        <sz val="10"/>
        <rFont val="WenQuanYi Zen Hei"/>
        <family val="2"/>
      </rPr>
      <t xml:space="preserve">）</t>
    </r>
  </si>
  <si>
    <t xml:space="preserve">仕入単価（円）</t>
  </si>
  <si>
    <t xml:space="preserve">12,2</t>
  </si>
  <si>
    <t xml:space="preserve">t_receipt_line.unit_price</t>
  </si>
  <si>
    <t xml:space="preserve">発注単価</t>
  </si>
  <si>
    <r>
      <rPr>
        <sz val="10"/>
        <rFont val="Arial"/>
        <family val="0"/>
        <charset val="1"/>
      </rPr>
      <t xml:space="preserve">0</t>
    </r>
    <r>
      <rPr>
        <sz val="10"/>
        <rFont val="WenQuanYi Zen Hei"/>
        <family val="2"/>
      </rPr>
      <t xml:space="preserve">以上</t>
    </r>
  </si>
  <si>
    <t xml:space="preserve">入庫保管場所</t>
  </si>
  <si>
    <t xml:space="preserve">t_receipt_line.location_id</t>
  </si>
  <si>
    <r>
      <rPr>
        <sz val="10"/>
        <rFont val="WenQuanYi Zen Hei"/>
        <family val="2"/>
      </rPr>
      <t xml:space="preserve">商品と同一保管温度区分のみ表示（</t>
    </r>
    <r>
      <rPr>
        <sz val="10"/>
        <rFont val="Arial"/>
        <family val="0"/>
        <charset val="1"/>
      </rPr>
      <t xml:space="preserve">BR-06</t>
    </r>
    <r>
      <rPr>
        <sz val="10"/>
        <rFont val="WenQuanYi Zen Hei"/>
        <family val="2"/>
      </rPr>
      <t xml:space="preserve">）</t>
    </r>
  </si>
  <si>
    <t xml:space="preserve">社内ロット番号</t>
  </si>
  <si>
    <t xml:space="preserve">ラベル</t>
  </si>
  <si>
    <t xml:space="preserve">t_lot.lot_no</t>
  </si>
  <si>
    <t xml:space="preserve">確定時に採番して表示</t>
  </si>
  <si>
    <t xml:space="preserve">確定ボタン</t>
  </si>
  <si>
    <r>
      <rPr>
        <sz val="10"/>
        <rFont val="WenQuanYi Zen Hei"/>
        <family val="2"/>
      </rPr>
      <t xml:space="preserve">処理詳細 </t>
    </r>
    <r>
      <rPr>
        <sz val="10"/>
        <rFont val="Arial"/>
        <family val="0"/>
        <charset val="1"/>
      </rPr>
      <t xml:space="preserve">P-01 </t>
    </r>
    <r>
      <rPr>
        <sz val="10"/>
        <rFont val="WenQuanYi Zen Hei"/>
        <family val="2"/>
      </rPr>
      <t xml:space="preserve">を実行</t>
    </r>
  </si>
  <si>
    <t xml:space="preserve">入荷取消ボタン</t>
  </si>
  <si>
    <r>
      <rPr>
        <sz val="10"/>
        <rFont val="Arial"/>
        <family val="0"/>
        <charset val="1"/>
      </rPr>
      <t xml:space="preserve">ADMIN</t>
    </r>
    <r>
      <rPr>
        <sz val="10"/>
        <rFont val="WenQuanYi Zen Hei"/>
        <family val="2"/>
      </rPr>
      <t xml:space="preserve">のみ。</t>
    </r>
    <r>
      <rPr>
        <sz val="10"/>
        <rFont val="Arial"/>
        <family val="0"/>
        <charset val="1"/>
      </rPr>
      <t xml:space="preserve">CONFIRMED </t>
    </r>
    <r>
      <rPr>
        <sz val="10"/>
        <rFont val="WenQuanYi Zen Hei"/>
        <family val="2"/>
      </rPr>
      <t xml:space="preserve">で有効。処理詳細 </t>
    </r>
    <r>
      <rPr>
        <sz val="10"/>
        <rFont val="Arial"/>
        <family val="0"/>
        <charset val="1"/>
      </rPr>
      <t xml:space="preserve">P-12</t>
    </r>
  </si>
  <si>
    <t xml:space="preserve">検品待ちロット一覧</t>
  </si>
  <si>
    <t xml:space="preserve">t_lot (status=QUARANTINE)</t>
  </si>
  <si>
    <r>
      <rPr>
        <sz val="10"/>
        <rFont val="WenQuanYi Zen Hei"/>
        <family val="2"/>
      </rPr>
      <t xml:space="preserve">初回入荷日昇順。温度逸脱履歴ありは警告アイコン（</t>
    </r>
    <r>
      <rPr>
        <sz val="10"/>
        <rFont val="Arial"/>
        <family val="0"/>
        <charset val="1"/>
      </rPr>
      <t xml:space="preserve">MSG-W06</t>
    </r>
    <r>
      <rPr>
        <sz val="10"/>
        <rFont val="WenQuanYi Zen Hei"/>
        <family val="2"/>
      </rPr>
      <t xml:space="preserve">）</t>
    </r>
  </si>
  <si>
    <r>
      <rPr>
        <sz val="10"/>
        <rFont val="Arial"/>
        <family val="0"/>
        <charset val="1"/>
      </rPr>
      <t xml:space="preserve">COA</t>
    </r>
    <r>
      <rPr>
        <sz val="10"/>
        <rFont val="WenQuanYi Zen Hei"/>
        <family val="2"/>
      </rPr>
      <t xml:space="preserve">添付</t>
    </r>
  </si>
  <si>
    <t xml:space="preserve">ファイル</t>
  </si>
  <si>
    <r>
      <rPr>
        <sz val="10"/>
        <rFont val="WenQuanYi Zen Hei"/>
        <family val="2"/>
      </rPr>
      <t xml:space="preserve">合格時</t>
    </r>
    <r>
      <rPr>
        <sz val="10"/>
        <rFont val="Arial"/>
        <family val="0"/>
        <charset val="1"/>
      </rPr>
      <t xml:space="preserve">Y</t>
    </r>
  </si>
  <si>
    <r>
      <rPr>
        <sz val="10"/>
        <rFont val="Arial"/>
        <family val="0"/>
        <charset val="1"/>
      </rPr>
      <t xml:space="preserve">PDF/</t>
    </r>
    <r>
      <rPr>
        <sz val="10"/>
        <rFont val="WenQuanYi Zen Hei"/>
        <family val="2"/>
      </rPr>
      <t xml:space="preserve">画像 </t>
    </r>
    <r>
      <rPr>
        <sz val="10"/>
        <rFont val="Arial"/>
        <family val="0"/>
        <charset val="1"/>
      </rPr>
      <t xml:space="preserve">10MB</t>
    </r>
    <r>
      <rPr>
        <sz val="10"/>
        <rFont val="WenQuanYi Zen Hei"/>
        <family val="2"/>
      </rPr>
      <t xml:space="preserve">以下</t>
    </r>
  </si>
  <si>
    <t xml:space="preserve">t_attachment</t>
  </si>
  <si>
    <t xml:space="preserve">BR-08</t>
  </si>
  <si>
    <r>
      <rPr>
        <sz val="10"/>
        <rFont val="WenQuanYi Zen Hei"/>
        <family val="2"/>
      </rPr>
      <t xml:space="preserve">実測粒子濃度（個</t>
    </r>
    <r>
      <rPr>
        <sz val="10"/>
        <rFont val="Arial"/>
        <family val="0"/>
        <charset val="1"/>
      </rPr>
      <t xml:space="preserve">/mL</t>
    </r>
    <r>
      <rPr>
        <sz val="10"/>
        <rFont val="WenQuanYi Zen Hei"/>
        <family val="2"/>
      </rPr>
      <t xml:space="preserve">）</t>
    </r>
  </si>
  <si>
    <t xml:space="preserve">20,0</t>
  </si>
  <si>
    <t xml:space="preserve">t_lot.measured_particle_conc</t>
  </si>
  <si>
    <r>
      <rPr>
        <sz val="10"/>
        <rFont val="Arial"/>
        <family val="0"/>
        <charset val="1"/>
      </rPr>
      <t xml:space="preserve">COA</t>
    </r>
    <r>
      <rPr>
        <sz val="10"/>
        <rFont val="WenQuanYi Zen Hei"/>
        <family val="2"/>
      </rPr>
      <t xml:space="preserve">記載値</t>
    </r>
  </si>
  <si>
    <t xml:space="preserve">判定</t>
  </si>
  <si>
    <t xml:space="preserve">ラジオ</t>
  </si>
  <si>
    <r>
      <rPr>
        <sz val="10"/>
        <rFont val="WenQuanYi Zen Hei"/>
        <family val="2"/>
      </rPr>
      <t xml:space="preserve">合格</t>
    </r>
    <r>
      <rPr>
        <sz val="10"/>
        <rFont val="Arial"/>
        <family val="0"/>
        <charset val="1"/>
      </rPr>
      <t xml:space="preserve">/</t>
    </r>
    <r>
      <rPr>
        <sz val="10"/>
        <rFont val="WenQuanYi Zen Hei"/>
        <family val="2"/>
      </rPr>
      <t xml:space="preserve">不合格</t>
    </r>
    <r>
      <rPr>
        <sz val="10"/>
        <rFont val="Arial"/>
        <family val="0"/>
        <charset val="1"/>
      </rPr>
      <t xml:space="preserve">/</t>
    </r>
    <r>
      <rPr>
        <sz val="10"/>
        <rFont val="WenQuanYi Zen Hei"/>
        <family val="2"/>
      </rPr>
      <t xml:space="preserve">保留</t>
    </r>
  </si>
  <si>
    <t xml:space="preserve">t_lot.status</t>
  </si>
  <si>
    <t xml:space="preserve">判定理由</t>
  </si>
  <si>
    <t xml:space="preserve">テキストエリア</t>
  </si>
  <si>
    <r>
      <rPr>
        <sz val="10"/>
        <rFont val="WenQuanYi Zen Hei"/>
        <family val="2"/>
      </rPr>
      <t xml:space="preserve">不合格・保留時</t>
    </r>
    <r>
      <rPr>
        <sz val="10"/>
        <rFont val="Arial"/>
        <family val="0"/>
        <charset val="1"/>
      </rPr>
      <t xml:space="preserve">Y</t>
    </r>
  </si>
  <si>
    <t xml:space="preserve">1000</t>
  </si>
  <si>
    <t xml:space="preserve">t_lot.status_reason</t>
  </si>
  <si>
    <t xml:space="preserve">判定ボタン</t>
  </si>
  <si>
    <r>
      <rPr>
        <sz val="10"/>
        <rFont val="WenQuanYi Zen Hei"/>
        <family val="2"/>
      </rPr>
      <t xml:space="preserve">処理詳細 </t>
    </r>
    <r>
      <rPr>
        <sz val="10"/>
        <rFont val="Arial"/>
        <family val="0"/>
        <charset val="1"/>
      </rPr>
      <t xml:space="preserve">P-02 </t>
    </r>
    <r>
      <rPr>
        <sz val="10"/>
        <rFont val="WenQuanYi Zen Hei"/>
        <family val="2"/>
      </rPr>
      <t xml:space="preserve">を実行</t>
    </r>
  </si>
  <si>
    <t xml:space="preserve">分納受入待ち一覧</t>
  </si>
  <si>
    <t xml:space="preserve">t_receipt_line.split_status</t>
  </si>
  <si>
    <r>
      <rPr>
        <sz val="10"/>
        <rFont val="Arial"/>
        <family val="0"/>
        <charset val="1"/>
      </rPr>
      <t xml:space="preserve">split_status=PENDING </t>
    </r>
    <r>
      <rPr>
        <sz val="10"/>
        <rFont val="WenQuanYi Zen Hei"/>
        <family val="2"/>
      </rPr>
      <t xml:space="preserve">の入荷明細（</t>
    </r>
    <r>
      <rPr>
        <sz val="10"/>
        <rFont val="Arial"/>
        <family val="0"/>
        <charset val="1"/>
      </rPr>
      <t xml:space="preserve">BR-19</t>
    </r>
    <r>
      <rPr>
        <sz val="10"/>
        <rFont val="WenQuanYi Zen Hei"/>
        <family val="2"/>
      </rPr>
      <t xml:space="preserve">）。入荷番号・ロット・数量・到着時温度を表示</t>
    </r>
  </si>
  <si>
    <t xml:space="preserve">分納判定</t>
  </si>
  <si>
    <r>
      <rPr>
        <sz val="10"/>
        <rFont val="WenQuanYi Zen Hei"/>
        <family val="2"/>
      </rPr>
      <t xml:space="preserve">合格</t>
    </r>
    <r>
      <rPr>
        <sz val="10"/>
        <rFont val="Arial"/>
        <family val="0"/>
        <charset val="1"/>
      </rPr>
      <t xml:space="preserve">/</t>
    </r>
    <r>
      <rPr>
        <sz val="10"/>
        <rFont val="WenQuanYi Zen Hei"/>
        <family val="2"/>
      </rPr>
      <t xml:space="preserve">廃棄</t>
    </r>
    <r>
      <rPr>
        <sz val="10"/>
        <rFont val="Arial"/>
        <family val="0"/>
        <charset val="1"/>
      </rPr>
      <t xml:space="preserve">/</t>
    </r>
    <r>
      <rPr>
        <sz val="10"/>
        <rFont val="WenQuanYi Zen Hei"/>
        <family val="2"/>
      </rPr>
      <t xml:space="preserve">仕入先返品</t>
    </r>
  </si>
  <si>
    <t xml:space="preserve">t_stock_movement.movement_type</t>
  </si>
  <si>
    <r>
      <rPr>
        <sz val="10"/>
        <rFont val="WenQuanYi Zen Hei"/>
        <family val="2"/>
      </rPr>
      <t xml:space="preserve">合格は移動先保管場所を選択。処理詳細 </t>
    </r>
    <r>
      <rPr>
        <sz val="10"/>
        <rFont val="Arial"/>
        <family val="0"/>
        <charset val="1"/>
      </rPr>
      <t xml:space="preserve">P-16</t>
    </r>
  </si>
  <si>
    <t xml:space="preserve">t_lot.product_id</t>
  </si>
  <si>
    <t xml:space="preserve">検索条件</t>
  </si>
  <si>
    <t xml:space="preserve">ロット番号</t>
  </si>
  <si>
    <t xml:space="preserve">30</t>
  </si>
  <si>
    <t xml:space="preserve">社内・仕入先ロット番号の部分一致</t>
  </si>
  <si>
    <t xml:space="preserve">ステータス</t>
  </si>
  <si>
    <t xml:space="preserve">複数選択</t>
  </si>
  <si>
    <r>
      <rPr>
        <sz val="10"/>
        <rFont val="Arial"/>
        <family val="0"/>
        <charset val="1"/>
      </rPr>
      <t xml:space="preserve">VOID</t>
    </r>
    <r>
      <rPr>
        <sz val="10"/>
        <rFont val="WenQuanYi Zen Hei"/>
        <family val="2"/>
      </rPr>
      <t xml:space="preserve">以外</t>
    </r>
  </si>
  <si>
    <t xml:space="preserve">使用期限（範囲）</t>
  </si>
  <si>
    <t xml:space="preserve">日付範囲</t>
  </si>
  <si>
    <t xml:space="preserve">t_lot.expires_on</t>
  </si>
  <si>
    <t xml:space="preserve">検索結果</t>
  </si>
  <si>
    <t xml:space="preserve">t_lot, m_product, t_inventory</t>
  </si>
  <si>
    <r>
      <rPr>
        <sz val="10"/>
        <rFont val="WenQuanYi Zen Hei"/>
        <family val="2"/>
      </rPr>
      <t xml:space="preserve">ロット番号・商品・使用期限・残日数・ステータス・現在庫合計。行クリックで </t>
    </r>
    <r>
      <rPr>
        <sz val="10"/>
        <rFont val="Arial"/>
        <family val="0"/>
        <charset val="1"/>
      </rPr>
      <t xml:space="preserve">SCR-32</t>
    </r>
  </si>
  <si>
    <r>
      <rPr>
        <sz val="10"/>
        <rFont val="Arial"/>
        <family val="0"/>
        <charset val="1"/>
      </rPr>
      <t xml:space="preserve">CSV</t>
    </r>
    <r>
      <rPr>
        <sz val="10"/>
        <rFont val="WenQuanYi Zen Hei"/>
        <family val="2"/>
      </rPr>
      <t xml:space="preserve">出力ボタン</t>
    </r>
  </si>
  <si>
    <r>
      <rPr>
        <sz val="10"/>
        <rFont val="WenQuanYi Zen Hei"/>
        <family val="2"/>
      </rPr>
      <t xml:space="preserve">監査ログ </t>
    </r>
    <r>
      <rPr>
        <sz val="10"/>
        <rFont val="Arial"/>
        <family val="0"/>
        <charset val="1"/>
      </rPr>
      <t xml:space="preserve">EXPORT </t>
    </r>
    <r>
      <rPr>
        <sz val="10"/>
        <rFont val="WenQuanYi Zen Hei"/>
        <family val="2"/>
      </rPr>
      <t xml:space="preserve">記録</t>
    </r>
  </si>
  <si>
    <t xml:space="preserve">ロット基本情報</t>
  </si>
  <si>
    <t xml:space="preserve">表示</t>
  </si>
  <si>
    <t xml:space="preserve">t_lot, m_product, m_supplier</t>
  </si>
  <si>
    <r>
      <rPr>
        <sz val="10"/>
        <rFont val="WenQuanYi Zen Hei"/>
        <family val="2"/>
      </rPr>
      <t xml:space="preserve">社内</t>
    </r>
    <r>
      <rPr>
        <sz val="10"/>
        <rFont val="Arial"/>
        <family val="0"/>
        <charset val="1"/>
      </rPr>
      <t xml:space="preserve">/</t>
    </r>
    <r>
      <rPr>
        <sz val="10"/>
        <rFont val="WenQuanYi Zen Hei"/>
        <family val="2"/>
      </rPr>
      <t xml:space="preserve">仕入先ロット番号・商品・製造日・使用期限・残日数・初回入荷日・原価・実測粒子濃度</t>
    </r>
  </si>
  <si>
    <r>
      <rPr>
        <sz val="10"/>
        <rFont val="WenQuanYi Zen Hei"/>
        <family val="2"/>
      </rPr>
      <t xml:space="preserve">色分け表示（</t>
    </r>
    <r>
      <rPr>
        <sz val="10"/>
        <rFont val="Arial"/>
        <family val="0"/>
        <charset val="1"/>
      </rPr>
      <t xml:space="preserve">RELEASED=</t>
    </r>
    <r>
      <rPr>
        <sz val="10"/>
        <rFont val="WenQuanYi Zen Hei"/>
        <family val="2"/>
      </rPr>
      <t xml:space="preserve">緑、</t>
    </r>
    <r>
      <rPr>
        <sz val="10"/>
        <rFont val="Arial"/>
        <family val="0"/>
        <charset val="1"/>
      </rPr>
      <t xml:space="preserve">HOLD=</t>
    </r>
    <r>
      <rPr>
        <sz val="10"/>
        <rFont val="WenQuanYi Zen Hei"/>
        <family val="2"/>
      </rPr>
      <t xml:space="preserve">黄、</t>
    </r>
    <r>
      <rPr>
        <sz val="10"/>
        <rFont val="Arial"/>
        <family val="0"/>
        <charset val="1"/>
      </rPr>
      <t xml:space="preserve">RECALLED/REJECTED=</t>
    </r>
    <r>
      <rPr>
        <sz val="10"/>
        <rFont val="WenQuanYi Zen Hei"/>
        <family val="2"/>
      </rPr>
      <t xml:space="preserve">赤）</t>
    </r>
  </si>
  <si>
    <t xml:space="preserve">在庫（保管場所別）</t>
  </si>
  <si>
    <t xml:space="preserve">t_inventory, m_location</t>
  </si>
  <si>
    <t xml:space="preserve">現在庫・引当済・引当可能</t>
  </si>
  <si>
    <t xml:space="preserve">入出荷履歴</t>
  </si>
  <si>
    <t xml:space="preserve">t_stock_movement</t>
  </si>
  <si>
    <t xml:space="preserve">発生日時・区分・保管場所・数量・参照伝票（リンク）</t>
  </si>
  <si>
    <t xml:space="preserve">添付書類</t>
  </si>
  <si>
    <r>
      <rPr>
        <sz val="10"/>
        <rFont val="Arial"/>
        <family val="0"/>
        <charset val="1"/>
      </rPr>
      <t xml:space="preserve">COA</t>
    </r>
    <r>
      <rPr>
        <sz val="10"/>
        <rFont val="WenQuanYi Zen Hei"/>
        <family val="2"/>
      </rPr>
      <t xml:space="preserve">等の表示・追加</t>
    </r>
  </si>
  <si>
    <t xml:space="preserve">ステータス履歴</t>
  </si>
  <si>
    <t xml:space="preserve">t_lot_status_history</t>
  </si>
  <si>
    <r>
      <rPr>
        <sz val="10"/>
        <rFont val="WenQuanYi Zen Hei"/>
        <family val="2"/>
      </rPr>
      <t xml:space="preserve">日時・変更前→後・理由・関連温度記録</t>
    </r>
    <r>
      <rPr>
        <sz val="10"/>
        <rFont val="Arial"/>
        <family val="0"/>
        <charset val="1"/>
      </rPr>
      <t xml:space="preserve">/</t>
    </r>
    <r>
      <rPr>
        <sz val="10"/>
        <rFont val="WenQuanYi Zen Hei"/>
        <family val="2"/>
      </rPr>
      <t xml:space="preserve">回収案件・実行者</t>
    </r>
  </si>
  <si>
    <t xml:space="preserve">変更後ステータス</t>
  </si>
  <si>
    <t xml:space="preserve">HOLD/RELEASED/QUARANTINE/REJECTED</t>
  </si>
  <si>
    <r>
      <rPr>
        <sz val="10"/>
        <rFont val="Arial"/>
        <family val="0"/>
        <charset val="1"/>
      </rPr>
      <t xml:space="preserve">QA</t>
    </r>
    <r>
      <rPr>
        <sz val="10"/>
        <rFont val="WenQuanYi Zen Hei"/>
        <family val="2"/>
      </rPr>
      <t xml:space="preserve">のみ。現状態から遷移可能なもののみ表示（状態遷移 参照、</t>
    </r>
    <r>
      <rPr>
        <sz val="10"/>
        <rFont val="Arial"/>
        <family val="0"/>
        <charset val="1"/>
      </rPr>
      <t xml:space="preserve">MSG-E29</t>
    </r>
    <r>
      <rPr>
        <sz val="10"/>
        <rFont val="WenQuanYi Zen Hei"/>
        <family val="2"/>
      </rPr>
      <t xml:space="preserve">）。解除先は </t>
    </r>
    <r>
      <rPr>
        <sz val="10"/>
        <rFont val="Arial"/>
        <family val="0"/>
        <charset val="1"/>
      </rPr>
      <t xml:space="preserve">BR-17 </t>
    </r>
    <r>
      <rPr>
        <sz val="10"/>
        <rFont val="WenQuanYi Zen Hei"/>
        <family val="2"/>
      </rPr>
      <t xml:space="preserve">により検品済</t>
    </r>
    <r>
      <rPr>
        <sz val="10"/>
        <rFont val="Arial"/>
        <family val="0"/>
        <charset val="1"/>
      </rPr>
      <t xml:space="preserve">=RELEASED</t>
    </r>
    <r>
      <rPr>
        <sz val="10"/>
        <rFont val="WenQuanYi Zen Hei"/>
        <family val="2"/>
      </rPr>
      <t xml:space="preserve">／未検品</t>
    </r>
    <r>
      <rPr>
        <sz val="10"/>
        <rFont val="Arial"/>
        <family val="0"/>
        <charset val="1"/>
      </rPr>
      <t xml:space="preserve">=QUARANTINE</t>
    </r>
  </si>
  <si>
    <t xml:space="preserve">変更理由</t>
  </si>
  <si>
    <t xml:space="preserve">t_lot_status_history.reason</t>
  </si>
  <si>
    <t xml:space="preserve">MSG-E09</t>
  </si>
  <si>
    <t xml:space="preserve">ステータス変更ボタン</t>
  </si>
  <si>
    <r>
      <rPr>
        <sz val="10"/>
        <rFont val="WenQuanYi Zen Hei"/>
        <family val="2"/>
      </rPr>
      <t xml:space="preserve">処理詳細 </t>
    </r>
    <r>
      <rPr>
        <sz val="10"/>
        <rFont val="Arial"/>
        <family val="0"/>
        <charset val="1"/>
      </rPr>
      <t xml:space="preserve">P-15</t>
    </r>
  </si>
  <si>
    <t xml:space="preserve">トレースボタン</t>
  </si>
  <si>
    <r>
      <rPr>
        <sz val="10"/>
        <rFont val="Arial"/>
        <family val="0"/>
        <charset val="1"/>
      </rPr>
      <t xml:space="preserve">SCR-51 </t>
    </r>
    <r>
      <rPr>
        <sz val="10"/>
        <rFont val="WenQuanYi Zen Hei"/>
        <family val="2"/>
      </rPr>
      <t xml:space="preserve">へロット番号を引継ぎ遷移</t>
    </r>
  </si>
  <si>
    <t xml:space="preserve">保管場所</t>
  </si>
  <si>
    <t xml:space="preserve">t_inventory.location_id</t>
  </si>
  <si>
    <t xml:space="preserve">引当可能のみ</t>
  </si>
  <si>
    <t xml:space="preserve">（条件）</t>
  </si>
  <si>
    <r>
      <rPr>
        <sz val="10"/>
        <rFont val="Arial"/>
        <family val="0"/>
        <charset val="1"/>
      </rPr>
      <t xml:space="preserve">BR-04 </t>
    </r>
    <r>
      <rPr>
        <sz val="10"/>
        <rFont val="WenQuanYi Zen Hei"/>
        <family val="2"/>
      </rPr>
      <t xml:space="preserve">を満たす在庫に限定</t>
    </r>
  </si>
  <si>
    <t xml:space="preserve">在庫一覧</t>
  </si>
  <si>
    <t xml:space="preserve">t_inventory, t_lot, m_product, m_location</t>
  </si>
  <si>
    <t xml:space="preserve">商品・ロット・保管場所・使用期限・ステータス・現在庫・引当済・引当可能。商品別小計</t>
  </si>
  <si>
    <t xml:space="preserve">処理区分</t>
  </si>
  <si>
    <r>
      <rPr>
        <sz val="10"/>
        <rFont val="WenQuanYi Zen Hei"/>
        <family val="2"/>
      </rPr>
      <t xml:space="preserve">移動</t>
    </r>
    <r>
      <rPr>
        <sz val="10"/>
        <rFont val="Arial"/>
        <family val="0"/>
        <charset val="1"/>
      </rPr>
      <t xml:space="preserve">/</t>
    </r>
    <r>
      <rPr>
        <sz val="10"/>
        <rFont val="WenQuanYi Zen Hei"/>
        <family val="2"/>
      </rPr>
      <t xml:space="preserve">棚卸調整</t>
    </r>
    <r>
      <rPr>
        <sz val="10"/>
        <rFont val="Arial"/>
        <family val="0"/>
        <charset val="1"/>
      </rPr>
      <t xml:space="preserve">/</t>
    </r>
    <r>
      <rPr>
        <sz val="10"/>
        <rFont val="WenQuanYi Zen Hei"/>
        <family val="2"/>
      </rPr>
      <t xml:space="preserve">廃棄</t>
    </r>
    <r>
      <rPr>
        <sz val="10"/>
        <rFont val="Arial"/>
        <family val="0"/>
        <charset val="1"/>
      </rPr>
      <t xml:space="preserve">/</t>
    </r>
    <r>
      <rPr>
        <sz val="10"/>
        <rFont val="WenQuanYi Zen Hei"/>
        <family val="2"/>
      </rPr>
      <t xml:space="preserve">仕入先返品</t>
    </r>
  </si>
  <si>
    <t xml:space="preserve">移動</t>
  </si>
  <si>
    <r>
      <rPr>
        <sz val="10"/>
        <rFont val="Arial"/>
        <family val="0"/>
        <charset val="1"/>
      </rPr>
      <t xml:space="preserve">TRANSFER/ADJUST/DISPOSE/SUPPLIER_RETURN</t>
    </r>
    <r>
      <rPr>
        <sz val="10"/>
        <rFont val="WenQuanYi Zen Hei"/>
        <family val="2"/>
      </rPr>
      <t xml:space="preserve">。仕入先返品は </t>
    </r>
    <r>
      <rPr>
        <sz val="10"/>
        <rFont val="Arial"/>
        <family val="0"/>
        <charset val="1"/>
      </rPr>
      <t xml:space="preserve">P-17</t>
    </r>
    <r>
      <rPr>
        <sz val="10"/>
        <rFont val="WenQuanYi Zen Hei"/>
        <family val="2"/>
      </rPr>
      <t xml:space="preserve">、その他は </t>
    </r>
    <r>
      <rPr>
        <sz val="10"/>
        <rFont val="Arial"/>
        <family val="0"/>
        <charset val="1"/>
      </rPr>
      <t xml:space="preserve">P-10</t>
    </r>
  </si>
  <si>
    <t xml:space="preserve">t_stock_movement.lot_id</t>
  </si>
  <si>
    <t xml:space="preserve">在庫のあるロットのみ</t>
  </si>
  <si>
    <t xml:space="preserve">保管場所（元）</t>
  </si>
  <si>
    <t xml:space="preserve">t_stock_movement.location_id</t>
  </si>
  <si>
    <r>
      <rPr>
        <sz val="10"/>
        <rFont val="WenQuanYi Zen Hei"/>
        <family val="2"/>
      </rPr>
      <t xml:space="preserve">選択ロットの在庫がある場所。現在庫・引当済を表示。隔離保管場所は仕入先返品のみ選択可（</t>
    </r>
    <r>
      <rPr>
        <sz val="10"/>
        <rFont val="Arial"/>
        <family val="0"/>
        <charset val="1"/>
      </rPr>
      <t xml:space="preserve">BR-20</t>
    </r>
    <r>
      <rPr>
        <sz val="10"/>
        <rFont val="WenQuanYi Zen Hei"/>
        <family val="2"/>
      </rPr>
      <t xml:space="preserve">、</t>
    </r>
    <r>
      <rPr>
        <sz val="10"/>
        <rFont val="Arial"/>
        <family val="0"/>
        <charset val="1"/>
      </rPr>
      <t xml:space="preserve">MSG-E28</t>
    </r>
    <r>
      <rPr>
        <sz val="10"/>
        <rFont val="WenQuanYi Zen Hei"/>
        <family val="2"/>
      </rPr>
      <t xml:space="preserve">）</t>
    </r>
  </si>
  <si>
    <t xml:space="preserve">移動先保管場所</t>
  </si>
  <si>
    <r>
      <rPr>
        <sz val="10"/>
        <rFont val="WenQuanYi Zen Hei"/>
        <family val="2"/>
      </rPr>
      <t xml:space="preserve">移動時</t>
    </r>
    <r>
      <rPr>
        <sz val="10"/>
        <rFont val="Arial"/>
        <family val="0"/>
        <charset val="1"/>
      </rPr>
      <t xml:space="preserve">Y</t>
    </r>
  </si>
  <si>
    <r>
      <rPr>
        <sz val="10"/>
        <rFont val="WenQuanYi Zen Hei"/>
        <family val="2"/>
      </rPr>
      <t xml:space="preserve">同一温度区分のみ（</t>
    </r>
    <r>
      <rPr>
        <sz val="10"/>
        <rFont val="Arial"/>
        <family val="0"/>
        <charset val="1"/>
      </rPr>
      <t xml:space="preserve">BR-06</t>
    </r>
    <r>
      <rPr>
        <sz val="10"/>
        <rFont val="WenQuanYi Zen Hei"/>
        <family val="2"/>
      </rPr>
      <t xml:space="preserve">、</t>
    </r>
    <r>
      <rPr>
        <sz val="10"/>
        <rFont val="Arial"/>
        <family val="0"/>
        <charset val="1"/>
      </rPr>
      <t xml:space="preserve">MSG-E07</t>
    </r>
    <r>
      <rPr>
        <sz val="10"/>
        <rFont val="WenQuanYi Zen Hei"/>
        <family val="2"/>
      </rPr>
      <t xml:space="preserve">）</t>
    </r>
  </si>
  <si>
    <t xml:space="preserve">数量（移動・廃棄）／実棚数（調整）</t>
  </si>
  <si>
    <t xml:space="preserve">t_stock_movement.quantity</t>
  </si>
  <si>
    <r>
      <rPr>
        <sz val="10"/>
        <rFont val="WenQuanYi Zen Hei"/>
        <family val="2"/>
      </rPr>
      <t xml:space="preserve">調整は実棚数−現在庫を差異として記録。結果が引当済未満なら</t>
    </r>
    <r>
      <rPr>
        <sz val="10"/>
        <rFont val="Arial"/>
        <family val="0"/>
        <charset val="1"/>
      </rPr>
      <t xml:space="preserve">MSG-E18</t>
    </r>
  </si>
  <si>
    <t xml:space="preserve">理由</t>
  </si>
  <si>
    <r>
      <rPr>
        <sz val="10"/>
        <rFont val="WenQuanYi Zen Hei"/>
        <family val="2"/>
      </rPr>
      <t xml:space="preserve">調整・廃棄時</t>
    </r>
    <r>
      <rPr>
        <sz val="10"/>
        <rFont val="Arial"/>
        <family val="0"/>
        <charset val="1"/>
      </rPr>
      <t xml:space="preserve">Y</t>
    </r>
  </si>
  <si>
    <t xml:space="preserve">t_stock_movement.reason</t>
  </si>
  <si>
    <t xml:space="preserve">例：棚卸差異、破損、期限切れ</t>
  </si>
  <si>
    <r>
      <rPr>
        <sz val="10"/>
        <rFont val="WenQuanYi Zen Hei"/>
        <family val="2"/>
      </rPr>
      <t xml:space="preserve">処理詳細 </t>
    </r>
    <r>
      <rPr>
        <sz val="10"/>
        <rFont val="Arial"/>
        <family val="0"/>
        <charset val="1"/>
      </rPr>
      <t xml:space="preserve">P-10</t>
    </r>
  </si>
  <si>
    <t xml:space="preserve">返品元入荷明細（仕入先返品時）</t>
  </si>
  <si>
    <r>
      <rPr>
        <sz val="10"/>
        <rFont val="WenQuanYi Zen Hei"/>
        <family val="2"/>
      </rPr>
      <t xml:space="preserve">仕入先返品時</t>
    </r>
    <r>
      <rPr>
        <sz val="10"/>
        <rFont val="Arial"/>
        <family val="0"/>
        <charset val="1"/>
      </rPr>
      <t xml:space="preserve">Y</t>
    </r>
  </si>
  <si>
    <t xml:space="preserve">t_stock_movement.ref_id</t>
  </si>
  <si>
    <r>
      <rPr>
        <sz val="10"/>
        <rFont val="WenQuanYi Zen Hei"/>
        <family val="2"/>
      </rPr>
      <t xml:space="preserve">入荷番号・入荷数量・返品可能数を表示。移行ロットは『移行』を選択（</t>
    </r>
    <r>
      <rPr>
        <sz val="10"/>
        <rFont val="Arial"/>
        <family val="0"/>
        <charset val="1"/>
      </rPr>
      <t xml:space="preserve">P-17</t>
    </r>
    <r>
      <rPr>
        <sz val="10"/>
        <rFont val="WenQuanYi Zen Hei"/>
        <family val="2"/>
      </rPr>
      <t xml:space="preserve">、</t>
    </r>
    <r>
      <rPr>
        <sz val="10"/>
        <rFont val="Arial"/>
        <family val="0"/>
        <charset val="1"/>
      </rPr>
      <t xml:space="preserve">MSG-E30</t>
    </r>
    <r>
      <rPr>
        <sz val="10"/>
        <rFont val="WenQuanYi Zen Hei"/>
        <family val="2"/>
      </rPr>
      <t xml:space="preserve">）</t>
    </r>
  </si>
  <si>
    <t xml:space="preserve">受注番号</t>
  </si>
  <si>
    <t xml:space="preserve">t_sales_order.so_no</t>
  </si>
  <si>
    <t xml:space="preserve">保存時採番</t>
  </si>
  <si>
    <t xml:space="preserve">顧客</t>
  </si>
  <si>
    <t xml:space="preserve">t_sales_order.customer_id</t>
  </si>
  <si>
    <t xml:space="preserve">有効顧客のみ</t>
  </si>
  <si>
    <t xml:space="preserve">納品先</t>
  </si>
  <si>
    <t xml:space="preserve">t_sales_order.ship_to_id</t>
  </si>
  <si>
    <t xml:space="preserve">既定納品先</t>
  </si>
  <si>
    <t xml:space="preserve">選択顧客の納品先のみ</t>
  </si>
  <si>
    <t xml:space="preserve">受注日</t>
  </si>
  <si>
    <t xml:space="preserve">t_sales_order.order_date</t>
  </si>
  <si>
    <t xml:space="preserve">希望納期</t>
  </si>
  <si>
    <t xml:space="preserve">t_sales_order.requested_date</t>
  </si>
  <si>
    <t xml:space="preserve">受注日以降</t>
  </si>
  <si>
    <t xml:space="preserve">t_sales_order.sales_user_id</t>
  </si>
  <si>
    <t xml:space="preserve">ログインユーザー</t>
  </si>
  <si>
    <t xml:space="preserve">t_sales_order_line.product_id</t>
  </si>
  <si>
    <r>
      <rPr>
        <sz val="10"/>
        <rFont val="Arial"/>
        <family val="0"/>
        <charset val="1"/>
      </rPr>
      <t xml:space="preserve">BR-09 </t>
    </r>
    <r>
      <rPr>
        <sz val="10"/>
        <rFont val="WenQuanYi Zen Hei"/>
        <family val="2"/>
      </rPr>
      <t xml:space="preserve">販売可否チェック（</t>
    </r>
    <r>
      <rPr>
        <sz val="10"/>
        <rFont val="Arial"/>
        <family val="0"/>
        <charset val="1"/>
      </rPr>
      <t xml:space="preserve">MSG-E10</t>
    </r>
    <r>
      <rPr>
        <sz val="10"/>
        <rFont val="WenQuanYi Zen Hei"/>
        <family val="2"/>
      </rPr>
      <t xml:space="preserve">）</t>
    </r>
  </si>
  <si>
    <t xml:space="preserve">引当可能数</t>
  </si>
  <si>
    <t xml:space="preserve">（集計）</t>
  </si>
  <si>
    <r>
      <rPr>
        <sz val="10"/>
        <rFont val="Arial"/>
        <family val="0"/>
        <charset val="1"/>
      </rPr>
      <t xml:space="preserve">BR-04 </t>
    </r>
    <r>
      <rPr>
        <sz val="10"/>
        <rFont val="WenQuanYi Zen Hei"/>
        <family val="2"/>
      </rPr>
      <t xml:space="preserve">条件を満たすロットの </t>
    </r>
    <r>
      <rPr>
        <sz val="10"/>
        <rFont val="Arial"/>
        <family val="0"/>
        <charset val="1"/>
      </rPr>
      <t xml:space="preserve">(</t>
    </r>
    <r>
      <rPr>
        <sz val="10"/>
        <rFont val="WenQuanYi Zen Hei"/>
        <family val="2"/>
      </rPr>
      <t xml:space="preserve">現在庫−引当済</t>
    </r>
    <r>
      <rPr>
        <sz val="10"/>
        <rFont val="Arial"/>
        <family val="0"/>
        <charset val="1"/>
      </rPr>
      <t xml:space="preserve">) </t>
    </r>
    <r>
      <rPr>
        <sz val="10"/>
        <rFont val="WenQuanYi Zen Hei"/>
        <family val="2"/>
      </rPr>
      <t xml:space="preserve">合計</t>
    </r>
  </si>
  <si>
    <t xml:space="preserve">受注数量</t>
  </si>
  <si>
    <t xml:space="preserve">t_sales_order_line.quantity</t>
  </si>
  <si>
    <r>
      <rPr>
        <sz val="10"/>
        <rFont val="Arial"/>
        <family val="0"/>
        <charset val="1"/>
      </rPr>
      <t xml:space="preserve">1</t>
    </r>
    <r>
      <rPr>
        <sz val="10"/>
        <rFont val="WenQuanYi Zen Hei"/>
        <family val="2"/>
      </rPr>
      <t xml:space="preserve">以上</t>
    </r>
  </si>
  <si>
    <t xml:space="preserve">販売単価（円）</t>
  </si>
  <si>
    <t xml:space="preserve">t_sales_order_line.unit_price</t>
  </si>
  <si>
    <r>
      <rPr>
        <sz val="10"/>
        <rFont val="WenQuanYi Zen Hei"/>
        <family val="2"/>
      </rPr>
      <t xml:space="preserve">商品</t>
    </r>
    <r>
      <rPr>
        <sz val="10"/>
        <rFont val="Arial"/>
        <family val="0"/>
        <charset val="1"/>
      </rPr>
      <t xml:space="preserve">.</t>
    </r>
    <r>
      <rPr>
        <sz val="10"/>
        <rFont val="WenQuanYi Zen Hei"/>
        <family val="2"/>
      </rPr>
      <t xml:space="preserve">標準売価</t>
    </r>
  </si>
  <si>
    <t xml:space="preserve">合計金額（税抜）</t>
  </si>
  <si>
    <t xml:space="preserve">（計算）</t>
  </si>
  <si>
    <r>
      <rPr>
        <sz val="10"/>
        <rFont val="Arial"/>
        <family val="0"/>
        <charset val="1"/>
      </rPr>
      <t xml:space="preserve">Σ</t>
    </r>
    <r>
      <rPr>
        <sz val="10"/>
        <rFont val="WenQuanYi Zen Hei"/>
        <family val="2"/>
      </rPr>
      <t xml:space="preserve">数量</t>
    </r>
    <r>
      <rPr>
        <sz val="10"/>
        <rFont val="Arial"/>
        <family val="0"/>
        <charset val="1"/>
      </rPr>
      <t xml:space="preserve">×</t>
    </r>
    <r>
      <rPr>
        <sz val="10"/>
        <rFont val="WenQuanYi Zen Hei"/>
        <family val="2"/>
      </rPr>
      <t xml:space="preserve">単価。与信チェック </t>
    </r>
    <r>
      <rPr>
        <sz val="10"/>
        <rFont val="Arial"/>
        <family val="0"/>
        <charset val="1"/>
      </rPr>
      <t xml:space="preserve">BR-11</t>
    </r>
    <r>
      <rPr>
        <sz val="10"/>
        <rFont val="WenQuanYi Zen Hei"/>
        <family val="2"/>
      </rPr>
      <t xml:space="preserve">（</t>
    </r>
    <r>
      <rPr>
        <sz val="10"/>
        <rFont val="Arial"/>
        <family val="0"/>
        <charset val="1"/>
      </rPr>
      <t xml:space="preserve">MSG-W03</t>
    </r>
    <r>
      <rPr>
        <sz val="10"/>
        <rFont val="WenQuanYi Zen Hei"/>
        <family val="2"/>
      </rPr>
      <t xml:space="preserve">）</t>
    </r>
  </si>
  <si>
    <t xml:space="preserve">保存ボタン</t>
  </si>
  <si>
    <r>
      <rPr>
        <sz val="10"/>
        <rFont val="WenQuanYi Zen Hei"/>
        <family val="2"/>
      </rPr>
      <t xml:space="preserve">処理詳細 </t>
    </r>
    <r>
      <rPr>
        <sz val="10"/>
        <rFont val="Arial"/>
        <family val="0"/>
        <charset val="1"/>
      </rPr>
      <t xml:space="preserve">P-03 </t>
    </r>
    <r>
      <rPr>
        <sz val="10"/>
        <rFont val="WenQuanYi Zen Hei"/>
        <family val="2"/>
      </rPr>
      <t xml:space="preserve">を実行</t>
    </r>
  </si>
  <si>
    <t xml:space="preserve">t_sales_order.status</t>
  </si>
  <si>
    <r>
      <rPr>
        <sz val="10"/>
        <rFont val="Arial"/>
        <family val="0"/>
        <charset val="1"/>
      </rPr>
      <t xml:space="preserve">CREDIT_PENDING </t>
    </r>
    <r>
      <rPr>
        <sz val="10"/>
        <rFont val="WenQuanYi Zen Hei"/>
        <family val="2"/>
      </rPr>
      <t xml:space="preserve">は『与信承認待ち』と強調表示</t>
    </r>
  </si>
  <si>
    <t xml:space="preserve">与信承認者・承認日時</t>
  </si>
  <si>
    <t xml:space="preserve">t_sales_order.credit_approved_by</t>
  </si>
  <si>
    <t xml:space="preserve">承認済の場合に表示</t>
  </si>
  <si>
    <t xml:space="preserve">与信承認ボタン</t>
  </si>
  <si>
    <r>
      <rPr>
        <sz val="10"/>
        <rFont val="Arial"/>
        <family val="0"/>
        <charset val="1"/>
      </rPr>
      <t xml:space="preserve">ADMIN</t>
    </r>
    <r>
      <rPr>
        <sz val="10"/>
        <rFont val="WenQuanYi Zen Hei"/>
        <family val="2"/>
      </rPr>
      <t xml:space="preserve">のみ。</t>
    </r>
    <r>
      <rPr>
        <sz val="10"/>
        <rFont val="Arial"/>
        <family val="0"/>
        <charset val="1"/>
      </rPr>
      <t xml:space="preserve">CREDIT_PENDING </t>
    </r>
    <r>
      <rPr>
        <sz val="10"/>
        <rFont val="WenQuanYi Zen Hei"/>
        <family val="2"/>
      </rPr>
      <t xml:space="preserve">で有効（</t>
    </r>
    <r>
      <rPr>
        <sz val="10"/>
        <rFont val="Arial"/>
        <family val="0"/>
        <charset val="1"/>
      </rPr>
      <t xml:space="preserve">API-063</t>
    </r>
    <r>
      <rPr>
        <sz val="10"/>
        <rFont val="WenQuanYi Zen Hei"/>
        <family val="2"/>
      </rPr>
      <t xml:space="preserve">）</t>
    </r>
  </si>
  <si>
    <t xml:space="preserve">打切り／取消ボタン</t>
  </si>
  <si>
    <r>
      <rPr>
        <sz val="10"/>
        <rFont val="Arial"/>
        <family val="0"/>
        <charset val="1"/>
      </rPr>
      <t xml:space="preserve">MSG-E19 </t>
    </r>
    <r>
      <rPr>
        <sz val="10"/>
        <rFont val="WenQuanYi Zen Hei"/>
        <family val="2"/>
      </rPr>
      <t xml:space="preserve">の条件で無効化</t>
    </r>
  </si>
  <si>
    <t xml:space="preserve">t_shipment.sales_order_id</t>
  </si>
  <si>
    <r>
      <rPr>
        <sz val="10"/>
        <rFont val="Arial"/>
        <family val="0"/>
        <charset val="1"/>
      </rPr>
      <t xml:space="preserve">OPEN/PARTIAL </t>
    </r>
    <r>
      <rPr>
        <sz val="10"/>
        <rFont val="WenQuanYi Zen Hei"/>
        <family val="2"/>
      </rPr>
      <t xml:space="preserve">の受注のみ</t>
    </r>
  </si>
  <si>
    <t xml:space="preserve">出荷日</t>
  </si>
  <si>
    <t xml:space="preserve">t_shipment.shipped_on</t>
  </si>
  <si>
    <t xml:space="preserve">受注明細（商品・残数量）</t>
  </si>
  <si>
    <t xml:space="preserve">t_sales_order_line</t>
  </si>
  <si>
    <t xml:space="preserve">受注数量−出荷済数量</t>
  </si>
  <si>
    <t xml:space="preserve">自動引当ボタン</t>
  </si>
  <si>
    <r>
      <rPr>
        <sz val="10"/>
        <rFont val="WenQuanYi Zen Hei"/>
        <family val="2"/>
      </rPr>
      <t xml:space="preserve">処理詳細 </t>
    </r>
    <r>
      <rPr>
        <sz val="10"/>
        <rFont val="Arial"/>
        <family val="0"/>
        <charset val="1"/>
      </rPr>
      <t xml:space="preserve">P-04</t>
    </r>
    <r>
      <rPr>
        <sz val="10"/>
        <rFont val="WenQuanYi Zen Hei"/>
        <family val="2"/>
      </rPr>
      <t xml:space="preserve">（</t>
    </r>
    <r>
      <rPr>
        <sz val="10"/>
        <rFont val="Arial"/>
        <family val="0"/>
        <charset val="1"/>
      </rPr>
      <t xml:space="preserve">FEFO</t>
    </r>
    <r>
      <rPr>
        <sz val="10"/>
        <rFont val="WenQuanYi Zen Hei"/>
        <family val="2"/>
      </rPr>
      <t xml:space="preserve">）</t>
    </r>
  </si>
  <si>
    <t xml:space="preserve">引当ロット</t>
  </si>
  <si>
    <t xml:space="preserve">t_shipment_line.lot_id</t>
  </si>
  <si>
    <t xml:space="preserve">自動引当結果</t>
  </si>
  <si>
    <r>
      <rPr>
        <sz val="10"/>
        <rFont val="Arial"/>
        <family val="0"/>
        <charset val="1"/>
      </rPr>
      <t xml:space="preserve">BR-04 </t>
    </r>
    <r>
      <rPr>
        <sz val="10"/>
        <rFont val="WenQuanYi Zen Hei"/>
        <family val="2"/>
      </rPr>
      <t xml:space="preserve">条件を満たすロットのみ表示。使用期限・残期間を併記。変更は </t>
    </r>
    <r>
      <rPr>
        <sz val="10"/>
        <rFont val="Arial"/>
        <family val="0"/>
        <charset val="1"/>
      </rPr>
      <t xml:space="preserve">P-13</t>
    </r>
  </si>
  <si>
    <t xml:space="preserve">出庫保管場所</t>
  </si>
  <si>
    <t xml:space="preserve">t_shipment_line.location_id</t>
  </si>
  <si>
    <t xml:space="preserve">選択ロットの在庫がある場所のみ</t>
  </si>
  <si>
    <t xml:space="preserve">出荷数量</t>
  </si>
  <si>
    <t xml:space="preserve">t_shipment_line.quantity</t>
  </si>
  <si>
    <r>
      <rPr>
        <sz val="10"/>
        <rFont val="Arial"/>
        <family val="0"/>
        <charset val="1"/>
      </rPr>
      <t xml:space="preserve">1</t>
    </r>
    <r>
      <rPr>
        <sz val="10"/>
        <rFont val="WenQuanYi Zen Hei"/>
        <family val="2"/>
      </rPr>
      <t xml:space="preserve">以上・引当可能数以下（</t>
    </r>
    <r>
      <rPr>
        <sz val="10"/>
        <rFont val="Arial"/>
        <family val="0"/>
        <charset val="1"/>
      </rPr>
      <t xml:space="preserve">MSG-E12</t>
    </r>
    <r>
      <rPr>
        <sz val="10"/>
        <rFont val="WenQuanYi Zen Hei"/>
        <family val="2"/>
      </rPr>
      <t xml:space="preserve">）・受注残以下（</t>
    </r>
    <r>
      <rPr>
        <sz val="10"/>
        <rFont val="Arial"/>
        <family val="0"/>
        <charset val="1"/>
      </rPr>
      <t xml:space="preserve">MSG-E23</t>
    </r>
    <r>
      <rPr>
        <sz val="10"/>
        <rFont val="WenQuanYi Zen Hei"/>
        <family val="2"/>
      </rPr>
      <t xml:space="preserve">）</t>
    </r>
  </si>
  <si>
    <t xml:space="preserve">配送業者</t>
  </si>
  <si>
    <t xml:space="preserve">t_shipment.carrier</t>
  </si>
  <si>
    <t xml:space="preserve">温度区分に応じたクール便区分</t>
  </si>
  <si>
    <t xml:space="preserve">送り状番号</t>
  </si>
  <si>
    <t xml:space="preserve">t_shipment.tracking_no</t>
  </si>
  <si>
    <t xml:space="preserve">出荷確定ボタン</t>
  </si>
  <si>
    <r>
      <rPr>
        <sz val="10"/>
        <rFont val="WenQuanYi Zen Hei"/>
        <family val="2"/>
      </rPr>
      <t xml:space="preserve">処理詳細 </t>
    </r>
    <r>
      <rPr>
        <sz val="10"/>
        <rFont val="Arial"/>
        <family val="0"/>
        <charset val="1"/>
      </rPr>
      <t xml:space="preserve">P-05</t>
    </r>
  </si>
  <si>
    <t xml:space="preserve">納品書出力ボタン</t>
  </si>
  <si>
    <r>
      <rPr>
        <sz val="10"/>
        <rFont val="Arial"/>
        <family val="0"/>
        <charset val="1"/>
      </rPr>
      <t xml:space="preserve">SHIPPED </t>
    </r>
    <r>
      <rPr>
        <sz val="10"/>
        <rFont val="WenQuanYi Zen Hei"/>
        <family val="2"/>
      </rPr>
      <t xml:space="preserve">のみ有効。</t>
    </r>
    <r>
      <rPr>
        <sz val="10"/>
        <rFont val="Arial"/>
        <family val="0"/>
        <charset val="1"/>
      </rPr>
      <t xml:space="preserve">RP-02</t>
    </r>
  </si>
  <si>
    <t xml:space="preserve">出荷取消ボタン</t>
  </si>
  <si>
    <r>
      <rPr>
        <sz val="10"/>
        <rFont val="Arial"/>
        <family val="0"/>
        <charset val="1"/>
      </rPr>
      <t xml:space="preserve">ADMIN</t>
    </r>
    <r>
      <rPr>
        <sz val="10"/>
        <rFont val="WenQuanYi Zen Hei"/>
        <family val="2"/>
      </rPr>
      <t xml:space="preserve">のみ。処理詳細 </t>
    </r>
    <r>
      <rPr>
        <sz val="10"/>
        <rFont val="Arial"/>
        <family val="0"/>
        <charset val="1"/>
      </rPr>
      <t xml:space="preserve">P-06</t>
    </r>
  </si>
  <si>
    <t xml:space="preserve">出荷番号／ロット番号</t>
  </si>
  <si>
    <t xml:space="preserve">検索</t>
  </si>
  <si>
    <t xml:space="preserve">t_shipment.shipment_no</t>
  </si>
  <si>
    <t xml:space="preserve">顧客・ロットで元出荷明細を検索</t>
  </si>
  <si>
    <t xml:space="preserve">元出荷明細</t>
  </si>
  <si>
    <t xml:space="preserve">t_return.shipment_line_id</t>
  </si>
  <si>
    <t xml:space="preserve">出荷数量・既返品数量・返品可能数を表示</t>
  </si>
  <si>
    <t xml:space="preserve">回収対象</t>
  </si>
  <si>
    <t xml:space="preserve">t_return.recall_target_id</t>
  </si>
  <si>
    <t xml:space="preserve">ロットが回収中の場合に表示・必須（回収品として登録）</t>
  </si>
  <si>
    <t xml:space="preserve">返品日</t>
  </si>
  <si>
    <t xml:space="preserve">t_return.returned_on</t>
  </si>
  <si>
    <t xml:space="preserve">返品数量</t>
  </si>
  <si>
    <t xml:space="preserve">t_return.quantity</t>
  </si>
  <si>
    <r>
      <rPr>
        <sz val="10"/>
        <rFont val="WenQuanYi Zen Hei"/>
        <family val="2"/>
      </rPr>
      <t xml:space="preserve">返品可能数以下（</t>
    </r>
    <r>
      <rPr>
        <sz val="10"/>
        <rFont val="Arial"/>
        <family val="0"/>
        <charset val="1"/>
      </rPr>
      <t xml:space="preserve">BR-12</t>
    </r>
    <r>
      <rPr>
        <sz val="10"/>
        <rFont val="WenQuanYi Zen Hei"/>
        <family val="2"/>
      </rPr>
      <t xml:space="preserve">、</t>
    </r>
    <r>
      <rPr>
        <sz val="10"/>
        <rFont val="Arial"/>
        <family val="0"/>
        <charset val="1"/>
      </rPr>
      <t xml:space="preserve">MSG-E15</t>
    </r>
    <r>
      <rPr>
        <sz val="10"/>
        <rFont val="WenQuanYi Zen Hei"/>
        <family val="2"/>
      </rPr>
      <t xml:space="preserve">）</t>
    </r>
  </si>
  <si>
    <t xml:space="preserve">返品理由</t>
  </si>
  <si>
    <t xml:space="preserve">t_return.reason</t>
  </si>
  <si>
    <t xml:space="preserve">受入保管場所</t>
  </si>
  <si>
    <t xml:space="preserve">t_return.location_id</t>
  </si>
  <si>
    <r>
      <rPr>
        <sz val="10"/>
        <rFont val="Arial"/>
        <family val="0"/>
        <charset val="1"/>
      </rPr>
      <t xml:space="preserve">is_quarantine=true </t>
    </r>
    <r>
      <rPr>
        <sz val="10"/>
        <rFont val="WenQuanYi Zen Hei"/>
        <family val="2"/>
      </rPr>
      <t xml:space="preserve">かつ温度区分一致の場所のみ</t>
    </r>
  </si>
  <si>
    <r>
      <rPr>
        <sz val="10"/>
        <rFont val="WenQuanYi Zen Hei"/>
        <family val="2"/>
      </rPr>
      <t xml:space="preserve">処置（</t>
    </r>
    <r>
      <rPr>
        <sz val="10"/>
        <rFont val="Arial"/>
        <family val="0"/>
        <charset val="1"/>
      </rPr>
      <t xml:space="preserve">QA</t>
    </r>
    <r>
      <rPr>
        <sz val="10"/>
        <rFont val="WenQuanYi Zen Hei"/>
        <family val="2"/>
      </rPr>
      <t xml:space="preserve">判定）</t>
    </r>
  </si>
  <si>
    <r>
      <rPr>
        <sz val="10"/>
        <rFont val="WenQuanYi Zen Hei"/>
        <family val="2"/>
      </rPr>
      <t xml:space="preserve">判定時</t>
    </r>
    <r>
      <rPr>
        <sz val="10"/>
        <rFont val="Arial"/>
        <family val="0"/>
        <charset val="1"/>
      </rPr>
      <t xml:space="preserve">Y</t>
    </r>
  </si>
  <si>
    <t xml:space="preserve">RESTOCK/DISPOSE</t>
  </si>
  <si>
    <t xml:space="preserve">t_return.disposition</t>
  </si>
  <si>
    <r>
      <rPr>
        <sz val="10"/>
        <rFont val="Arial"/>
        <family val="0"/>
        <charset val="1"/>
      </rPr>
      <t xml:space="preserve">QA</t>
    </r>
    <r>
      <rPr>
        <sz val="10"/>
        <rFont val="WenQuanYi Zen Hei"/>
        <family val="2"/>
      </rPr>
      <t xml:space="preserve">のみ。回収品は</t>
    </r>
    <r>
      <rPr>
        <sz val="10"/>
        <rFont val="Arial"/>
        <family val="0"/>
        <charset val="1"/>
      </rPr>
      <t xml:space="preserve">DISPOSE</t>
    </r>
    <r>
      <rPr>
        <sz val="10"/>
        <rFont val="WenQuanYi Zen Hei"/>
        <family val="2"/>
      </rPr>
      <t xml:space="preserve">のみ（</t>
    </r>
    <r>
      <rPr>
        <sz val="10"/>
        <rFont val="Arial"/>
        <family val="0"/>
        <charset val="1"/>
      </rPr>
      <t xml:space="preserve">BR-18</t>
    </r>
    <r>
      <rPr>
        <sz val="10"/>
        <rFont val="WenQuanYi Zen Hei"/>
        <family val="2"/>
      </rPr>
      <t xml:space="preserve">、</t>
    </r>
    <r>
      <rPr>
        <sz val="10"/>
        <rFont val="Arial"/>
        <family val="0"/>
        <charset val="1"/>
      </rPr>
      <t xml:space="preserve">MSG-E16</t>
    </r>
    <r>
      <rPr>
        <sz val="10"/>
        <rFont val="WenQuanYi Zen Hei"/>
        <family val="2"/>
      </rPr>
      <t xml:space="preserve">）</t>
    </r>
  </si>
  <si>
    <t xml:space="preserve">戻し保管場所</t>
  </si>
  <si>
    <r>
      <rPr>
        <sz val="10"/>
        <rFont val="Arial"/>
        <family val="0"/>
        <charset val="1"/>
      </rPr>
      <t xml:space="preserve">RESTOCK</t>
    </r>
    <r>
      <rPr>
        <sz val="10"/>
        <rFont val="WenQuanYi Zen Hei"/>
        <family val="2"/>
      </rPr>
      <t xml:space="preserve">時</t>
    </r>
    <r>
      <rPr>
        <sz val="10"/>
        <rFont val="Arial"/>
        <family val="0"/>
        <charset val="1"/>
      </rPr>
      <t xml:space="preserve">Y</t>
    </r>
  </si>
  <si>
    <t xml:space="preserve">t_return.restock_location_id</t>
  </si>
  <si>
    <t xml:space="preserve">通常保管場所・温度区分一致</t>
  </si>
  <si>
    <t xml:space="preserve">登録／判定ボタン</t>
  </si>
  <si>
    <r>
      <rPr>
        <sz val="10"/>
        <rFont val="WenQuanYi Zen Hei"/>
        <family val="2"/>
      </rPr>
      <t xml:space="preserve">処理詳細 </t>
    </r>
    <r>
      <rPr>
        <sz val="10"/>
        <rFont val="Arial"/>
        <family val="0"/>
        <charset val="1"/>
      </rPr>
      <t xml:space="preserve">P-07</t>
    </r>
  </si>
  <si>
    <t xml:space="preserve">t_lot.lot_no / supplier_lot_no</t>
  </si>
  <si>
    <t xml:space="preserve">社内・仕入先どちらの番号でも検索可（部分一致）</t>
  </si>
  <si>
    <t xml:space="preserve">商品・仕入先・使用期限・ステータス・入荷日</t>
  </si>
  <si>
    <t xml:space="preserve">在庫状況</t>
  </si>
  <si>
    <t xml:space="preserve">t_inventory</t>
  </si>
  <si>
    <r>
      <rPr>
        <sz val="10"/>
        <rFont val="WenQuanYi Zen Hei"/>
        <family val="2"/>
      </rPr>
      <t xml:space="preserve">保管場所別 現在庫</t>
    </r>
    <r>
      <rPr>
        <sz val="10"/>
        <rFont val="Arial"/>
        <family val="0"/>
        <charset val="1"/>
      </rPr>
      <t xml:space="preserve">/</t>
    </r>
    <r>
      <rPr>
        <sz val="10"/>
        <rFont val="WenQuanYi Zen Hei"/>
        <family val="2"/>
      </rPr>
      <t xml:space="preserve">引当済</t>
    </r>
  </si>
  <si>
    <t xml:space="preserve">出荷先一覧</t>
  </si>
  <si>
    <t xml:space="preserve">t_shipment_line, t_shipment, m_customer, m_ship_to</t>
  </si>
  <si>
    <r>
      <rPr>
        <sz val="10"/>
        <rFont val="WenQuanYi Zen Hei"/>
        <family val="2"/>
      </rPr>
      <t xml:space="preserve">顧客・納品先・出荷日・出荷番号・出荷数量・返品数量・正味数量（</t>
    </r>
    <r>
      <rPr>
        <sz val="10"/>
        <rFont val="Arial"/>
        <family val="0"/>
        <charset val="1"/>
      </rPr>
      <t xml:space="preserve">SQL-01</t>
    </r>
    <r>
      <rPr>
        <sz val="10"/>
        <rFont val="WenQuanYi Zen Hei"/>
        <family val="2"/>
      </rPr>
      <t xml:space="preserve">）。回収中は回収数量も表示</t>
    </r>
  </si>
  <si>
    <t xml:space="preserve">集計</t>
  </si>
  <si>
    <t xml:space="preserve">移動区分別合計：入荷＋出荷＋取消＋返品＋移動＋調整＋廃棄＝現在庫（全保管場所）を表示</t>
  </si>
  <si>
    <r>
      <rPr>
        <sz val="10"/>
        <rFont val="Arial"/>
        <family val="0"/>
        <charset val="1"/>
      </rPr>
      <t xml:space="preserve">CSV/PDF</t>
    </r>
    <r>
      <rPr>
        <sz val="10"/>
        <rFont val="WenQuanYi Zen Hei"/>
        <family val="2"/>
      </rPr>
      <t xml:space="preserve">出力ボタン</t>
    </r>
  </si>
  <si>
    <t xml:space="preserve">回収案件作成ボタン</t>
  </si>
  <si>
    <r>
      <rPr>
        <sz val="10"/>
        <rFont val="Arial"/>
        <family val="0"/>
        <charset val="1"/>
      </rPr>
      <t xml:space="preserve">QA</t>
    </r>
    <r>
      <rPr>
        <sz val="10"/>
        <rFont val="WenQuanYi Zen Hei"/>
        <family val="2"/>
      </rPr>
      <t xml:space="preserve">のみ。</t>
    </r>
    <r>
      <rPr>
        <sz val="10"/>
        <rFont val="Arial"/>
        <family val="0"/>
        <charset val="1"/>
      </rPr>
      <t xml:space="preserve">SCR-53</t>
    </r>
    <r>
      <rPr>
        <sz val="10"/>
        <rFont val="WenQuanYi Zen Hei"/>
        <family val="2"/>
      </rPr>
      <t xml:space="preserve">へロット引継ぎ</t>
    </r>
  </si>
  <si>
    <t xml:space="preserve">m_customer.id</t>
  </si>
  <si>
    <t xml:space="preserve">期間</t>
  </si>
  <si>
    <r>
      <rPr>
        <sz val="10"/>
        <rFont val="WenQuanYi Zen Hei"/>
        <family val="2"/>
      </rPr>
      <t xml:space="preserve">直近</t>
    </r>
    <r>
      <rPr>
        <sz val="10"/>
        <rFont val="Arial"/>
        <family val="0"/>
        <charset val="1"/>
      </rPr>
      <t xml:space="preserve">1</t>
    </r>
    <r>
      <rPr>
        <sz val="10"/>
        <rFont val="WenQuanYi Zen Hei"/>
        <family val="2"/>
      </rPr>
      <t xml:space="preserve">年</t>
    </r>
  </si>
  <si>
    <t xml:space="preserve">購入ロット一覧</t>
  </si>
  <si>
    <t xml:space="preserve">t_shipment_line, t_lot, m_product</t>
  </si>
  <si>
    <r>
      <rPr>
        <sz val="10"/>
        <rFont val="WenQuanYi Zen Hei"/>
        <family val="2"/>
      </rPr>
      <t xml:space="preserve">出荷日・商品・ロット・使用期限・数量・ロットステータス（</t>
    </r>
    <r>
      <rPr>
        <sz val="10"/>
        <rFont val="Arial"/>
        <family val="0"/>
        <charset val="1"/>
      </rPr>
      <t xml:space="preserve">SQL-02</t>
    </r>
    <r>
      <rPr>
        <sz val="10"/>
        <rFont val="WenQuanYi Zen Hei"/>
        <family val="2"/>
      </rPr>
      <t xml:space="preserve">）。</t>
    </r>
    <r>
      <rPr>
        <sz val="10"/>
        <rFont val="Arial"/>
        <family val="0"/>
        <charset val="1"/>
      </rPr>
      <t xml:space="preserve">RECALLED</t>
    </r>
    <r>
      <rPr>
        <sz val="10"/>
        <rFont val="WenQuanYi Zen Hei"/>
        <family val="2"/>
      </rPr>
      <t xml:space="preserve">は赤表示</t>
    </r>
  </si>
  <si>
    <t xml:space="preserve">回収番号</t>
  </si>
  <si>
    <t xml:space="preserve">t_recall.recall_no</t>
  </si>
  <si>
    <t xml:space="preserve">件名</t>
  </si>
  <si>
    <t xml:space="preserve">t_recall.title</t>
  </si>
  <si>
    <t xml:space="preserve">回収理由</t>
  </si>
  <si>
    <t xml:space="preserve">2000</t>
  </si>
  <si>
    <t xml:space="preserve">t_recall.reason</t>
  </si>
  <si>
    <t xml:space="preserve">重大度</t>
  </si>
  <si>
    <r>
      <rPr>
        <sz val="10"/>
        <rFont val="WenQuanYi Zen Hei"/>
        <family val="2"/>
      </rPr>
      <t xml:space="preserve">クラス</t>
    </r>
    <r>
      <rPr>
        <sz val="10"/>
        <rFont val="Arial"/>
        <family val="0"/>
        <charset val="1"/>
      </rPr>
      <t xml:space="preserve">I/II/III</t>
    </r>
  </si>
  <si>
    <t xml:space="preserve">t_recall.severity</t>
  </si>
  <si>
    <t xml:space="preserve">対象ロット</t>
  </si>
  <si>
    <t xml:space="preserve">t_recall_lot.lot_id</t>
  </si>
  <si>
    <r>
      <rPr>
        <sz val="10"/>
        <rFont val="Arial"/>
        <family val="0"/>
        <charset val="1"/>
      </rPr>
      <t xml:space="preserve">1</t>
    </r>
    <r>
      <rPr>
        <sz val="10"/>
        <rFont val="WenQuanYi Zen Hei"/>
        <family val="2"/>
      </rPr>
      <t xml:space="preserve">件以上</t>
    </r>
  </si>
  <si>
    <t xml:space="preserve">登録／対象顧客抽出ボタン</t>
  </si>
  <si>
    <r>
      <rPr>
        <sz val="10"/>
        <rFont val="WenQuanYi Zen Hei"/>
        <family val="2"/>
      </rPr>
      <t xml:space="preserve">登録は </t>
    </r>
    <r>
      <rPr>
        <sz val="10"/>
        <rFont val="Arial"/>
        <family val="0"/>
        <charset val="1"/>
      </rPr>
      <t xml:space="preserve">P-08</t>
    </r>
    <r>
      <rPr>
        <sz val="10"/>
        <rFont val="WenQuanYi Zen Hei"/>
        <family val="2"/>
      </rPr>
      <t xml:space="preserve">、抽出は </t>
    </r>
    <r>
      <rPr>
        <sz val="10"/>
        <rFont val="Arial"/>
        <family val="0"/>
        <charset val="1"/>
      </rPr>
      <t xml:space="preserve">P-18</t>
    </r>
  </si>
  <si>
    <t xml:space="preserve">対象顧客一覧</t>
  </si>
  <si>
    <t xml:space="preserve">t_recall_target, m_ship_to</t>
  </si>
  <si>
    <r>
      <rPr>
        <sz val="10"/>
        <rFont val="WenQuanYi Zen Hei"/>
        <family val="2"/>
      </rPr>
      <t xml:space="preserve">顧客・納品先・担当者・連絡先・出荷正味数量・回収数量（返品登録 </t>
    </r>
    <r>
      <rPr>
        <sz val="10"/>
        <rFont val="Arial"/>
        <family val="0"/>
        <charset val="1"/>
      </rPr>
      <t xml:space="preserve">SCR-43 </t>
    </r>
    <r>
      <rPr>
        <sz val="10"/>
        <rFont val="WenQuanYi Zen Hei"/>
        <family val="2"/>
      </rPr>
      <t xml:space="preserve">から自動）を表示。連絡日・連絡方法を行内編集</t>
    </r>
  </si>
  <si>
    <t xml:space="preserve">進捗</t>
  </si>
  <si>
    <r>
      <rPr>
        <sz val="10"/>
        <rFont val="WenQuanYi Zen Hei"/>
        <family val="2"/>
      </rPr>
      <t xml:space="preserve">連絡済率・回収率（回収数量</t>
    </r>
    <r>
      <rPr>
        <sz val="10"/>
        <rFont val="Arial"/>
        <family val="0"/>
        <charset val="1"/>
      </rPr>
      <t xml:space="preserve">/</t>
    </r>
    <r>
      <rPr>
        <sz val="10"/>
        <rFont val="WenQuanYi Zen Hei"/>
        <family val="2"/>
      </rPr>
      <t xml:space="preserve">出荷数量）</t>
    </r>
  </si>
  <si>
    <t xml:space="preserve">完了ボタン</t>
  </si>
  <si>
    <r>
      <rPr>
        <sz val="10"/>
        <rFont val="WenQuanYi Zen Hei"/>
        <family val="2"/>
      </rPr>
      <t xml:space="preserve">処理詳細 </t>
    </r>
    <r>
      <rPr>
        <sz val="10"/>
        <rFont val="Arial"/>
        <family val="0"/>
        <charset val="1"/>
      </rPr>
      <t xml:space="preserve">P-14</t>
    </r>
    <r>
      <rPr>
        <sz val="10"/>
        <rFont val="WenQuanYi Zen Hei"/>
        <family val="2"/>
      </rPr>
      <t xml:space="preserve">（</t>
    </r>
    <r>
      <rPr>
        <sz val="10"/>
        <rFont val="Arial"/>
        <family val="0"/>
        <charset val="1"/>
      </rPr>
      <t xml:space="preserve">MSG-E24</t>
    </r>
    <r>
      <rPr>
        <sz val="10"/>
        <rFont val="WenQuanYi Zen Hei"/>
        <family val="2"/>
      </rPr>
      <t xml:space="preserve">／</t>
    </r>
    <r>
      <rPr>
        <sz val="10"/>
        <rFont val="Arial"/>
        <family val="0"/>
        <charset val="1"/>
      </rPr>
      <t xml:space="preserve">MSG-W07</t>
    </r>
    <r>
      <rPr>
        <sz val="10"/>
        <rFont val="WenQuanYi Zen Hei"/>
        <family val="2"/>
      </rPr>
      <t xml:space="preserve">）</t>
    </r>
  </si>
  <si>
    <t xml:space="preserve">ステータス（対象行）</t>
  </si>
  <si>
    <t xml:space="preserve">CONTACTED/CLOSED</t>
  </si>
  <si>
    <t xml:space="preserve">t_recall_target.status</t>
  </si>
  <si>
    <r>
      <rPr>
        <sz val="10"/>
        <rFont val="Arial"/>
        <family val="0"/>
        <charset val="1"/>
      </rPr>
      <t xml:space="preserve">RECOVERED </t>
    </r>
    <r>
      <rPr>
        <sz val="10"/>
        <rFont val="WenQuanYi Zen Hei"/>
        <family val="2"/>
      </rPr>
      <t xml:space="preserve">は自動設定。</t>
    </r>
    <r>
      <rPr>
        <sz val="10"/>
        <rFont val="Arial"/>
        <family val="0"/>
        <charset val="1"/>
      </rPr>
      <t xml:space="preserve">CLOSED </t>
    </r>
    <r>
      <rPr>
        <sz val="10"/>
        <rFont val="WenQuanYi Zen Hei"/>
        <family val="2"/>
      </rPr>
      <t xml:space="preserve">は理由必須</t>
    </r>
  </si>
  <si>
    <t xml:space="preserve">回収不能数量（対象行）</t>
  </si>
  <si>
    <t xml:space="preserve">t_recall_target.unrecoverable_qty</t>
  </si>
  <si>
    <t xml:space="preserve">0</t>
  </si>
  <si>
    <r>
      <rPr>
        <sz val="10"/>
        <rFont val="Arial"/>
        <family val="0"/>
        <charset val="1"/>
      </rPr>
      <t xml:space="preserve">QA</t>
    </r>
    <r>
      <rPr>
        <sz val="10"/>
        <rFont val="WenQuanYi Zen Hei"/>
        <family val="2"/>
      </rPr>
      <t xml:space="preserve">のみ。使用済等。回収数量＋回収不能数量 </t>
    </r>
    <r>
      <rPr>
        <sz val="10"/>
        <rFont val="Arial"/>
        <family val="0"/>
        <charset val="1"/>
      </rPr>
      <t xml:space="preserve">&gt;= </t>
    </r>
    <r>
      <rPr>
        <sz val="10"/>
        <rFont val="WenQuanYi Zen Hei"/>
        <family val="2"/>
      </rPr>
      <t xml:space="preserve">出荷正味で </t>
    </r>
    <r>
      <rPr>
        <sz val="10"/>
        <rFont val="Arial"/>
        <family val="0"/>
        <charset val="1"/>
      </rPr>
      <t xml:space="preserve">RECOVERED</t>
    </r>
  </si>
  <si>
    <t xml:space="preserve">クローズ理由（対象行）</t>
  </si>
  <si>
    <r>
      <rPr>
        <sz val="10"/>
        <rFont val="Arial"/>
        <family val="0"/>
        <charset val="1"/>
      </rPr>
      <t xml:space="preserve">CLOSED</t>
    </r>
    <r>
      <rPr>
        <sz val="10"/>
        <rFont val="WenQuanYi Zen Hei"/>
        <family val="2"/>
      </rPr>
      <t xml:space="preserve">時</t>
    </r>
    <r>
      <rPr>
        <sz val="10"/>
        <rFont val="Arial"/>
        <family val="0"/>
        <charset val="1"/>
      </rPr>
      <t xml:space="preserve">Y</t>
    </r>
  </si>
  <si>
    <t xml:space="preserve">200</t>
  </si>
  <si>
    <t xml:space="preserve">t_recall_target.close_reason</t>
  </si>
  <si>
    <t xml:space="preserve">再抽出ボタン</t>
  </si>
  <si>
    <r>
      <rPr>
        <sz val="10"/>
        <rFont val="WenQuanYi Zen Hei"/>
        <family val="2"/>
      </rPr>
      <t xml:space="preserve">処理詳細 </t>
    </r>
    <r>
      <rPr>
        <sz val="10"/>
        <rFont val="Arial"/>
        <family val="0"/>
        <charset val="1"/>
      </rPr>
      <t xml:space="preserve">P-18</t>
    </r>
    <r>
      <rPr>
        <sz val="10"/>
        <rFont val="WenQuanYi Zen Hei"/>
        <family val="2"/>
      </rPr>
      <t xml:space="preserve">（返品・出荷取消後の再計算）</t>
    </r>
  </si>
  <si>
    <t xml:space="preserve">帳票種類</t>
  </si>
  <si>
    <r>
      <rPr>
        <sz val="10"/>
        <rFont val="Arial"/>
        <family val="0"/>
        <charset val="1"/>
      </rPr>
      <t xml:space="preserve">RP-03</t>
    </r>
    <r>
      <rPr>
        <sz val="10"/>
        <rFont val="WenQuanYi Zen Hei"/>
        <family val="2"/>
      </rPr>
      <t xml:space="preserve">〜</t>
    </r>
    <r>
      <rPr>
        <sz val="10"/>
        <rFont val="Arial"/>
        <family val="0"/>
        <charset val="1"/>
      </rPr>
      <t xml:space="preserve">RP-08</t>
    </r>
  </si>
  <si>
    <t xml:space="preserve">（帳票一覧）</t>
  </si>
  <si>
    <t xml:space="preserve">権限マトリクスで利用可能な帳票のみ表示</t>
  </si>
  <si>
    <t xml:space="preserve">抽出条件</t>
  </si>
  <si>
    <t xml:space="preserve">条件入力</t>
  </si>
  <si>
    <t xml:space="preserve">帳票一覧の抽出条件</t>
  </si>
  <si>
    <t xml:space="preserve">当月</t>
  </si>
  <si>
    <r>
      <rPr>
        <sz val="10"/>
        <rFont val="WenQuanYi Zen Hei"/>
        <family val="2"/>
      </rPr>
      <t xml:space="preserve">出力ボタン（画面</t>
    </r>
    <r>
      <rPr>
        <sz val="10"/>
        <rFont val="Arial"/>
        <family val="0"/>
        <charset val="1"/>
      </rPr>
      <t xml:space="preserve">/CSV/PDF</t>
    </r>
    <r>
      <rPr>
        <sz val="10"/>
        <rFont val="WenQuanYi Zen Hei"/>
        <family val="2"/>
      </rPr>
      <t xml:space="preserve">）</t>
    </r>
  </si>
  <si>
    <t xml:space="preserve">期間・ユーザー・操作・対象テーブル</t>
  </si>
  <si>
    <t xml:space="preserve">t_audit_log.occurred_at</t>
  </si>
  <si>
    <r>
      <rPr>
        <sz val="10"/>
        <rFont val="WenQuanYi Zen Hei"/>
        <family val="2"/>
      </rPr>
      <t xml:space="preserve">直近</t>
    </r>
    <r>
      <rPr>
        <sz val="10"/>
        <rFont val="Arial"/>
        <family val="0"/>
        <charset val="1"/>
      </rPr>
      <t xml:space="preserve">7</t>
    </r>
    <r>
      <rPr>
        <sz val="10"/>
        <rFont val="WenQuanYi Zen Hei"/>
        <family val="2"/>
      </rPr>
      <t xml:space="preserve">日</t>
    </r>
  </si>
  <si>
    <t xml:space="preserve">t_audit_log</t>
  </si>
  <si>
    <t xml:space="preserve">発生日時・ユーザー・操作・対象・変更前後の差分表示</t>
  </si>
  <si>
    <r>
      <rPr>
        <b val="true"/>
        <sz val="11"/>
        <color rgb="FF1F4E5F"/>
        <rFont val="Arial"/>
        <family val="0"/>
        <charset val="1"/>
      </rPr>
      <t xml:space="preserve">API</t>
    </r>
    <r>
      <rPr>
        <b val="true"/>
        <sz val="11"/>
        <color rgb="FF1F4E5F"/>
        <rFont val="WenQuanYi Zen Hei"/>
        <family val="2"/>
      </rPr>
      <t xml:space="preserve">一覧</t>
    </r>
  </si>
  <si>
    <r>
      <rPr>
        <i val="true"/>
        <sz val="9"/>
        <color rgb="FF595959"/>
        <rFont val="WenQuanYi Zen Hei"/>
        <family val="2"/>
      </rPr>
      <t xml:space="preserve">全</t>
    </r>
    <r>
      <rPr>
        <i val="true"/>
        <sz val="9"/>
        <color rgb="FF595959"/>
        <rFont val="Arial"/>
        <family val="0"/>
        <charset val="1"/>
      </rPr>
      <t xml:space="preserve">API</t>
    </r>
    <r>
      <rPr>
        <i val="true"/>
        <sz val="9"/>
        <color rgb="FF595959"/>
        <rFont val="WenQuanYi Zen Hei"/>
        <family val="2"/>
      </rPr>
      <t xml:space="preserve">はサーバー側で認証・権限（権限マトリクス）を検証する。更新系は楽観ロック（</t>
    </r>
    <r>
      <rPr>
        <i val="true"/>
        <sz val="9"/>
        <color rgb="FF595959"/>
        <rFont val="Arial"/>
        <family val="0"/>
        <charset val="1"/>
      </rPr>
      <t xml:space="preserve">version</t>
    </r>
    <r>
      <rPr>
        <i val="true"/>
        <sz val="9"/>
        <color rgb="FF595959"/>
        <rFont val="WenQuanYi Zen Hei"/>
        <family val="2"/>
      </rPr>
      <t xml:space="preserve">）必須。エラーは </t>
    </r>
    <r>
      <rPr>
        <i val="true"/>
        <sz val="9"/>
        <color rgb="FF595959"/>
        <rFont val="Arial"/>
        <family val="0"/>
        <charset val="1"/>
      </rPr>
      <t xml:space="preserve">{code, message_id, message} </t>
    </r>
    <r>
      <rPr>
        <i val="true"/>
        <sz val="9"/>
        <color rgb="FF595959"/>
        <rFont val="WenQuanYi Zen Hei"/>
        <family val="2"/>
      </rPr>
      <t xml:space="preserve">を返す</t>
    </r>
  </si>
  <si>
    <t xml:space="preserve">API ID</t>
  </si>
  <si>
    <t xml:space="preserve">メソッド</t>
  </si>
  <si>
    <t xml:space="preserve">パス</t>
  </si>
  <si>
    <t xml:space="preserve">許可ロール</t>
  </si>
  <si>
    <t xml:space="preserve">API-001</t>
  </si>
  <si>
    <t xml:space="preserve">POST</t>
  </si>
  <si>
    <t xml:space="preserve">/api/auth/login</t>
  </si>
  <si>
    <r>
      <rPr>
        <sz val="10"/>
        <rFont val="WenQuanYi Zen Hei"/>
        <family val="2"/>
      </rPr>
      <t xml:space="preserve">ログイン（</t>
    </r>
    <r>
      <rPr>
        <sz val="10"/>
        <rFont val="Arial"/>
        <family val="0"/>
        <charset val="1"/>
      </rPr>
      <t xml:space="preserve">2</t>
    </r>
    <r>
      <rPr>
        <sz val="10"/>
        <rFont val="WenQuanYi Zen Hei"/>
        <family val="2"/>
      </rPr>
      <t xml:space="preserve">要素認証は </t>
    </r>
    <r>
      <rPr>
        <sz val="10"/>
        <rFont val="Arial"/>
        <family val="0"/>
        <charset val="1"/>
      </rPr>
      <t xml:space="preserve">/api/auth/mfa</t>
    </r>
    <r>
      <rPr>
        <sz val="10"/>
        <rFont val="WenQuanYi Zen Hei"/>
        <family val="2"/>
      </rPr>
      <t xml:space="preserve">）</t>
    </r>
  </si>
  <si>
    <t xml:space="preserve">全員</t>
  </si>
  <si>
    <t xml:space="preserve">API-010</t>
  </si>
  <si>
    <t xml:space="preserve">GET</t>
  </si>
  <si>
    <t xml:space="preserve">/api/suppliers</t>
  </si>
  <si>
    <t xml:space="preserve">仕入先検索</t>
  </si>
  <si>
    <t xml:space="preserve">全ロール</t>
  </si>
  <si>
    <t xml:space="preserve">API-011</t>
  </si>
  <si>
    <t xml:space="preserve">POST/PUT</t>
  </si>
  <si>
    <t xml:space="preserve">/api/suppliers[/{id}]</t>
  </si>
  <si>
    <t xml:space="preserve">仕入先登録・更新</t>
  </si>
  <si>
    <t xml:space="preserve">ADMIN</t>
  </si>
  <si>
    <t xml:space="preserve">API-012</t>
  </si>
  <si>
    <t xml:space="preserve">/api/products</t>
  </si>
  <si>
    <t xml:space="preserve">商品検索</t>
  </si>
  <si>
    <t xml:space="preserve">API-013</t>
  </si>
  <si>
    <t xml:space="preserve">/api/products[/{id}]</t>
  </si>
  <si>
    <t xml:space="preserve">商品登録・更新</t>
  </si>
  <si>
    <t xml:space="preserve">ADMIN,PURCHASE</t>
  </si>
  <si>
    <t xml:space="preserve">API-014</t>
  </si>
  <si>
    <t xml:space="preserve">/api/customers</t>
  </si>
  <si>
    <t xml:space="preserve">顧客検索</t>
  </si>
  <si>
    <t xml:space="preserve">API-015</t>
  </si>
  <si>
    <t xml:space="preserve">/api/customers[/{id}]</t>
  </si>
  <si>
    <t xml:space="preserve">顧客・納品先登録・更新</t>
  </si>
  <si>
    <t xml:space="preserve">ADMIN,SALES</t>
  </si>
  <si>
    <t xml:space="preserve">API-016</t>
  </si>
  <si>
    <t xml:space="preserve">GET/POST/PUT</t>
  </si>
  <si>
    <t xml:space="preserve">/api/locations[/{id}]</t>
  </si>
  <si>
    <r>
      <rPr>
        <sz val="10"/>
        <rFont val="WenQuanYi Zen Hei"/>
        <family val="2"/>
      </rPr>
      <t xml:space="preserve">参照</t>
    </r>
    <r>
      <rPr>
        <sz val="10"/>
        <rFont val="Arial"/>
        <family val="0"/>
        <charset val="1"/>
      </rPr>
      <t xml:space="preserve">:</t>
    </r>
    <r>
      <rPr>
        <sz val="10"/>
        <rFont val="WenQuanYi Zen Hei"/>
        <family val="2"/>
      </rPr>
      <t xml:space="preserve">全ロール／更新</t>
    </r>
    <r>
      <rPr>
        <sz val="10"/>
        <rFont val="Arial"/>
        <family val="0"/>
        <charset val="1"/>
      </rPr>
      <t xml:space="preserve">:ADMIN,WAREHOUSE</t>
    </r>
  </si>
  <si>
    <t xml:space="preserve">API-017</t>
  </si>
  <si>
    <t xml:space="preserve">/api/users[/{id}]</t>
  </si>
  <si>
    <t xml:space="preserve">API-018</t>
  </si>
  <si>
    <t xml:space="preserve">GET/PUT</t>
  </si>
  <si>
    <t xml:space="preserve">/api/sales-rules</t>
  </si>
  <si>
    <r>
      <rPr>
        <sz val="10"/>
        <rFont val="WenQuanYi Zen Hei"/>
        <family val="2"/>
      </rPr>
      <t xml:space="preserve">販売可否ルール（更新は</t>
    </r>
    <r>
      <rPr>
        <sz val="10"/>
        <rFont val="Arial"/>
        <family val="0"/>
        <charset val="1"/>
      </rPr>
      <t xml:space="preserve">ADMIN</t>
    </r>
    <r>
      <rPr>
        <sz val="10"/>
        <rFont val="WenQuanYi Zen Hei"/>
        <family val="2"/>
      </rPr>
      <t xml:space="preserve">登録→</t>
    </r>
    <r>
      <rPr>
        <sz val="10"/>
        <rFont val="Arial"/>
        <family val="0"/>
        <charset val="1"/>
      </rPr>
      <t xml:space="preserve">QA</t>
    </r>
    <r>
      <rPr>
        <sz val="10"/>
        <rFont val="WenQuanYi Zen Hei"/>
        <family val="2"/>
      </rPr>
      <t xml:space="preserve">承認の</t>
    </r>
    <r>
      <rPr>
        <sz val="10"/>
        <rFont val="Arial"/>
        <family val="0"/>
        <charset val="1"/>
      </rPr>
      <t xml:space="preserve">2</t>
    </r>
    <r>
      <rPr>
        <sz val="10"/>
        <rFont val="WenQuanYi Zen Hei"/>
        <family val="2"/>
      </rPr>
      <t xml:space="preserve">段階）</t>
    </r>
  </si>
  <si>
    <t xml:space="preserve">ADMIN,QA</t>
  </si>
  <si>
    <t xml:space="preserve">API-020</t>
  </si>
  <si>
    <t xml:space="preserve">/api/purchase-orders[/{id}]</t>
  </si>
  <si>
    <t xml:space="preserve">発注検索・登録・更新</t>
  </si>
  <si>
    <t xml:space="preserve">API-021</t>
  </si>
  <si>
    <t xml:space="preserve">/api/purchase-orders/{id}/approve</t>
  </si>
  <si>
    <t xml:space="preserve">発注承認</t>
  </si>
  <si>
    <t xml:space="preserve">API-022</t>
  </si>
  <si>
    <t xml:space="preserve">/api/purchase-orders/{id}/cancel</t>
  </si>
  <si>
    <t xml:space="preserve">発注取消</t>
  </si>
  <si>
    <t xml:space="preserve">API-024</t>
  </si>
  <si>
    <t xml:space="preserve">/api/purchase-orders/{id}/close</t>
  </si>
  <si>
    <t xml:space="preserve">発注残数打切り</t>
  </si>
  <si>
    <t xml:space="preserve">API-023</t>
  </si>
  <si>
    <t xml:space="preserve">/api/purchase-orders/{id}/pdf</t>
  </si>
  <si>
    <r>
      <rPr>
        <sz val="10"/>
        <rFont val="WenQuanYi Zen Hei"/>
        <family val="2"/>
      </rPr>
      <t xml:space="preserve">発注書</t>
    </r>
    <r>
      <rPr>
        <sz val="10"/>
        <rFont val="Arial"/>
        <family val="0"/>
        <charset val="1"/>
      </rPr>
      <t xml:space="preserve">PDF</t>
    </r>
  </si>
  <si>
    <t xml:space="preserve">API-030</t>
  </si>
  <si>
    <t xml:space="preserve">/api/receipts</t>
  </si>
  <si>
    <t xml:space="preserve">入荷登録（下書き）</t>
  </si>
  <si>
    <t xml:space="preserve">ADMIN,WAREHOUSE</t>
  </si>
  <si>
    <t xml:space="preserve">API-031</t>
  </si>
  <si>
    <t xml:space="preserve">/api/receipts/{id}/confirm</t>
  </si>
  <si>
    <t xml:space="preserve">入荷確定（ロット生成・在庫加算）</t>
  </si>
  <si>
    <t xml:space="preserve">P-01</t>
  </si>
  <si>
    <t xml:space="preserve">API-034</t>
  </si>
  <si>
    <t xml:space="preserve">/api/receipts/{id}/cancel</t>
  </si>
  <si>
    <t xml:space="preserve">入荷取消（赤伝）</t>
  </si>
  <si>
    <t xml:space="preserve">P-12</t>
  </si>
  <si>
    <t xml:space="preserve">API-035</t>
  </si>
  <si>
    <t xml:space="preserve">/api/receipt-lines/{id}/split-inspection</t>
  </si>
  <si>
    <t xml:space="preserve">分納受入判定</t>
  </si>
  <si>
    <t xml:space="preserve">QA</t>
  </si>
  <si>
    <t xml:space="preserve">P-16</t>
  </si>
  <si>
    <t xml:space="preserve">API-032</t>
  </si>
  <si>
    <t xml:space="preserve">/api/lots/{id}/inspection</t>
  </si>
  <si>
    <t xml:space="preserve">受入検品判定</t>
  </si>
  <si>
    <t xml:space="preserve">P-02</t>
  </si>
  <si>
    <t xml:space="preserve">API-033</t>
  </si>
  <si>
    <t xml:space="preserve">/api/attachments</t>
  </si>
  <si>
    <r>
      <rPr>
        <sz val="10"/>
        <rFont val="WenQuanYi Zen Hei"/>
        <family val="2"/>
      </rPr>
      <t xml:space="preserve">添付アップロード（</t>
    </r>
    <r>
      <rPr>
        <sz val="10"/>
        <rFont val="Arial"/>
        <family val="0"/>
        <charset val="1"/>
      </rPr>
      <t xml:space="preserve">COA</t>
    </r>
    <r>
      <rPr>
        <sz val="10"/>
        <rFont val="WenQuanYi Zen Hei"/>
        <family val="2"/>
      </rPr>
      <t xml:space="preserve">等）</t>
    </r>
  </si>
  <si>
    <t xml:space="preserve">API-040</t>
  </si>
  <si>
    <t xml:space="preserve">/api/lots</t>
  </si>
  <si>
    <t xml:space="preserve">ロット検索</t>
  </si>
  <si>
    <t xml:space="preserve">API-041</t>
  </si>
  <si>
    <t xml:space="preserve">/api/lots/{id}</t>
  </si>
  <si>
    <t xml:space="preserve">ロット詳細（在庫・履歴・添付）</t>
  </si>
  <si>
    <t xml:space="preserve">API-042</t>
  </si>
  <si>
    <t xml:space="preserve">/api/lots/{id}/status</t>
  </si>
  <si>
    <t xml:space="preserve">P-15</t>
  </si>
  <si>
    <t xml:space="preserve">API-050</t>
  </si>
  <si>
    <t xml:space="preserve">/api/inventory</t>
  </si>
  <si>
    <t xml:space="preserve">API-051</t>
  </si>
  <si>
    <t xml:space="preserve">/api/stock/transfers</t>
  </si>
  <si>
    <t xml:space="preserve">保管場所間移動</t>
  </si>
  <si>
    <t xml:space="preserve">P-10</t>
  </si>
  <si>
    <t xml:space="preserve">API-052</t>
  </si>
  <si>
    <t xml:space="preserve">/api/stock/adjustments</t>
  </si>
  <si>
    <t xml:space="preserve">棚卸調整・廃棄</t>
  </si>
  <si>
    <t xml:space="preserve">API-055</t>
  </si>
  <si>
    <t xml:space="preserve">/api/stock/supplier-returns</t>
  </si>
  <si>
    <t xml:space="preserve">仕入先返品</t>
  </si>
  <si>
    <t xml:space="preserve">P-17</t>
  </si>
  <si>
    <t xml:space="preserve">API-053</t>
  </si>
  <si>
    <t xml:space="preserve">/api/temperature-logs[/import]</t>
  </si>
  <si>
    <r>
      <rPr>
        <sz val="10"/>
        <rFont val="WenQuanYi Zen Hei"/>
        <family val="2"/>
      </rPr>
      <t xml:space="preserve">温度記録登録・</t>
    </r>
    <r>
      <rPr>
        <sz val="10"/>
        <rFont val="Arial"/>
        <family val="0"/>
        <charset val="1"/>
      </rPr>
      <t xml:space="preserve">CSV</t>
    </r>
    <r>
      <rPr>
        <sz val="10"/>
        <rFont val="WenQuanYi Zen Hei"/>
        <family val="2"/>
      </rPr>
      <t xml:space="preserve">取込</t>
    </r>
  </si>
  <si>
    <t xml:space="preserve">ADMIN,WAREHOUSE,QA</t>
  </si>
  <si>
    <t xml:space="preserve">P-09</t>
  </si>
  <si>
    <t xml:space="preserve">API-054</t>
  </si>
  <si>
    <t xml:space="preserve">/api/alerts</t>
  </si>
  <si>
    <t xml:space="preserve">API-060</t>
  </si>
  <si>
    <t xml:space="preserve">/api/sales-orders[/{id}]</t>
  </si>
  <si>
    <t xml:space="preserve">受注検索・登録・更新</t>
  </si>
  <si>
    <t xml:space="preserve">P-03</t>
  </si>
  <si>
    <t xml:space="preserve">API-062</t>
  </si>
  <si>
    <t xml:space="preserve">/api/sales-orders/{id}/close</t>
  </si>
  <si>
    <t xml:space="preserve">受注残数打切り</t>
  </si>
  <si>
    <t xml:space="preserve">API-063</t>
  </si>
  <si>
    <t xml:space="preserve">/api/sales-orders/{id}/credit-approve</t>
  </si>
  <si>
    <r>
      <rPr>
        <sz val="10"/>
        <rFont val="WenQuanYi Zen Hei"/>
        <family val="2"/>
      </rPr>
      <t xml:space="preserve">与信超過の承認（</t>
    </r>
    <r>
      <rPr>
        <sz val="10"/>
        <rFont val="Arial"/>
        <family val="0"/>
        <charset val="1"/>
      </rPr>
      <t xml:space="preserve">CREDIT_PENDING→OPEN</t>
    </r>
    <r>
      <rPr>
        <sz val="10"/>
        <rFont val="WenQuanYi Zen Hei"/>
        <family val="2"/>
      </rPr>
      <t xml:space="preserve">）</t>
    </r>
  </si>
  <si>
    <t xml:space="preserve">API-061</t>
  </si>
  <si>
    <t xml:space="preserve">/api/sales-orders/{id}/cancel</t>
  </si>
  <si>
    <t xml:space="preserve">受注取消</t>
  </si>
  <si>
    <t xml:space="preserve">API-070</t>
  </si>
  <si>
    <t xml:space="preserve">/api/shipments/allocate</t>
  </si>
  <si>
    <r>
      <rPr>
        <sz val="10"/>
        <rFont val="WenQuanYi Zen Hei"/>
        <family val="2"/>
      </rPr>
      <t xml:space="preserve">自動引当（</t>
    </r>
    <r>
      <rPr>
        <sz val="10"/>
        <rFont val="Arial"/>
        <family val="0"/>
        <charset val="1"/>
      </rPr>
      <t xml:space="preserve">FEFO</t>
    </r>
    <r>
      <rPr>
        <sz val="10"/>
        <rFont val="WenQuanYi Zen Hei"/>
        <family val="2"/>
      </rPr>
      <t xml:space="preserve">）</t>
    </r>
  </si>
  <si>
    <t xml:space="preserve">P-04</t>
  </si>
  <si>
    <t xml:space="preserve">API-071</t>
  </si>
  <si>
    <t xml:space="preserve">/api/shipments/{id}/confirm</t>
  </si>
  <si>
    <t xml:space="preserve">出荷確定</t>
  </si>
  <si>
    <t xml:space="preserve">P-05</t>
  </si>
  <si>
    <t xml:space="preserve">API-072</t>
  </si>
  <si>
    <t xml:space="preserve">/api/shipments/{id}/cancel</t>
  </si>
  <si>
    <t xml:space="preserve">引当解除・出荷取消</t>
  </si>
  <si>
    <r>
      <rPr>
        <sz val="10"/>
        <rFont val="Arial"/>
        <family val="0"/>
        <charset val="1"/>
      </rPr>
      <t xml:space="preserve">ADMIN,WAREHOUSE</t>
    </r>
    <r>
      <rPr>
        <sz val="10"/>
        <rFont val="WenQuanYi Zen Hei"/>
        <family val="2"/>
      </rPr>
      <t xml:space="preserve">（確定後は</t>
    </r>
    <r>
      <rPr>
        <sz val="10"/>
        <rFont val="Arial"/>
        <family val="0"/>
        <charset val="1"/>
      </rPr>
      <t xml:space="preserve">ADMIN</t>
    </r>
    <r>
      <rPr>
        <sz val="10"/>
        <rFont val="WenQuanYi Zen Hei"/>
        <family val="2"/>
      </rPr>
      <t xml:space="preserve">のみ）</t>
    </r>
  </si>
  <si>
    <t xml:space="preserve">P-06</t>
  </si>
  <si>
    <t xml:space="preserve">API-074</t>
  </si>
  <si>
    <t xml:space="preserve">PUT</t>
  </si>
  <si>
    <t xml:space="preserve">/api/shipments/{id}/lines</t>
  </si>
  <si>
    <t xml:space="preserve">引当の手動変更（ロット差替え）</t>
  </si>
  <si>
    <t xml:space="preserve">P-13</t>
  </si>
  <si>
    <t xml:space="preserve">API-073</t>
  </si>
  <si>
    <t xml:space="preserve">/api/shipments/{id}/delivery-note</t>
  </si>
  <si>
    <r>
      <rPr>
        <sz val="10"/>
        <rFont val="WenQuanYi Zen Hei"/>
        <family val="2"/>
      </rPr>
      <t xml:space="preserve">納品書</t>
    </r>
    <r>
      <rPr>
        <sz val="10"/>
        <rFont val="Arial"/>
        <family val="0"/>
        <charset val="1"/>
      </rPr>
      <t xml:space="preserve">PDF</t>
    </r>
  </si>
  <si>
    <t xml:space="preserve">ADMIN,WAREHOUSE,SALES</t>
  </si>
  <si>
    <t xml:space="preserve">API-080</t>
  </si>
  <si>
    <t xml:space="preserve">/api/returns</t>
  </si>
  <si>
    <t xml:space="preserve">P-07</t>
  </si>
  <si>
    <t xml:space="preserve">API-081</t>
  </si>
  <si>
    <t xml:space="preserve">/api/returns/{id}/disposition</t>
  </si>
  <si>
    <r>
      <rPr>
        <sz val="10"/>
        <rFont val="WenQuanYi Zen Hei"/>
        <family val="2"/>
      </rPr>
      <t xml:space="preserve">返品</t>
    </r>
    <r>
      <rPr>
        <sz val="10"/>
        <rFont val="Arial"/>
        <family val="0"/>
        <charset val="1"/>
      </rPr>
      <t xml:space="preserve">QA</t>
    </r>
    <r>
      <rPr>
        <sz val="10"/>
        <rFont val="WenQuanYi Zen Hei"/>
        <family val="2"/>
      </rPr>
      <t xml:space="preserve">判定（戻し</t>
    </r>
    <r>
      <rPr>
        <sz val="10"/>
        <rFont val="Arial"/>
        <family val="0"/>
        <charset val="1"/>
      </rPr>
      <t xml:space="preserve">/</t>
    </r>
    <r>
      <rPr>
        <sz val="10"/>
        <rFont val="WenQuanYi Zen Hei"/>
        <family val="2"/>
      </rPr>
      <t xml:space="preserve">廃棄）</t>
    </r>
  </si>
  <si>
    <t xml:space="preserve">API-090</t>
  </si>
  <si>
    <t xml:space="preserve">/api/trace/lots/{lotId}</t>
  </si>
  <si>
    <t xml:space="preserve">API-091</t>
  </si>
  <si>
    <t xml:space="preserve">/api/trace/customers/{customerId}</t>
  </si>
  <si>
    <t xml:space="preserve">API-100</t>
  </si>
  <si>
    <t xml:space="preserve">/api/recalls</t>
  </si>
  <si>
    <t xml:space="preserve">回収案件登録（ロット指定・出荷停止）</t>
  </si>
  <si>
    <t xml:space="preserve">P-08</t>
  </si>
  <si>
    <t xml:space="preserve">API-101</t>
  </si>
  <si>
    <t xml:space="preserve">/api/recalls/{id}/extract-targets</t>
  </si>
  <si>
    <t xml:space="preserve">回収対象顧客抽出・再抽出</t>
  </si>
  <si>
    <t xml:space="preserve">P-18</t>
  </si>
  <si>
    <t xml:space="preserve">API-102</t>
  </si>
  <si>
    <t xml:space="preserve">/api/recalls/{id}/targets/{targetId}</t>
  </si>
  <si>
    <r>
      <rPr>
        <sz val="10"/>
        <rFont val="WenQuanYi Zen Hei"/>
        <family val="2"/>
      </rPr>
      <t xml:space="preserve">回収進捗更新（</t>
    </r>
    <r>
      <rPr>
        <sz val="10"/>
        <rFont val="Arial"/>
        <family val="0"/>
        <charset val="1"/>
      </rPr>
      <t xml:space="preserve">SALES</t>
    </r>
    <r>
      <rPr>
        <sz val="10"/>
        <rFont val="WenQuanYi Zen Hei"/>
        <family val="2"/>
      </rPr>
      <t xml:space="preserve">：連絡情報・</t>
    </r>
    <r>
      <rPr>
        <sz val="10"/>
        <rFont val="Arial"/>
        <family val="0"/>
        <charset val="1"/>
      </rPr>
      <t xml:space="preserve">CONTACTED</t>
    </r>
    <r>
      <rPr>
        <sz val="10"/>
        <rFont val="WenQuanYi Zen Hei"/>
        <family val="2"/>
      </rPr>
      <t xml:space="preserve">／</t>
    </r>
    <r>
      <rPr>
        <sz val="10"/>
        <rFont val="Arial"/>
        <family val="0"/>
        <charset val="1"/>
      </rPr>
      <t xml:space="preserve">QA</t>
    </r>
    <r>
      <rPr>
        <sz val="10"/>
        <rFont val="WenQuanYi Zen Hei"/>
        <family val="2"/>
      </rPr>
      <t xml:space="preserve">：</t>
    </r>
    <r>
      <rPr>
        <sz val="10"/>
        <rFont val="Arial"/>
        <family val="0"/>
        <charset val="1"/>
      </rPr>
      <t xml:space="preserve">CLOSED</t>
    </r>
    <r>
      <rPr>
        <sz val="10"/>
        <rFont val="WenQuanYi Zen Hei"/>
        <family val="2"/>
      </rPr>
      <t xml:space="preserve">・回収不能数量も可）</t>
    </r>
  </si>
  <si>
    <t xml:space="preserve">QA,SALES</t>
  </si>
  <si>
    <t xml:space="preserve">P-19</t>
  </si>
  <si>
    <t xml:space="preserve">API-103</t>
  </si>
  <si>
    <t xml:space="preserve">/api/recalls/{id}/close</t>
  </si>
  <si>
    <t xml:space="preserve">回収完了</t>
  </si>
  <si>
    <t xml:space="preserve">P-14</t>
  </si>
  <si>
    <t xml:space="preserve">API-110</t>
  </si>
  <si>
    <t xml:space="preserve">/api/reports/{reportId}</t>
  </si>
  <si>
    <t xml:space="preserve">RPT-01,RPT-02,RPT-03,RPT-04,RPT-05</t>
  </si>
  <si>
    <t xml:space="preserve">帳票ごとに権限マトリクスに従う</t>
  </si>
  <si>
    <t xml:space="preserve">API-120</t>
  </si>
  <si>
    <t xml:space="preserve">/api/audit-logs</t>
  </si>
  <si>
    <t xml:space="preserve">API-130</t>
  </si>
  <si>
    <t xml:space="preserve">/api/dashboard</t>
  </si>
  <si>
    <r>
      <rPr>
        <i val="true"/>
        <sz val="9"/>
        <color rgb="FF595959"/>
        <rFont val="WenQuanYi Zen Hei"/>
        <family val="2"/>
      </rPr>
      <t xml:space="preserve">特記なき限り各処理は</t>
    </r>
    <r>
      <rPr>
        <i val="true"/>
        <sz val="9"/>
        <color rgb="FF595959"/>
        <rFont val="Arial"/>
        <family val="0"/>
        <charset val="1"/>
      </rPr>
      <t xml:space="preserve">1</t>
    </r>
    <r>
      <rPr>
        <i val="true"/>
        <sz val="9"/>
        <color rgb="FF595959"/>
        <rFont val="WenQuanYi Zen Hei"/>
        <family val="2"/>
      </rPr>
      <t xml:space="preserve">トランザクション。在庫・ロットの更新は </t>
    </r>
    <r>
      <rPr>
        <i val="true"/>
        <sz val="9"/>
        <color rgb="FF595959"/>
        <rFont val="Arial"/>
        <family val="0"/>
        <charset val="1"/>
      </rPr>
      <t xml:space="preserve">SELECT ... FOR UPDATE </t>
    </r>
    <r>
      <rPr>
        <i val="true"/>
        <sz val="9"/>
        <color rgb="FF595959"/>
        <rFont val="WenQuanYi Zen Hei"/>
        <family val="2"/>
      </rPr>
      <t xml:space="preserve">で行ロックし、エラー時は全体ロールバック</t>
    </r>
  </si>
  <si>
    <r>
      <rPr>
        <b val="true"/>
        <sz val="10"/>
        <color rgb="FFFFFFFF"/>
        <rFont val="WenQuanYi Zen Hei"/>
        <family val="2"/>
      </rPr>
      <t xml:space="preserve">処理</t>
    </r>
    <r>
      <rPr>
        <b val="true"/>
        <sz val="10"/>
        <color rgb="FFFFFFFF"/>
        <rFont val="Arial"/>
        <family val="0"/>
        <charset val="1"/>
      </rPr>
      <t xml:space="preserve">ID</t>
    </r>
  </si>
  <si>
    <t xml:space="preserve">処理名</t>
  </si>
  <si>
    <t xml:space="preserve">エラー時メッセージ</t>
  </si>
  <si>
    <t xml:space="preserve">P-00</t>
  </si>
  <si>
    <t xml:space="preserve">共通：排他制御（ロック順序）</t>
  </si>
  <si>
    <r>
      <rPr>
        <sz val="10"/>
        <rFont val="WenQuanYi Zen Hei"/>
        <family val="2"/>
      </rPr>
      <t xml:space="preserve">対象のロット</t>
    </r>
    <r>
      <rPr>
        <sz val="10"/>
        <rFont val="Arial"/>
        <family val="0"/>
        <charset val="1"/>
      </rPr>
      <t xml:space="preserve">ID</t>
    </r>
    <r>
      <rPr>
        <sz val="10"/>
        <rFont val="WenQuanYi Zen Hei"/>
        <family val="2"/>
      </rPr>
      <t xml:space="preserve">・保管場所</t>
    </r>
    <r>
      <rPr>
        <sz val="10"/>
        <rFont val="Arial"/>
        <family val="0"/>
        <charset val="1"/>
      </rPr>
      <t xml:space="preserve">ID</t>
    </r>
    <r>
      <rPr>
        <sz val="10"/>
        <rFont val="WenQuanYi Zen Hei"/>
        <family val="2"/>
      </rPr>
      <t xml:space="preserve">・伝票</t>
    </r>
    <r>
      <rPr>
        <sz val="10"/>
        <rFont val="Arial"/>
        <family val="0"/>
        <charset val="1"/>
      </rPr>
      <t xml:space="preserve">ID</t>
    </r>
    <r>
      <rPr>
        <sz val="10"/>
        <rFont val="WenQuanYi Zen Hei"/>
        <family val="2"/>
      </rPr>
      <t xml:space="preserve">をロックなしで読み取る</t>
    </r>
  </si>
  <si>
    <r>
      <rPr>
        <sz val="10"/>
        <rFont val="Arial"/>
        <family val="0"/>
        <charset val="1"/>
      </rPr>
      <t xml:space="preserve">t_lot </t>
    </r>
    <r>
      <rPr>
        <sz val="10"/>
        <rFont val="WenQuanYi Zen Hei"/>
        <family val="2"/>
      </rPr>
      <t xml:space="preserve">を </t>
    </r>
    <r>
      <rPr>
        <sz val="10"/>
        <rFont val="Arial"/>
        <family val="0"/>
        <charset val="1"/>
      </rPr>
      <t xml:space="preserve">id </t>
    </r>
    <r>
      <rPr>
        <sz val="10"/>
        <rFont val="WenQuanYi Zen Hei"/>
        <family val="2"/>
      </rPr>
      <t xml:space="preserve">昇順で </t>
    </r>
    <r>
      <rPr>
        <sz val="10"/>
        <rFont val="Arial"/>
        <family val="0"/>
        <charset val="1"/>
      </rPr>
      <t xml:space="preserve">FOR UPDATE</t>
    </r>
    <r>
      <rPr>
        <sz val="10"/>
        <rFont val="WenQuanYi Zen Hei"/>
        <family val="2"/>
      </rPr>
      <t xml:space="preserve">（状態を変える処理）または </t>
    </r>
    <r>
      <rPr>
        <sz val="10"/>
        <rFont val="Arial"/>
        <family val="0"/>
        <charset val="1"/>
      </rPr>
      <t xml:space="preserve">FOR SHARE</t>
    </r>
    <r>
      <rPr>
        <sz val="10"/>
        <rFont val="WenQuanYi Zen Hei"/>
        <family val="2"/>
      </rPr>
      <t xml:space="preserve">（状態を参照する処理）</t>
    </r>
  </si>
  <si>
    <r>
      <rPr>
        <sz val="10"/>
        <rFont val="Arial"/>
        <family val="0"/>
        <charset val="1"/>
      </rPr>
      <t xml:space="preserve">t_inventory </t>
    </r>
    <r>
      <rPr>
        <sz val="10"/>
        <rFont val="WenQuanYi Zen Hei"/>
        <family val="2"/>
      </rPr>
      <t xml:space="preserve">を </t>
    </r>
    <r>
      <rPr>
        <sz val="10"/>
        <rFont val="Arial"/>
        <family val="0"/>
        <charset val="1"/>
      </rPr>
      <t xml:space="preserve">(lot_id, location_id) </t>
    </r>
    <r>
      <rPr>
        <sz val="10"/>
        <rFont val="WenQuanYi Zen Hei"/>
        <family val="2"/>
      </rPr>
      <t xml:space="preserve">昇順で </t>
    </r>
    <r>
      <rPr>
        <sz val="10"/>
        <rFont val="Arial"/>
        <family val="0"/>
        <charset val="1"/>
      </rPr>
      <t xml:space="preserve">FOR UPDATE</t>
    </r>
  </si>
  <si>
    <r>
      <rPr>
        <sz val="10"/>
        <rFont val="WenQuanYi Zen Hei"/>
        <family val="2"/>
      </rPr>
      <t xml:space="preserve">伝票（ヘッダ→明細）を </t>
    </r>
    <r>
      <rPr>
        <sz val="10"/>
        <rFont val="Arial"/>
        <family val="0"/>
        <charset val="1"/>
      </rPr>
      <t xml:space="preserve">FOR UPDATE </t>
    </r>
    <r>
      <rPr>
        <sz val="10"/>
        <rFont val="WenQuanYi Zen Hei"/>
        <family val="2"/>
      </rPr>
      <t xml:space="preserve">し、ステータス・</t>
    </r>
    <r>
      <rPr>
        <sz val="10"/>
        <rFont val="Arial"/>
        <family val="0"/>
        <charset val="1"/>
      </rPr>
      <t xml:space="preserve">version </t>
    </r>
    <r>
      <rPr>
        <sz val="10"/>
        <rFont val="WenQuanYi Zen Hei"/>
        <family val="2"/>
      </rPr>
      <t xml:space="preserve">をロック後に再検証（変化していれば </t>
    </r>
    <r>
      <rPr>
        <sz val="10"/>
        <rFont val="Arial"/>
        <family val="0"/>
        <charset val="1"/>
      </rPr>
      <t xml:space="preserve">MSG-E01</t>
    </r>
    <r>
      <rPr>
        <sz val="10"/>
        <rFont val="WenQuanYi Zen Hei"/>
        <family val="2"/>
      </rPr>
      <t xml:space="preserve">）</t>
    </r>
  </si>
  <si>
    <t xml:space="preserve">MSG-E01</t>
  </si>
  <si>
    <r>
      <rPr>
        <sz val="10"/>
        <rFont val="WenQuanYi Zen Hei"/>
        <family val="2"/>
      </rPr>
      <t xml:space="preserve">回収を扱う処理は、伝票の後に </t>
    </r>
    <r>
      <rPr>
        <sz val="10"/>
        <rFont val="Arial"/>
        <family val="0"/>
        <charset val="1"/>
      </rPr>
      <t xml:space="preserve">t_recall FOR UPDATE → t_recall_target </t>
    </r>
    <r>
      <rPr>
        <sz val="10"/>
        <rFont val="WenQuanYi Zen Hei"/>
        <family val="2"/>
      </rPr>
      <t xml:space="preserve">を </t>
    </r>
    <r>
      <rPr>
        <sz val="10"/>
        <rFont val="Arial"/>
        <family val="0"/>
        <charset val="1"/>
      </rPr>
      <t xml:space="preserve">id </t>
    </r>
    <r>
      <rPr>
        <sz val="10"/>
        <rFont val="WenQuanYi Zen Hei"/>
        <family val="2"/>
      </rPr>
      <t xml:space="preserve">昇順で </t>
    </r>
    <r>
      <rPr>
        <sz val="10"/>
        <rFont val="Arial"/>
        <family val="0"/>
        <charset val="1"/>
      </rPr>
      <t xml:space="preserve">FOR UPDATE</t>
    </r>
    <r>
      <rPr>
        <sz val="10"/>
        <rFont val="WenQuanYi Zen Hei"/>
        <family val="2"/>
      </rPr>
      <t xml:space="preserve">（回収案件ヘッダで直列化）</t>
    </r>
  </si>
  <si>
    <t xml:space="preserve">全処理はこの順序（ロット→在庫→伝票→回収）でロックを取得する。以下の各処理の『ロック』はこの手順を指す</t>
  </si>
  <si>
    <r>
      <rPr>
        <sz val="10"/>
        <rFont val="WenQuanYi Zen Hei"/>
        <family val="2"/>
      </rPr>
      <t xml:space="preserve">隔離保管場所からの払出しは必ず出所伝票（</t>
    </r>
    <r>
      <rPr>
        <sz val="10"/>
        <rFont val="Arial"/>
        <family val="0"/>
        <charset val="1"/>
      </rPr>
      <t xml:space="preserve">ref_type=receipt_line</t>
    </r>
    <r>
      <rPr>
        <sz val="10"/>
        <rFont val="WenQuanYi Zen Hei"/>
        <family val="2"/>
      </rPr>
      <t xml:space="preserve">／</t>
    </r>
    <r>
      <rPr>
        <sz val="10"/>
        <rFont val="Arial"/>
        <family val="0"/>
        <charset val="1"/>
      </rPr>
      <t xml:space="preserve">return</t>
    </r>
    <r>
      <rPr>
        <sz val="10"/>
        <rFont val="WenQuanYi Zen Hei"/>
        <family val="2"/>
      </rPr>
      <t xml:space="preserve">）を </t>
    </r>
    <r>
      <rPr>
        <sz val="10"/>
        <rFont val="Arial"/>
        <family val="0"/>
        <charset val="1"/>
      </rPr>
      <t xml:space="preserve">ref </t>
    </r>
    <r>
      <rPr>
        <sz val="10"/>
        <rFont val="WenQuanYi Zen Hei"/>
        <family val="2"/>
      </rPr>
      <t xml:space="preserve">に記録し、払出し可能数＝出所数量−同一 </t>
    </r>
    <r>
      <rPr>
        <sz val="10"/>
        <rFont val="Arial"/>
        <family val="0"/>
        <charset val="1"/>
      </rPr>
      <t xml:space="preserve">ref </t>
    </r>
    <r>
      <rPr>
        <sz val="10"/>
        <rFont val="WenQuanYi Zen Hei"/>
        <family val="2"/>
      </rPr>
      <t xml:space="preserve">での払出し済数量 を上限とする（</t>
    </r>
    <r>
      <rPr>
        <sz val="10"/>
        <rFont val="Arial"/>
        <family val="0"/>
        <charset val="1"/>
      </rPr>
      <t xml:space="preserve">BR-20</t>
    </r>
    <r>
      <rPr>
        <sz val="10"/>
        <rFont val="WenQuanYi Zen Hei"/>
        <family val="2"/>
      </rPr>
      <t xml:space="preserve">）</t>
    </r>
  </si>
  <si>
    <t xml:space="preserve">MSG-E30</t>
  </si>
  <si>
    <t xml:space="preserve">入荷確定</t>
  </si>
  <si>
    <r>
      <rPr>
        <sz val="10"/>
        <rFont val="WenQuanYi Zen Hei"/>
        <family val="2"/>
      </rPr>
      <t xml:space="preserve">ロック（</t>
    </r>
    <r>
      <rPr>
        <sz val="10"/>
        <rFont val="Arial"/>
        <family val="0"/>
        <charset val="1"/>
      </rPr>
      <t xml:space="preserve">P-00</t>
    </r>
    <r>
      <rPr>
        <sz val="10"/>
        <rFont val="WenQuanYi Zen Hei"/>
        <family val="2"/>
      </rPr>
      <t xml:space="preserve">）：既存ロット（仕入先</t>
    </r>
    <r>
      <rPr>
        <sz val="10"/>
        <rFont val="Arial"/>
        <family val="0"/>
        <charset val="1"/>
      </rPr>
      <t xml:space="preserve">,</t>
    </r>
    <r>
      <rPr>
        <sz val="10"/>
        <rFont val="WenQuanYi Zen Hei"/>
        <family val="2"/>
      </rPr>
      <t xml:space="preserve">商品</t>
    </r>
    <r>
      <rPr>
        <sz val="10"/>
        <rFont val="Arial"/>
        <family val="0"/>
        <charset val="1"/>
      </rPr>
      <t xml:space="preserve">,</t>
    </r>
    <r>
      <rPr>
        <sz val="10"/>
        <rFont val="WenQuanYi Zen Hei"/>
        <family val="2"/>
      </rPr>
      <t xml:space="preserve">仕入先ロット番号）→ 在庫 → </t>
    </r>
    <r>
      <rPr>
        <sz val="10"/>
        <rFont val="Arial"/>
        <family val="0"/>
        <charset val="1"/>
      </rPr>
      <t xml:space="preserve">t_receipt</t>
    </r>
    <r>
      <rPr>
        <sz val="10"/>
        <rFont val="WenQuanYi Zen Hei"/>
        <family val="2"/>
      </rPr>
      <t xml:space="preserve">。</t>
    </r>
    <r>
      <rPr>
        <sz val="10"/>
        <rFont val="Arial"/>
        <family val="0"/>
        <charset val="1"/>
      </rPr>
      <t xml:space="preserve">status=DRAFT </t>
    </r>
    <r>
      <rPr>
        <sz val="10"/>
        <rFont val="WenQuanYi Zen Hei"/>
        <family val="2"/>
      </rPr>
      <t xml:space="preserve">を確認</t>
    </r>
  </si>
  <si>
    <r>
      <rPr>
        <sz val="10"/>
        <rFont val="WenQuanYi Zen Hei"/>
        <family val="2"/>
      </rPr>
      <t xml:space="preserve">製造日 </t>
    </r>
    <r>
      <rPr>
        <sz val="10"/>
        <rFont val="Arial"/>
        <family val="0"/>
        <charset val="1"/>
      </rPr>
      <t xml:space="preserve">&lt;= </t>
    </r>
    <r>
      <rPr>
        <sz val="10"/>
        <rFont val="WenQuanYi Zen Hei"/>
        <family val="2"/>
      </rPr>
      <t xml:space="preserve">入荷日 </t>
    </r>
    <r>
      <rPr>
        <sz val="10"/>
        <rFont val="Arial"/>
        <family val="0"/>
        <charset val="1"/>
      </rPr>
      <t xml:space="preserve">&lt;= </t>
    </r>
    <r>
      <rPr>
        <sz val="10"/>
        <rFont val="WenQuanYi Zen Hei"/>
        <family val="2"/>
      </rPr>
      <t xml:space="preserve">当日、使用期限 </t>
    </r>
    <r>
      <rPr>
        <sz val="10"/>
        <rFont val="Arial"/>
        <family val="0"/>
        <charset val="1"/>
      </rPr>
      <t xml:space="preserve">&gt; </t>
    </r>
    <r>
      <rPr>
        <sz val="10"/>
        <rFont val="WenQuanYi Zen Hei"/>
        <family val="2"/>
      </rPr>
      <t xml:space="preserve">入荷日 を検証</t>
    </r>
  </si>
  <si>
    <t xml:space="preserve">MSG-E06,MSG-E22</t>
  </si>
  <si>
    <r>
      <rPr>
        <sz val="10"/>
        <rFont val="WenQuanYi Zen Hei"/>
        <family val="2"/>
      </rPr>
      <t xml:space="preserve">既存ロットの状態で分岐（</t>
    </r>
    <r>
      <rPr>
        <sz val="10"/>
        <rFont val="Arial"/>
        <family val="0"/>
        <charset val="1"/>
      </rPr>
      <t xml:space="preserve">BR-15</t>
    </r>
    <r>
      <rPr>
        <sz val="10"/>
        <rFont val="WenQuanYi Zen Hei"/>
        <family val="2"/>
      </rPr>
      <t xml:space="preserve">）：なし→社内ロット番号を採番し </t>
    </r>
    <r>
      <rPr>
        <sz val="10"/>
        <rFont val="Arial"/>
        <family val="0"/>
        <charset val="1"/>
      </rPr>
      <t xml:space="preserve">INSERT</t>
    </r>
    <r>
      <rPr>
        <sz val="10"/>
        <rFont val="WenQuanYi Zen Hei"/>
        <family val="2"/>
      </rPr>
      <t xml:space="preserve">（</t>
    </r>
    <r>
      <rPr>
        <sz val="10"/>
        <rFont val="Arial"/>
        <family val="0"/>
        <charset val="1"/>
      </rPr>
      <t xml:space="preserve">QUARANTINE</t>
    </r>
    <r>
      <rPr>
        <sz val="10"/>
        <rFont val="WenQuanYi Zen Hei"/>
        <family val="2"/>
      </rPr>
      <t xml:space="preserve">、</t>
    </r>
    <r>
      <rPr>
        <sz val="10"/>
        <rFont val="Arial"/>
        <family val="0"/>
        <charset val="1"/>
      </rPr>
      <t xml:space="preserve">received_on=</t>
    </r>
    <r>
      <rPr>
        <sz val="10"/>
        <rFont val="WenQuanYi Zen Hei"/>
        <family val="2"/>
      </rPr>
      <t xml:space="preserve">入荷日）／</t>
    </r>
    <r>
      <rPr>
        <sz val="10"/>
        <rFont val="Arial"/>
        <family val="0"/>
        <charset val="1"/>
      </rPr>
      <t xml:space="preserve">QUARANTINE→</t>
    </r>
    <r>
      <rPr>
        <sz val="10"/>
        <rFont val="WenQuanYi Zen Hei"/>
        <family val="2"/>
      </rPr>
      <t xml:space="preserve">加算／</t>
    </r>
    <r>
      <rPr>
        <sz val="10"/>
        <rFont val="Arial"/>
        <family val="0"/>
        <charset val="1"/>
      </rPr>
      <t xml:space="preserve">VOID→QUARANTINE </t>
    </r>
    <r>
      <rPr>
        <sz val="10"/>
        <rFont val="WenQuanYi Zen Hei"/>
        <family val="2"/>
      </rPr>
      <t xml:space="preserve">に戻す／</t>
    </r>
    <r>
      <rPr>
        <sz val="10"/>
        <rFont val="Arial"/>
        <family val="0"/>
        <charset val="1"/>
      </rPr>
      <t xml:space="preserve">RELEASED</t>
    </r>
    <r>
      <rPr>
        <sz val="10"/>
        <rFont val="WenQuanYi Zen Hei"/>
        <family val="2"/>
      </rPr>
      <t xml:space="preserve">・</t>
    </r>
    <r>
      <rPr>
        <sz val="10"/>
        <rFont val="Arial"/>
        <family val="0"/>
        <charset val="1"/>
      </rPr>
      <t xml:space="preserve">HOLD→</t>
    </r>
    <r>
      <rPr>
        <sz val="10"/>
        <rFont val="WenQuanYi Zen Hei"/>
        <family val="2"/>
      </rPr>
      <t xml:space="preserve">分納（隔離保管場所へ入庫）／</t>
    </r>
    <r>
      <rPr>
        <sz val="10"/>
        <rFont val="Arial"/>
        <family val="0"/>
        <charset val="1"/>
      </rPr>
      <t xml:space="preserve">REJECTED</t>
    </r>
    <r>
      <rPr>
        <sz val="10"/>
        <rFont val="WenQuanYi Zen Hei"/>
        <family val="2"/>
      </rPr>
      <t xml:space="preserve">・</t>
    </r>
    <r>
      <rPr>
        <sz val="10"/>
        <rFont val="Arial"/>
        <family val="0"/>
        <charset val="1"/>
      </rPr>
      <t xml:space="preserve">RECALLED</t>
    </r>
    <r>
      <rPr>
        <sz val="10"/>
        <rFont val="WenQuanYi Zen Hei"/>
        <family val="2"/>
      </rPr>
      <t xml:space="preserve">・</t>
    </r>
    <r>
      <rPr>
        <sz val="10"/>
        <rFont val="Arial"/>
        <family val="0"/>
        <charset val="1"/>
      </rPr>
      <t xml:space="preserve">EXPIRED→</t>
    </r>
    <r>
      <rPr>
        <sz val="10"/>
        <rFont val="WenQuanYi Zen Hei"/>
        <family val="2"/>
      </rPr>
      <t xml:space="preserve">エラー。既存ありの場合は使用期限一致を検証</t>
    </r>
  </si>
  <si>
    <t xml:space="preserve">MSG-E05,MSG-E25</t>
  </si>
  <si>
    <r>
      <rPr>
        <sz val="10"/>
        <rFont val="WenQuanYi Zen Hei"/>
        <family val="2"/>
      </rPr>
      <t xml:space="preserve">入庫先を検証（</t>
    </r>
    <r>
      <rPr>
        <sz val="10"/>
        <rFont val="Arial"/>
        <family val="0"/>
        <charset val="1"/>
      </rPr>
      <t xml:space="preserve">BR-06</t>
    </r>
    <r>
      <rPr>
        <sz val="10"/>
        <rFont val="WenQuanYi Zen Hei"/>
        <family val="2"/>
      </rPr>
      <t xml:space="preserve">）：温度区分一致。通常は </t>
    </r>
    <r>
      <rPr>
        <sz val="10"/>
        <rFont val="Arial"/>
        <family val="0"/>
        <charset val="1"/>
      </rPr>
      <t xml:space="preserve">is_quarantine=false</t>
    </r>
    <r>
      <rPr>
        <sz val="10"/>
        <rFont val="WenQuanYi Zen Hei"/>
        <family val="2"/>
      </rPr>
      <t xml:space="preserve">、分納（</t>
    </r>
    <r>
      <rPr>
        <sz val="10"/>
        <rFont val="Arial"/>
        <family val="0"/>
        <charset val="1"/>
      </rPr>
      <t xml:space="preserve">RELEASED/HOLD</t>
    </r>
    <r>
      <rPr>
        <sz val="10"/>
        <rFont val="WenQuanYi Zen Hei"/>
        <family val="2"/>
      </rPr>
      <t xml:space="preserve">）は </t>
    </r>
    <r>
      <rPr>
        <sz val="10"/>
        <rFont val="Arial"/>
        <family val="0"/>
        <charset val="1"/>
      </rPr>
      <t xml:space="preserve">is_quarantine=true</t>
    </r>
  </si>
  <si>
    <t xml:space="preserve">MSG-E07</t>
  </si>
  <si>
    <r>
      <rPr>
        <sz val="10"/>
        <rFont val="Arial"/>
        <family val="0"/>
        <charset val="1"/>
      </rPr>
      <t xml:space="preserve">t_receipt_line.lot_id </t>
    </r>
    <r>
      <rPr>
        <sz val="10"/>
        <rFont val="WenQuanYi Zen Hei"/>
        <family val="2"/>
      </rPr>
      <t xml:space="preserve">を設定。</t>
    </r>
    <r>
      <rPr>
        <sz val="10"/>
        <rFont val="Arial"/>
        <family val="0"/>
        <charset val="1"/>
      </rPr>
      <t xml:space="preserve">t_lot.unit_cost </t>
    </r>
    <r>
      <rPr>
        <sz val="10"/>
        <rFont val="WenQuanYi Zen Hei"/>
        <family val="2"/>
      </rPr>
      <t xml:space="preserve">を移動平均で更新：</t>
    </r>
    <r>
      <rPr>
        <sz val="10"/>
        <rFont val="Arial"/>
        <family val="0"/>
        <charset val="1"/>
      </rPr>
      <t xml:space="preserve">(</t>
    </r>
    <r>
      <rPr>
        <sz val="10"/>
        <rFont val="WenQuanYi Zen Hei"/>
        <family val="2"/>
      </rPr>
      <t xml:space="preserve">全保管場所の現在庫</t>
    </r>
    <r>
      <rPr>
        <sz val="10"/>
        <rFont val="Arial"/>
        <family val="0"/>
        <charset val="1"/>
      </rPr>
      <t xml:space="preserve">×</t>
    </r>
    <r>
      <rPr>
        <sz val="10"/>
        <rFont val="WenQuanYi Zen Hei"/>
        <family val="2"/>
      </rPr>
      <t xml:space="preserve">現原価＋入荷数量</t>
    </r>
    <r>
      <rPr>
        <sz val="10"/>
        <rFont val="Arial"/>
        <family val="0"/>
        <charset val="1"/>
      </rPr>
      <t xml:space="preserve">×</t>
    </r>
    <r>
      <rPr>
        <sz val="10"/>
        <rFont val="WenQuanYi Zen Hei"/>
        <family val="2"/>
      </rPr>
      <t xml:space="preserve">仕入単価</t>
    </r>
    <r>
      <rPr>
        <sz val="10"/>
        <rFont val="Arial"/>
        <family val="0"/>
        <charset val="1"/>
      </rPr>
      <t xml:space="preserve">)÷(</t>
    </r>
    <r>
      <rPr>
        <sz val="10"/>
        <rFont val="WenQuanYi Zen Hei"/>
        <family val="2"/>
      </rPr>
      <t xml:space="preserve">現在庫＋入荷数量</t>
    </r>
    <r>
      <rPr>
        <sz val="10"/>
        <rFont val="Arial"/>
        <family val="0"/>
        <charset val="1"/>
      </rPr>
      <t xml:space="preserve">)</t>
    </r>
  </si>
  <si>
    <r>
      <rPr>
        <sz val="10"/>
        <rFont val="Arial"/>
        <family val="0"/>
        <charset val="1"/>
      </rPr>
      <t xml:space="preserve">t_stock_movement </t>
    </r>
    <r>
      <rPr>
        <sz val="10"/>
        <rFont val="WenQuanYi Zen Hei"/>
        <family val="2"/>
      </rPr>
      <t xml:space="preserve">に </t>
    </r>
    <r>
      <rPr>
        <sz val="10"/>
        <rFont val="Arial"/>
        <family val="0"/>
        <charset val="1"/>
      </rPr>
      <t xml:space="preserve">RECEIPT(+</t>
    </r>
    <r>
      <rPr>
        <sz val="10"/>
        <rFont val="WenQuanYi Zen Hei"/>
        <family val="2"/>
      </rPr>
      <t xml:space="preserve">数量</t>
    </r>
    <r>
      <rPr>
        <sz val="10"/>
        <rFont val="Arial"/>
        <family val="0"/>
        <charset val="1"/>
      </rPr>
      <t xml:space="preserve">) </t>
    </r>
    <r>
      <rPr>
        <sz val="10"/>
        <rFont val="WenQuanYi Zen Hei"/>
        <family val="2"/>
      </rPr>
      <t xml:space="preserve">を </t>
    </r>
    <r>
      <rPr>
        <sz val="10"/>
        <rFont val="Arial"/>
        <family val="0"/>
        <charset val="1"/>
      </rPr>
      <t xml:space="preserve">INSERT</t>
    </r>
    <r>
      <rPr>
        <sz val="10"/>
        <rFont val="WenQuanYi Zen Hei"/>
        <family val="2"/>
      </rPr>
      <t xml:space="preserve">、</t>
    </r>
    <r>
      <rPr>
        <sz val="10"/>
        <rFont val="Arial"/>
        <family val="0"/>
        <charset val="1"/>
      </rPr>
      <t xml:space="preserve">t_inventory </t>
    </r>
    <r>
      <rPr>
        <sz val="10"/>
        <rFont val="WenQuanYi Zen Hei"/>
        <family val="2"/>
      </rPr>
      <t xml:space="preserve">を加算（</t>
    </r>
    <r>
      <rPr>
        <sz val="10"/>
        <rFont val="Arial"/>
        <family val="0"/>
        <charset val="1"/>
      </rPr>
      <t xml:space="preserve">BR-02</t>
    </r>
    <r>
      <rPr>
        <sz val="10"/>
        <rFont val="WenQuanYi Zen Hei"/>
        <family val="2"/>
      </rPr>
      <t xml:space="preserve">）。状態変更時は </t>
    </r>
    <r>
      <rPr>
        <sz val="10"/>
        <rFont val="Arial"/>
        <family val="0"/>
        <charset val="1"/>
      </rPr>
      <t xml:space="preserve">t_lot_status_history </t>
    </r>
    <r>
      <rPr>
        <sz val="10"/>
        <rFont val="WenQuanYi Zen Hei"/>
        <family val="2"/>
      </rPr>
      <t xml:space="preserve">を </t>
    </r>
    <r>
      <rPr>
        <sz val="10"/>
        <rFont val="Arial"/>
        <family val="0"/>
        <charset val="1"/>
      </rPr>
      <t xml:space="preserve">INSERT</t>
    </r>
  </si>
  <si>
    <r>
      <rPr>
        <sz val="10"/>
        <rFont val="WenQuanYi Zen Hei"/>
        <family val="2"/>
      </rPr>
      <t xml:space="preserve">発注引当時は </t>
    </r>
    <r>
      <rPr>
        <sz val="10"/>
        <rFont val="Arial"/>
        <family val="0"/>
        <charset val="1"/>
      </rPr>
      <t xml:space="preserve">t_purchase_order_line.received_qty </t>
    </r>
    <r>
      <rPr>
        <sz val="10"/>
        <rFont val="WenQuanYi Zen Hei"/>
        <family val="2"/>
      </rPr>
      <t xml:space="preserve">を加算し、発注ステータスを </t>
    </r>
    <r>
      <rPr>
        <sz val="10"/>
        <rFont val="Arial"/>
        <family val="0"/>
        <charset val="1"/>
      </rPr>
      <t xml:space="preserve">PARTIAL/RECEIVED </t>
    </r>
    <r>
      <rPr>
        <sz val="10"/>
        <rFont val="WenQuanYi Zen Hei"/>
        <family val="2"/>
      </rPr>
      <t xml:space="preserve">に更新</t>
    </r>
  </si>
  <si>
    <r>
      <rPr>
        <sz val="10"/>
        <rFont val="Arial"/>
        <family val="0"/>
        <charset val="1"/>
      </rPr>
      <t xml:space="preserve">t_receipt.status=CONFIRMED</t>
    </r>
    <r>
      <rPr>
        <sz val="10"/>
        <rFont val="WenQuanYi Zen Hei"/>
        <family val="2"/>
      </rPr>
      <t xml:space="preserve">、監査ログ記録、コミット。到着時温度が範囲外なら </t>
    </r>
    <r>
      <rPr>
        <sz val="10"/>
        <rFont val="Arial"/>
        <family val="0"/>
        <charset val="1"/>
      </rPr>
      <t xml:space="preserve">QA </t>
    </r>
    <r>
      <rPr>
        <sz val="10"/>
        <rFont val="WenQuanYi Zen Hei"/>
        <family val="2"/>
      </rPr>
      <t xml:space="preserve">へ通知（分納分は </t>
    </r>
    <r>
      <rPr>
        <sz val="10"/>
        <rFont val="Arial"/>
        <family val="0"/>
        <charset val="1"/>
      </rPr>
      <t xml:space="preserve">P-16 </t>
    </r>
    <r>
      <rPr>
        <sz val="10"/>
        <rFont val="WenQuanYi Zen Hei"/>
        <family val="2"/>
      </rPr>
      <t xml:space="preserve">で判定）</t>
    </r>
  </si>
  <si>
    <t xml:space="preserve">MSG-W01</t>
  </si>
  <si>
    <r>
      <rPr>
        <sz val="10"/>
        <rFont val="WenQuanYi Zen Hei"/>
        <family val="2"/>
      </rPr>
      <t xml:space="preserve">ロック（</t>
    </r>
    <r>
      <rPr>
        <sz val="10"/>
        <rFont val="Arial"/>
        <family val="0"/>
        <charset val="1"/>
      </rPr>
      <t xml:space="preserve">P-00</t>
    </r>
    <r>
      <rPr>
        <sz val="10"/>
        <rFont val="WenQuanYi Zen Hei"/>
        <family val="2"/>
      </rPr>
      <t xml:space="preserve">）：</t>
    </r>
    <r>
      <rPr>
        <sz val="10"/>
        <rFont val="Arial"/>
        <family val="0"/>
        <charset val="1"/>
      </rPr>
      <t xml:space="preserve">t_lot FOR UPDATE</t>
    </r>
    <r>
      <rPr>
        <sz val="10"/>
        <rFont val="WenQuanYi Zen Hei"/>
        <family val="2"/>
      </rPr>
      <t xml:space="preserve">。</t>
    </r>
    <r>
      <rPr>
        <sz val="10"/>
        <rFont val="Arial"/>
        <family val="0"/>
        <charset val="1"/>
      </rPr>
      <t xml:space="preserve">status=QUARANTINE </t>
    </r>
    <r>
      <rPr>
        <sz val="10"/>
        <rFont val="WenQuanYi Zen Hei"/>
        <family val="2"/>
      </rPr>
      <t xml:space="preserve">を確認</t>
    </r>
  </si>
  <si>
    <r>
      <rPr>
        <sz val="10"/>
        <rFont val="WenQuanYi Zen Hei"/>
        <family val="2"/>
      </rPr>
      <t xml:space="preserve">判定</t>
    </r>
    <r>
      <rPr>
        <sz val="10"/>
        <rFont val="Arial"/>
        <family val="0"/>
        <charset val="1"/>
      </rPr>
      <t xml:space="preserve">=</t>
    </r>
    <r>
      <rPr>
        <sz val="10"/>
        <rFont val="WenQuanYi Zen Hei"/>
        <family val="2"/>
      </rPr>
      <t xml:space="preserve">合格の場合、</t>
    </r>
    <r>
      <rPr>
        <sz val="10"/>
        <rFont val="Arial"/>
        <family val="0"/>
        <charset val="1"/>
      </rPr>
      <t xml:space="preserve">doc_type=COA </t>
    </r>
    <r>
      <rPr>
        <sz val="10"/>
        <rFont val="WenQuanYi Zen Hei"/>
        <family val="2"/>
      </rPr>
      <t xml:space="preserve">の添付が</t>
    </r>
    <r>
      <rPr>
        <sz val="10"/>
        <rFont val="Arial"/>
        <family val="0"/>
        <charset val="1"/>
      </rPr>
      <t xml:space="preserve">1</t>
    </r>
    <r>
      <rPr>
        <sz val="10"/>
        <rFont val="WenQuanYi Zen Hei"/>
        <family val="2"/>
      </rPr>
      <t xml:space="preserve">件以上あることを検証（</t>
    </r>
    <r>
      <rPr>
        <sz val="10"/>
        <rFont val="Arial"/>
        <family val="0"/>
        <charset val="1"/>
      </rPr>
      <t xml:space="preserve">BR-08</t>
    </r>
    <r>
      <rPr>
        <sz val="10"/>
        <rFont val="WenQuanYi Zen Hei"/>
        <family val="2"/>
      </rPr>
      <t xml:space="preserve">）</t>
    </r>
  </si>
  <si>
    <t xml:space="preserve">MSG-E08</t>
  </si>
  <si>
    <r>
      <rPr>
        <sz val="10"/>
        <rFont val="WenQuanYi Zen Hei"/>
        <family val="2"/>
      </rPr>
      <t xml:space="preserve">判定</t>
    </r>
    <r>
      <rPr>
        <sz val="10"/>
        <rFont val="Arial"/>
        <family val="0"/>
        <charset val="1"/>
      </rPr>
      <t xml:space="preserve">=</t>
    </r>
    <r>
      <rPr>
        <sz val="10"/>
        <rFont val="WenQuanYi Zen Hei"/>
        <family val="2"/>
      </rPr>
      <t xml:space="preserve">不合格</t>
    </r>
    <r>
      <rPr>
        <sz val="10"/>
        <rFont val="Arial"/>
        <family val="0"/>
        <charset val="1"/>
      </rPr>
      <t xml:space="preserve">/</t>
    </r>
    <r>
      <rPr>
        <sz val="10"/>
        <rFont val="WenQuanYi Zen Hei"/>
        <family val="2"/>
      </rPr>
      <t xml:space="preserve">保留の場合、理由必須</t>
    </r>
  </si>
  <si>
    <r>
      <rPr>
        <sz val="10"/>
        <rFont val="WenQuanYi Zen Hei"/>
        <family val="2"/>
      </rPr>
      <t xml:space="preserve">温度逸脱履歴（温度記録</t>
    </r>
    <r>
      <rPr>
        <sz val="10"/>
        <rFont val="Arial"/>
        <family val="0"/>
        <charset val="1"/>
      </rPr>
      <t xml:space="preserve">ID</t>
    </r>
    <r>
      <rPr>
        <sz val="10"/>
        <rFont val="WenQuanYi Zen Hei"/>
        <family val="2"/>
      </rPr>
      <t xml:space="preserve">付きのステータス履歴）がある場合は警告表示し、合格時は確認チェックを必須とする</t>
    </r>
  </si>
  <si>
    <t xml:space="preserve">MSG-W06</t>
  </si>
  <si>
    <r>
      <rPr>
        <sz val="10"/>
        <rFont val="Arial"/>
        <family val="0"/>
        <charset val="1"/>
      </rPr>
      <t xml:space="preserve">status</t>
    </r>
    <r>
      <rPr>
        <sz val="10"/>
        <rFont val="WenQuanYi Zen Hei"/>
        <family val="2"/>
      </rPr>
      <t xml:space="preserve">・</t>
    </r>
    <r>
      <rPr>
        <sz val="10"/>
        <rFont val="Arial"/>
        <family val="0"/>
        <charset val="1"/>
      </rPr>
      <t xml:space="preserve">status_reason</t>
    </r>
    <r>
      <rPr>
        <sz val="10"/>
        <rFont val="WenQuanYi Zen Hei"/>
        <family val="2"/>
      </rPr>
      <t xml:space="preserve">・</t>
    </r>
    <r>
      <rPr>
        <sz val="10"/>
        <rFont val="Arial"/>
        <family val="0"/>
        <charset val="1"/>
      </rPr>
      <t xml:space="preserve">inspected_by/at </t>
    </r>
    <r>
      <rPr>
        <sz val="10"/>
        <rFont val="WenQuanYi Zen Hei"/>
        <family val="2"/>
      </rPr>
      <t xml:space="preserve">を更新し、</t>
    </r>
    <r>
      <rPr>
        <sz val="10"/>
        <rFont val="Arial"/>
        <family val="0"/>
        <charset val="1"/>
      </rPr>
      <t xml:space="preserve">t_lot_status_history </t>
    </r>
    <r>
      <rPr>
        <sz val="10"/>
        <rFont val="WenQuanYi Zen Hei"/>
        <family val="2"/>
      </rPr>
      <t xml:space="preserve">を </t>
    </r>
    <r>
      <rPr>
        <sz val="10"/>
        <rFont val="Arial"/>
        <family val="0"/>
        <charset val="1"/>
      </rPr>
      <t xml:space="preserve">INSERT</t>
    </r>
    <r>
      <rPr>
        <sz val="10"/>
        <rFont val="WenQuanYi Zen Hei"/>
        <family val="2"/>
      </rPr>
      <t xml:space="preserve">。監査ログ（</t>
    </r>
    <r>
      <rPr>
        <sz val="10"/>
        <rFont val="Arial"/>
        <family val="0"/>
        <charset val="1"/>
      </rPr>
      <t xml:space="preserve">action=STATUS</t>
    </r>
    <r>
      <rPr>
        <sz val="10"/>
        <rFont val="WenQuanYi Zen Hei"/>
        <family val="2"/>
      </rPr>
      <t xml:space="preserve">）記録</t>
    </r>
  </si>
  <si>
    <t xml:space="preserve">受注登録・変更</t>
  </si>
  <si>
    <r>
      <rPr>
        <sz val="10"/>
        <rFont val="WenQuanYi Zen Hei"/>
        <family val="2"/>
      </rPr>
      <t xml:space="preserve">変更・取消・打切り時はロック（</t>
    </r>
    <r>
      <rPr>
        <sz val="10"/>
        <rFont val="Arial"/>
        <family val="0"/>
        <charset val="1"/>
      </rPr>
      <t xml:space="preserve">P-00</t>
    </r>
    <r>
      <rPr>
        <sz val="10"/>
        <rFont val="WenQuanYi Zen Hei"/>
        <family val="2"/>
      </rPr>
      <t xml:space="preserve">）：</t>
    </r>
    <r>
      <rPr>
        <sz val="10"/>
        <rFont val="Arial"/>
        <family val="0"/>
        <charset val="1"/>
      </rPr>
      <t xml:space="preserve">t_sales_order FOR UPDATE</t>
    </r>
    <r>
      <rPr>
        <sz val="10"/>
        <rFont val="WenQuanYi Zen Hei"/>
        <family val="2"/>
      </rPr>
      <t xml:space="preserve">（伝票）し </t>
    </r>
    <r>
      <rPr>
        <sz val="10"/>
        <rFont val="Arial"/>
        <family val="0"/>
        <charset val="1"/>
      </rPr>
      <t xml:space="preserve">version </t>
    </r>
    <r>
      <rPr>
        <sz val="10"/>
        <rFont val="WenQuanYi Zen Hei"/>
        <family val="2"/>
      </rPr>
      <t xml:space="preserve">を検証。顧客が有効、納品先</t>
    </r>
    <r>
      <rPr>
        <sz val="10"/>
        <rFont val="Arial"/>
        <family val="0"/>
        <charset val="1"/>
      </rPr>
      <t xml:space="preserve">.</t>
    </r>
    <r>
      <rPr>
        <sz val="10"/>
        <rFont val="WenQuanYi Zen Hei"/>
        <family val="2"/>
      </rPr>
      <t xml:space="preserve">顧客</t>
    </r>
    <r>
      <rPr>
        <sz val="10"/>
        <rFont val="Arial"/>
        <family val="0"/>
        <charset val="1"/>
      </rPr>
      <t xml:space="preserve">ID</t>
    </r>
    <r>
      <rPr>
        <sz val="10"/>
        <rFont val="WenQuanYi Zen Hei"/>
        <family val="2"/>
      </rPr>
      <t xml:space="preserve">＝顧客</t>
    </r>
    <r>
      <rPr>
        <sz val="10"/>
        <rFont val="Arial"/>
        <family val="0"/>
        <charset val="1"/>
      </rPr>
      <t xml:space="preserve">ID </t>
    </r>
    <r>
      <rPr>
        <sz val="10"/>
        <rFont val="WenQuanYi Zen Hei"/>
        <family val="2"/>
      </rPr>
      <t xml:space="preserve">かつ納品先が有効であることを検証</t>
    </r>
  </si>
  <si>
    <t xml:space="preserve">MSG-E11,MSG-E01</t>
  </si>
  <si>
    <r>
      <rPr>
        <sz val="10"/>
        <rFont val="WenQuanYi Zen Hei"/>
        <family val="2"/>
      </rPr>
      <t xml:space="preserve">各明細について </t>
    </r>
    <r>
      <rPr>
        <sz val="10"/>
        <rFont val="Arial"/>
        <family val="0"/>
        <charset val="1"/>
      </rPr>
      <t xml:space="preserve">m_sales_rule(</t>
    </r>
    <r>
      <rPr>
        <sz val="10"/>
        <rFont val="WenQuanYi Zen Hei"/>
        <family val="2"/>
      </rPr>
      <t xml:space="preserve">商品</t>
    </r>
    <r>
      <rPr>
        <sz val="10"/>
        <rFont val="Arial"/>
        <family val="0"/>
        <charset val="1"/>
      </rPr>
      <t xml:space="preserve">.</t>
    </r>
    <r>
      <rPr>
        <sz val="10"/>
        <rFont val="WenQuanYi Zen Hei"/>
        <family val="2"/>
      </rPr>
      <t xml:space="preserve">規制区分</t>
    </r>
    <r>
      <rPr>
        <sz val="10"/>
        <rFont val="Arial"/>
        <family val="0"/>
        <charset val="1"/>
      </rPr>
      <t xml:space="preserve">, </t>
    </r>
    <r>
      <rPr>
        <sz val="10"/>
        <rFont val="WenQuanYi Zen Hei"/>
        <family val="2"/>
      </rPr>
      <t xml:space="preserve">顧客</t>
    </r>
    <r>
      <rPr>
        <sz val="10"/>
        <rFont val="Arial"/>
        <family val="0"/>
        <charset val="1"/>
      </rPr>
      <t xml:space="preserve">.</t>
    </r>
    <r>
      <rPr>
        <sz val="10"/>
        <rFont val="WenQuanYi Zen Hei"/>
        <family val="2"/>
      </rPr>
      <t xml:space="preserve">顧客区分</t>
    </r>
    <r>
      <rPr>
        <sz val="10"/>
        <rFont val="Arial"/>
        <family val="0"/>
        <charset val="1"/>
      </rPr>
      <t xml:space="preserve">).allowed=true </t>
    </r>
    <r>
      <rPr>
        <sz val="10"/>
        <rFont val="WenQuanYi Zen Hei"/>
        <family val="2"/>
      </rPr>
      <t xml:space="preserve">を検証（</t>
    </r>
    <r>
      <rPr>
        <sz val="10"/>
        <rFont val="Arial"/>
        <family val="0"/>
        <charset val="1"/>
      </rPr>
      <t xml:space="preserve">BR-09</t>
    </r>
    <r>
      <rPr>
        <sz val="10"/>
        <rFont val="WenQuanYi Zen Hei"/>
        <family val="2"/>
      </rPr>
      <t xml:space="preserve">）</t>
    </r>
  </si>
  <si>
    <t xml:space="preserve">MSG-E10</t>
  </si>
  <si>
    <r>
      <rPr>
        <sz val="10"/>
        <rFont val="WenQuanYi Zen Hei"/>
        <family val="2"/>
      </rPr>
      <t xml:space="preserve">与信チェック（</t>
    </r>
    <r>
      <rPr>
        <sz val="10"/>
        <rFont val="Arial"/>
        <family val="0"/>
        <charset val="1"/>
      </rPr>
      <t xml:space="preserve">BR-11</t>
    </r>
    <r>
      <rPr>
        <sz val="10"/>
        <rFont val="WenQuanYi Zen Hei"/>
        <family val="2"/>
      </rPr>
      <t xml:space="preserve">）。超過時は警告し、</t>
    </r>
    <r>
      <rPr>
        <sz val="10"/>
        <rFont val="Arial"/>
        <family val="0"/>
        <charset val="1"/>
      </rPr>
      <t xml:space="preserve">status=CREDIT_PENDING </t>
    </r>
    <r>
      <rPr>
        <sz val="10"/>
        <rFont val="WenQuanYi Zen Hei"/>
        <family val="2"/>
      </rPr>
      <t xml:space="preserve">で登録（引当不可）。</t>
    </r>
    <r>
      <rPr>
        <sz val="10"/>
        <rFont val="Arial"/>
        <family val="0"/>
        <charset val="1"/>
      </rPr>
      <t xml:space="preserve">ADMIN </t>
    </r>
    <r>
      <rPr>
        <sz val="10"/>
        <rFont val="WenQuanYi Zen Hei"/>
        <family val="2"/>
      </rPr>
      <t xml:space="preserve">が </t>
    </r>
    <r>
      <rPr>
        <sz val="10"/>
        <rFont val="Arial"/>
        <family val="0"/>
        <charset val="1"/>
      </rPr>
      <t xml:space="preserve">API-063 </t>
    </r>
    <r>
      <rPr>
        <sz val="10"/>
        <rFont val="WenQuanYi Zen Hei"/>
        <family val="2"/>
      </rPr>
      <t xml:space="preserve">で承認すると </t>
    </r>
    <r>
      <rPr>
        <sz val="10"/>
        <rFont val="Arial"/>
        <family val="0"/>
        <charset val="1"/>
      </rPr>
      <t xml:space="preserve">OPEN</t>
    </r>
  </si>
  <si>
    <t xml:space="preserve">MSG-W03</t>
  </si>
  <si>
    <r>
      <rPr>
        <sz val="10"/>
        <rFont val="WenQuanYi Zen Hei"/>
        <family val="2"/>
      </rPr>
      <t xml:space="preserve">新規：受注番号を採番し </t>
    </r>
    <r>
      <rPr>
        <sz val="10"/>
        <rFont val="Arial"/>
        <family val="0"/>
        <charset val="1"/>
      </rPr>
      <t xml:space="preserve">INSERT</t>
    </r>
    <r>
      <rPr>
        <sz val="10"/>
        <rFont val="WenQuanYi Zen Hei"/>
        <family val="2"/>
      </rPr>
      <t xml:space="preserve">（</t>
    </r>
    <r>
      <rPr>
        <sz val="10"/>
        <rFont val="Arial"/>
        <family val="0"/>
        <charset val="1"/>
      </rPr>
      <t xml:space="preserve">status=OPEN </t>
    </r>
    <r>
      <rPr>
        <sz val="10"/>
        <rFont val="WenQuanYi Zen Hei"/>
        <family val="2"/>
      </rPr>
      <t xml:space="preserve">または </t>
    </r>
    <r>
      <rPr>
        <sz val="10"/>
        <rFont val="Arial"/>
        <family val="0"/>
        <charset val="1"/>
      </rPr>
      <t xml:space="preserve">CREDIT_PENDING</t>
    </r>
    <r>
      <rPr>
        <sz val="10"/>
        <rFont val="WenQuanYi Zen Hei"/>
        <family val="2"/>
      </rPr>
      <t xml:space="preserve">）。在庫の引当はこの時点では行わない</t>
    </r>
  </si>
  <si>
    <r>
      <rPr>
        <sz val="10"/>
        <rFont val="WenQuanYi Zen Hei"/>
        <family val="2"/>
      </rPr>
      <t xml:space="preserve">変更・取消：</t>
    </r>
    <r>
      <rPr>
        <sz val="10"/>
        <rFont val="Arial"/>
        <family val="0"/>
        <charset val="1"/>
      </rPr>
      <t xml:space="preserve">ALLOCATED </t>
    </r>
    <r>
      <rPr>
        <sz val="10"/>
        <rFont val="WenQuanYi Zen Hei"/>
        <family val="2"/>
      </rPr>
      <t xml:space="preserve">の出荷明細がある明細の商品・数量変更および取消は不可（先に引当解除）。数量は出荷済数量未満にできない。変更で与信を再判定し、超過時は </t>
    </r>
    <r>
      <rPr>
        <sz val="10"/>
        <rFont val="Arial"/>
        <family val="0"/>
        <charset val="1"/>
      </rPr>
      <t xml:space="preserve">ALLOCATED </t>
    </r>
    <r>
      <rPr>
        <sz val="10"/>
        <rFont val="WenQuanYi Zen Hei"/>
        <family val="2"/>
      </rPr>
      <t xml:space="preserve">の出荷がなければ </t>
    </r>
    <r>
      <rPr>
        <sz val="10"/>
        <rFont val="Arial"/>
        <family val="0"/>
        <charset val="1"/>
      </rPr>
      <t xml:space="preserve">CREDIT_PENDING </t>
    </r>
    <r>
      <rPr>
        <sz val="10"/>
        <rFont val="WenQuanYi Zen Hei"/>
        <family val="2"/>
      </rPr>
      <t xml:space="preserve">へ、あればエラー</t>
    </r>
  </si>
  <si>
    <t xml:space="preserve">MSG-E19,MSG-E31</t>
  </si>
  <si>
    <r>
      <rPr>
        <sz val="10"/>
        <rFont val="WenQuanYi Zen Hei"/>
        <family val="2"/>
      </rPr>
      <t xml:space="preserve">受注 </t>
    </r>
    <r>
      <rPr>
        <sz val="10"/>
        <rFont val="Arial"/>
        <family val="0"/>
        <charset val="1"/>
      </rPr>
      <t xml:space="preserve">status=OPEN/PARTIAL </t>
    </r>
    <r>
      <rPr>
        <sz val="10"/>
        <rFont val="WenQuanYi Zen Hei"/>
        <family val="2"/>
      </rPr>
      <t xml:space="preserve">を確認。明細ごとに 残数量＝受注数量−出荷済数量−引当中数量 を算出。引当中数量＝当該受注明細の </t>
    </r>
    <r>
      <rPr>
        <sz val="10"/>
        <rFont val="Arial"/>
        <family val="0"/>
        <charset val="1"/>
      </rPr>
      <t xml:space="preserve">t_shipment_line(status=ALLOCATED).quantity </t>
    </r>
    <r>
      <rPr>
        <sz val="10"/>
        <rFont val="WenQuanYi Zen Hei"/>
        <family val="2"/>
      </rPr>
      <t xml:space="preserve">の合計</t>
    </r>
  </si>
  <si>
    <r>
      <rPr>
        <sz val="10"/>
        <rFont val="WenQuanYi Zen Hei"/>
        <family val="2"/>
      </rPr>
      <t xml:space="preserve">候補在庫を抽出（</t>
    </r>
    <r>
      <rPr>
        <sz val="10"/>
        <rFont val="Arial"/>
        <family val="0"/>
        <charset val="1"/>
      </rPr>
      <t xml:space="preserve">BR-04</t>
    </r>
    <r>
      <rPr>
        <sz val="10"/>
        <rFont val="WenQuanYi Zen Hei"/>
        <family val="2"/>
      </rPr>
      <t xml:space="preserve">）：</t>
    </r>
    <r>
      <rPr>
        <sz val="10"/>
        <rFont val="Arial"/>
        <family val="0"/>
        <charset val="1"/>
      </rPr>
      <t xml:space="preserve">lot.status=RELEASED AND lot.product_id=</t>
    </r>
    <r>
      <rPr>
        <sz val="10"/>
        <rFont val="WenQuanYi Zen Hei"/>
        <family val="2"/>
      </rPr>
      <t xml:space="preserve">明細</t>
    </r>
    <r>
      <rPr>
        <sz val="10"/>
        <rFont val="Arial"/>
        <family val="0"/>
        <charset val="1"/>
      </rPr>
      <t xml:space="preserve">.</t>
    </r>
    <r>
      <rPr>
        <sz val="10"/>
        <rFont val="WenQuanYi Zen Hei"/>
        <family val="2"/>
      </rPr>
      <t xml:space="preserve">商品 </t>
    </r>
    <r>
      <rPr>
        <sz val="10"/>
        <rFont val="Arial"/>
        <family val="0"/>
        <charset val="1"/>
      </rPr>
      <t xml:space="preserve">AND lot.expires_on − </t>
    </r>
    <r>
      <rPr>
        <sz val="10"/>
        <rFont val="WenQuanYi Zen Hei"/>
        <family val="2"/>
      </rPr>
      <t xml:space="preserve">出荷日 </t>
    </r>
    <r>
      <rPr>
        <sz val="10"/>
        <rFont val="Arial"/>
        <family val="0"/>
        <charset val="1"/>
      </rPr>
      <t xml:space="preserve">&gt;= </t>
    </r>
    <r>
      <rPr>
        <sz val="10"/>
        <rFont val="WenQuanYi Zen Hei"/>
        <family val="2"/>
      </rPr>
      <t xml:space="preserve">商品</t>
    </r>
    <r>
      <rPr>
        <sz val="10"/>
        <rFont val="Arial"/>
        <family val="0"/>
        <charset val="1"/>
      </rPr>
      <t xml:space="preserve">.min_remaining_days AND location.is_quarantine=false AND (on_hand_qty − allocated_qty) &gt; 0</t>
    </r>
  </si>
  <si>
    <r>
      <rPr>
        <sz val="10"/>
        <rFont val="WenQuanYi Zen Hei"/>
        <family val="2"/>
      </rPr>
      <t xml:space="preserve">候補を </t>
    </r>
    <r>
      <rPr>
        <sz val="10"/>
        <rFont val="Arial"/>
        <family val="0"/>
        <charset val="1"/>
      </rPr>
      <t xml:space="preserve">expires_on ASC, lot.received_on ASC, location_id ASC </t>
    </r>
    <r>
      <rPr>
        <sz val="10"/>
        <rFont val="WenQuanYi Zen Hei"/>
        <family val="2"/>
      </rPr>
      <t xml:space="preserve">で並べ（</t>
    </r>
    <r>
      <rPr>
        <sz val="10"/>
        <rFont val="Arial"/>
        <family val="0"/>
        <charset val="1"/>
      </rPr>
      <t xml:space="preserve">BR-05</t>
    </r>
    <r>
      <rPr>
        <sz val="10"/>
        <rFont val="WenQuanYi Zen Hei"/>
        <family val="2"/>
      </rPr>
      <t xml:space="preserve">）、残数量を満たすまで順に割当（複数ロット分割可）</t>
    </r>
  </si>
  <si>
    <r>
      <rPr>
        <sz val="10"/>
        <rFont val="WenQuanYi Zen Hei"/>
        <family val="2"/>
      </rPr>
      <t xml:space="preserve">ロック（</t>
    </r>
    <r>
      <rPr>
        <sz val="10"/>
        <rFont val="Arial"/>
        <family val="0"/>
        <charset val="1"/>
      </rPr>
      <t xml:space="preserve">P-00</t>
    </r>
    <r>
      <rPr>
        <sz val="10"/>
        <rFont val="WenQuanYi Zen Hei"/>
        <family val="2"/>
      </rPr>
      <t xml:space="preserve">）：候補ロット </t>
    </r>
    <r>
      <rPr>
        <sz val="10"/>
        <rFont val="Arial"/>
        <family val="0"/>
        <charset val="1"/>
      </rPr>
      <t xml:space="preserve">FOR SHARE → </t>
    </r>
    <r>
      <rPr>
        <sz val="10"/>
        <rFont val="WenQuanYi Zen Hei"/>
        <family val="2"/>
      </rPr>
      <t xml:space="preserve">在庫 </t>
    </r>
    <r>
      <rPr>
        <sz val="10"/>
        <rFont val="Arial"/>
        <family val="0"/>
        <charset val="1"/>
      </rPr>
      <t xml:space="preserve">FOR UPDATE → </t>
    </r>
    <r>
      <rPr>
        <sz val="10"/>
        <rFont val="WenQuanYi Zen Hei"/>
        <family val="2"/>
      </rPr>
      <t xml:space="preserve">受注。ロック後に </t>
    </r>
    <r>
      <rPr>
        <sz val="10"/>
        <rFont val="Arial"/>
        <family val="0"/>
        <charset val="1"/>
      </rPr>
      <t xml:space="preserve">status=RELEASED </t>
    </r>
    <r>
      <rPr>
        <sz val="10"/>
        <rFont val="WenQuanYi Zen Hei"/>
        <family val="2"/>
      </rPr>
      <t xml:space="preserve">と引当可能数を再検証し、</t>
    </r>
    <r>
      <rPr>
        <sz val="10"/>
        <rFont val="Arial"/>
        <family val="0"/>
        <charset val="1"/>
      </rPr>
      <t xml:space="preserve">allocated_qty </t>
    </r>
    <r>
      <rPr>
        <sz val="10"/>
        <rFont val="WenQuanYi Zen Hei"/>
        <family val="2"/>
      </rPr>
      <t xml:space="preserve">を加算、</t>
    </r>
    <r>
      <rPr>
        <sz val="10"/>
        <rFont val="Arial"/>
        <family val="0"/>
        <charset val="1"/>
      </rPr>
      <t xml:space="preserve">t_shipment(ALLOCATED)/t_shipment_line(ALLOCATED) </t>
    </r>
    <r>
      <rPr>
        <sz val="10"/>
        <rFont val="WenQuanYi Zen Hei"/>
        <family val="2"/>
      </rPr>
      <t xml:space="preserve">を </t>
    </r>
    <r>
      <rPr>
        <sz val="10"/>
        <rFont val="Arial"/>
        <family val="0"/>
        <charset val="1"/>
      </rPr>
      <t xml:space="preserve">INSERT</t>
    </r>
  </si>
  <si>
    <t xml:space="preserve">MSG-E12</t>
  </si>
  <si>
    <t xml:space="preserve">残数量を満たせない場合は引当できた分のみ作成し、不足数量を画面に表示</t>
  </si>
  <si>
    <t xml:space="preserve">MSG-W04</t>
  </si>
  <si>
    <r>
      <rPr>
        <sz val="10"/>
        <rFont val="WenQuanYi Zen Hei"/>
        <family val="2"/>
      </rPr>
      <t xml:space="preserve">ロック（</t>
    </r>
    <r>
      <rPr>
        <sz val="10"/>
        <rFont val="Arial"/>
        <family val="0"/>
        <charset val="1"/>
      </rPr>
      <t xml:space="preserve">P-00</t>
    </r>
    <r>
      <rPr>
        <sz val="10"/>
        <rFont val="WenQuanYi Zen Hei"/>
        <family val="2"/>
      </rPr>
      <t xml:space="preserve">）：対象ロット </t>
    </r>
    <r>
      <rPr>
        <sz val="10"/>
        <rFont val="Arial"/>
        <family val="0"/>
        <charset val="1"/>
      </rPr>
      <t xml:space="preserve">FOR SHARE → </t>
    </r>
    <r>
      <rPr>
        <sz val="10"/>
        <rFont val="WenQuanYi Zen Hei"/>
        <family val="2"/>
      </rPr>
      <t xml:space="preserve">在庫 </t>
    </r>
    <r>
      <rPr>
        <sz val="10"/>
        <rFont val="Arial"/>
        <family val="0"/>
        <charset val="1"/>
      </rPr>
      <t xml:space="preserve">FOR UPDATE → </t>
    </r>
    <r>
      <rPr>
        <sz val="10"/>
        <rFont val="WenQuanYi Zen Hei"/>
        <family val="2"/>
      </rPr>
      <t xml:space="preserve">受注 → </t>
    </r>
    <r>
      <rPr>
        <sz val="10"/>
        <rFont val="Arial"/>
        <family val="0"/>
        <charset val="1"/>
      </rPr>
      <t xml:space="preserve">t_shipment</t>
    </r>
    <r>
      <rPr>
        <sz val="10"/>
        <rFont val="WenQuanYi Zen Hei"/>
        <family val="2"/>
      </rPr>
      <t xml:space="preserve">・明細 </t>
    </r>
    <r>
      <rPr>
        <sz val="10"/>
        <rFont val="Arial"/>
        <family val="0"/>
        <charset val="1"/>
      </rPr>
      <t xml:space="preserve">FOR UPDATE</t>
    </r>
    <r>
      <rPr>
        <sz val="10"/>
        <rFont val="WenQuanYi Zen Hei"/>
        <family val="2"/>
      </rPr>
      <t xml:space="preserve">。出荷 </t>
    </r>
    <r>
      <rPr>
        <sz val="10"/>
        <rFont val="Arial"/>
        <family val="0"/>
        <charset val="1"/>
      </rPr>
      <t xml:space="preserve">status=ALLOCATED</t>
    </r>
    <r>
      <rPr>
        <sz val="10"/>
        <rFont val="WenQuanYi Zen Hei"/>
        <family val="2"/>
      </rPr>
      <t xml:space="preserve">、受注 </t>
    </r>
    <r>
      <rPr>
        <sz val="10"/>
        <rFont val="Arial"/>
        <family val="0"/>
        <charset val="1"/>
      </rPr>
      <t xml:space="preserve">status=OPEN/PARTIAL </t>
    </r>
    <r>
      <rPr>
        <sz val="10"/>
        <rFont val="WenQuanYi Zen Hei"/>
        <family val="2"/>
      </rPr>
      <t xml:space="preserve">を確認</t>
    </r>
  </si>
  <si>
    <r>
      <rPr>
        <sz val="10"/>
        <rFont val="Arial"/>
        <family val="0"/>
        <charset val="1"/>
      </rPr>
      <t xml:space="preserve">ALLOCATED </t>
    </r>
    <r>
      <rPr>
        <sz val="10"/>
        <rFont val="WenQuanYi Zen Hei"/>
        <family val="2"/>
      </rPr>
      <t xml:space="preserve">の各明細を再検証：ロット</t>
    </r>
    <r>
      <rPr>
        <sz val="10"/>
        <rFont val="Arial"/>
        <family val="0"/>
        <charset val="1"/>
      </rPr>
      <t xml:space="preserve">ID</t>
    </r>
    <r>
      <rPr>
        <sz val="10"/>
        <rFont val="WenQuanYi Zen Hei"/>
        <family val="2"/>
      </rPr>
      <t xml:space="preserve">必須・商品一致（</t>
    </r>
    <r>
      <rPr>
        <sz val="10"/>
        <rFont val="Arial"/>
        <family val="0"/>
        <charset val="1"/>
      </rPr>
      <t xml:space="preserve">BR-01</t>
    </r>
    <r>
      <rPr>
        <sz val="10"/>
        <rFont val="WenQuanYi Zen Hei"/>
        <family val="2"/>
      </rPr>
      <t xml:space="preserve">）、</t>
    </r>
    <r>
      <rPr>
        <sz val="10"/>
        <rFont val="Arial"/>
        <family val="0"/>
        <charset val="1"/>
      </rPr>
      <t xml:space="preserve">status=RELEASED</t>
    </r>
    <r>
      <rPr>
        <sz val="10"/>
        <rFont val="WenQuanYi Zen Hei"/>
        <family val="2"/>
      </rPr>
      <t xml:space="preserve">、残期間条件（</t>
    </r>
    <r>
      <rPr>
        <sz val="10"/>
        <rFont val="Arial"/>
        <family val="0"/>
        <charset val="1"/>
      </rPr>
      <t xml:space="preserve">BR-04</t>
    </r>
    <r>
      <rPr>
        <sz val="10"/>
        <rFont val="WenQuanYi Zen Hei"/>
        <family val="2"/>
      </rPr>
      <t xml:space="preserve">）、顧客・納品先が有効、販売可否ルール（</t>
    </r>
    <r>
      <rPr>
        <sz val="10"/>
        <rFont val="Arial"/>
        <family val="0"/>
        <charset val="1"/>
      </rPr>
      <t xml:space="preserve">BR-09</t>
    </r>
    <r>
      <rPr>
        <sz val="10"/>
        <rFont val="WenQuanYi Zen Hei"/>
        <family val="2"/>
      </rPr>
      <t xml:space="preserve">）</t>
    </r>
  </si>
  <si>
    <t xml:space="preserve">MSG-E13,MSG-E10,MSG-E11</t>
  </si>
  <si>
    <r>
      <rPr>
        <sz val="10"/>
        <rFont val="Arial"/>
        <family val="0"/>
        <charset val="1"/>
      </rPr>
      <t xml:space="preserve">t_inventory</t>
    </r>
    <r>
      <rPr>
        <sz val="10"/>
        <rFont val="WenQuanYi Zen Hei"/>
        <family val="2"/>
      </rPr>
      <t xml:space="preserve">：</t>
    </r>
    <r>
      <rPr>
        <sz val="10"/>
        <rFont val="Arial"/>
        <family val="0"/>
        <charset val="1"/>
      </rPr>
      <t xml:space="preserve">on_hand_qty −= </t>
    </r>
    <r>
      <rPr>
        <sz val="10"/>
        <rFont val="WenQuanYi Zen Hei"/>
        <family val="2"/>
      </rPr>
      <t xml:space="preserve">数量、</t>
    </r>
    <r>
      <rPr>
        <sz val="10"/>
        <rFont val="Arial"/>
        <family val="0"/>
        <charset val="1"/>
      </rPr>
      <t xml:space="preserve">allocated_qty −= </t>
    </r>
    <r>
      <rPr>
        <sz val="10"/>
        <rFont val="WenQuanYi Zen Hei"/>
        <family val="2"/>
      </rPr>
      <t xml:space="preserve">数量（負数になる場合はエラー）</t>
    </r>
  </si>
  <si>
    <r>
      <rPr>
        <sz val="10"/>
        <rFont val="Arial"/>
        <family val="0"/>
        <charset val="1"/>
      </rPr>
      <t xml:space="preserve">t_stock_movement </t>
    </r>
    <r>
      <rPr>
        <sz val="10"/>
        <rFont val="WenQuanYi Zen Hei"/>
        <family val="2"/>
      </rPr>
      <t xml:space="preserve">に </t>
    </r>
    <r>
      <rPr>
        <sz val="10"/>
        <rFont val="Arial"/>
        <family val="0"/>
        <charset val="1"/>
      </rPr>
      <t xml:space="preserve">SHIPMENT(−</t>
    </r>
    <r>
      <rPr>
        <sz val="10"/>
        <rFont val="WenQuanYi Zen Hei"/>
        <family val="2"/>
      </rPr>
      <t xml:space="preserve">数量</t>
    </r>
    <r>
      <rPr>
        <sz val="10"/>
        <rFont val="Arial"/>
        <family val="0"/>
        <charset val="1"/>
      </rPr>
      <t xml:space="preserve">, ref=shipment_line) </t>
    </r>
    <r>
      <rPr>
        <sz val="10"/>
        <rFont val="WenQuanYi Zen Hei"/>
        <family val="2"/>
      </rPr>
      <t xml:space="preserve">を </t>
    </r>
    <r>
      <rPr>
        <sz val="10"/>
        <rFont val="Arial"/>
        <family val="0"/>
        <charset val="1"/>
      </rPr>
      <t xml:space="preserve">INSERT</t>
    </r>
    <r>
      <rPr>
        <sz val="10"/>
        <rFont val="WenQuanYi Zen Hei"/>
        <family val="2"/>
      </rPr>
      <t xml:space="preserve">（</t>
    </r>
    <r>
      <rPr>
        <sz val="10"/>
        <rFont val="Arial"/>
        <family val="0"/>
        <charset val="1"/>
      </rPr>
      <t xml:space="preserve">BR-02</t>
    </r>
    <r>
      <rPr>
        <sz val="10"/>
        <rFont val="WenQuanYi Zen Hei"/>
        <family val="2"/>
      </rPr>
      <t xml:space="preserve">：在庫更新は必ず移動履歴と同一トランザクション）</t>
    </r>
  </si>
  <si>
    <r>
      <rPr>
        <sz val="10"/>
        <rFont val="Arial"/>
        <family val="0"/>
        <charset val="1"/>
      </rPr>
      <t xml:space="preserve">unit_cost </t>
    </r>
    <r>
      <rPr>
        <sz val="10"/>
        <rFont val="WenQuanYi Zen Hei"/>
        <family val="2"/>
      </rPr>
      <t xml:space="preserve">に </t>
    </r>
    <r>
      <rPr>
        <sz val="10"/>
        <rFont val="Arial"/>
        <family val="0"/>
        <charset val="1"/>
      </rPr>
      <t xml:space="preserve">t_lot.unit_cost </t>
    </r>
    <r>
      <rPr>
        <sz val="10"/>
        <rFont val="WenQuanYi Zen Hei"/>
        <family val="2"/>
      </rPr>
      <t xml:space="preserve">を設定。明細 </t>
    </r>
    <r>
      <rPr>
        <sz val="10"/>
        <rFont val="Arial"/>
        <family val="0"/>
        <charset val="1"/>
      </rPr>
      <t xml:space="preserve">status=SHIPPED</t>
    </r>
  </si>
  <si>
    <r>
      <rPr>
        <sz val="10"/>
        <rFont val="Arial"/>
        <family val="0"/>
        <charset val="1"/>
      </rPr>
      <t xml:space="preserve">t_sales_order_line.shipped_qty </t>
    </r>
    <r>
      <rPr>
        <sz val="10"/>
        <rFont val="WenQuanYi Zen Hei"/>
        <family val="2"/>
      </rPr>
      <t xml:space="preserve">を加算し受注ステータスを </t>
    </r>
    <r>
      <rPr>
        <sz val="10"/>
        <rFont val="Arial"/>
        <family val="0"/>
        <charset val="1"/>
      </rPr>
      <t xml:space="preserve">PARTIAL/SHIPPED </t>
    </r>
    <r>
      <rPr>
        <sz val="10"/>
        <rFont val="WenQuanYi Zen Hei"/>
        <family val="2"/>
      </rPr>
      <t xml:space="preserve">に更新</t>
    </r>
  </si>
  <si>
    <t xml:space="preserve">MSG-E23</t>
  </si>
  <si>
    <r>
      <rPr>
        <sz val="10"/>
        <rFont val="Arial"/>
        <family val="0"/>
        <charset val="1"/>
      </rPr>
      <t xml:space="preserve">t_shipment.status=SHIPPED</t>
    </r>
    <r>
      <rPr>
        <sz val="10"/>
        <rFont val="WenQuanYi Zen Hei"/>
        <family val="2"/>
      </rPr>
      <t xml:space="preserve">、監査ログ記録、コミット</t>
    </r>
  </si>
  <si>
    <t xml:space="preserve">出荷取消</t>
  </si>
  <si>
    <r>
      <rPr>
        <sz val="10"/>
        <rFont val="WenQuanYi Zen Hei"/>
        <family val="2"/>
      </rPr>
      <t xml:space="preserve">ロック（</t>
    </r>
    <r>
      <rPr>
        <sz val="10"/>
        <rFont val="Arial"/>
        <family val="0"/>
        <charset val="1"/>
      </rPr>
      <t xml:space="preserve">P-00</t>
    </r>
    <r>
      <rPr>
        <sz val="10"/>
        <rFont val="WenQuanYi Zen Hei"/>
        <family val="2"/>
      </rPr>
      <t xml:space="preserve">）：対象ロット </t>
    </r>
    <r>
      <rPr>
        <sz val="10"/>
        <rFont val="Arial"/>
        <family val="0"/>
        <charset val="1"/>
      </rPr>
      <t xml:space="preserve">FOR SHARE → </t>
    </r>
    <r>
      <rPr>
        <sz val="10"/>
        <rFont val="WenQuanYi Zen Hei"/>
        <family val="2"/>
      </rPr>
      <t xml:space="preserve">在庫 → </t>
    </r>
    <r>
      <rPr>
        <sz val="10"/>
        <rFont val="Arial"/>
        <family val="0"/>
        <charset val="1"/>
      </rPr>
      <t xml:space="preserve">t_shipment</t>
    </r>
    <r>
      <rPr>
        <sz val="10"/>
        <rFont val="WenQuanYi Zen Hei"/>
        <family val="2"/>
      </rPr>
      <t xml:space="preserve">・明細。</t>
    </r>
    <r>
      <rPr>
        <sz val="10"/>
        <rFont val="Arial"/>
        <family val="0"/>
        <charset val="1"/>
      </rPr>
      <t xml:space="preserve">status=ALLOCATED</t>
    </r>
    <r>
      <rPr>
        <sz val="10"/>
        <rFont val="WenQuanYi Zen Hei"/>
        <family val="2"/>
      </rPr>
      <t xml:space="preserve">：</t>
    </r>
    <r>
      <rPr>
        <sz val="10"/>
        <rFont val="Arial"/>
        <family val="0"/>
        <charset val="1"/>
      </rPr>
      <t xml:space="preserve">status=ALLOCATED </t>
    </r>
    <r>
      <rPr>
        <sz val="10"/>
        <rFont val="WenQuanYi Zen Hei"/>
        <family val="2"/>
      </rPr>
      <t xml:space="preserve">の明細のみ </t>
    </r>
    <r>
      <rPr>
        <sz val="10"/>
        <rFont val="Arial"/>
        <family val="0"/>
        <charset val="1"/>
      </rPr>
      <t xml:space="preserve">allocated_qty </t>
    </r>
    <r>
      <rPr>
        <sz val="10"/>
        <rFont val="WenQuanYi Zen Hei"/>
        <family val="2"/>
      </rPr>
      <t xml:space="preserve">を減算し </t>
    </r>
    <r>
      <rPr>
        <sz val="10"/>
        <rFont val="Arial"/>
        <family val="0"/>
        <charset val="1"/>
      </rPr>
      <t xml:space="preserve">CANCELLED</t>
    </r>
    <r>
      <rPr>
        <sz val="10"/>
        <rFont val="WenQuanYi Zen Hei"/>
        <family val="2"/>
      </rPr>
      <t xml:space="preserve">、ヘッダも </t>
    </r>
    <r>
      <rPr>
        <sz val="10"/>
        <rFont val="Arial"/>
        <family val="0"/>
        <charset val="1"/>
      </rPr>
      <t xml:space="preserve">CANCELLED</t>
    </r>
    <r>
      <rPr>
        <sz val="10"/>
        <rFont val="WenQuanYi Zen Hei"/>
        <family val="2"/>
      </rPr>
      <t xml:space="preserve">（在庫移動なし）</t>
    </r>
  </si>
  <si>
    <r>
      <rPr>
        <sz val="10"/>
        <rFont val="Arial"/>
        <family val="0"/>
        <charset val="1"/>
      </rPr>
      <t xml:space="preserve">status=SHIPPED</t>
    </r>
    <r>
      <rPr>
        <sz val="10"/>
        <rFont val="WenQuanYi Zen Hei"/>
        <family val="2"/>
      </rPr>
      <t xml:space="preserve">：</t>
    </r>
    <r>
      <rPr>
        <sz val="10"/>
        <rFont val="Arial"/>
        <family val="0"/>
        <charset val="1"/>
      </rPr>
      <t xml:space="preserve">ADMIN</t>
    </r>
    <r>
      <rPr>
        <sz val="10"/>
        <rFont val="WenQuanYi Zen Hei"/>
        <family val="2"/>
      </rPr>
      <t xml:space="preserve">のみ。返品がある明細を含む場合はエラー</t>
    </r>
  </si>
  <si>
    <t xml:space="preserve">MSG-E14</t>
  </si>
  <si>
    <r>
      <rPr>
        <sz val="10"/>
        <rFont val="Arial"/>
        <family val="0"/>
        <charset val="1"/>
      </rPr>
      <t xml:space="preserve">status=SHIPPED </t>
    </r>
    <r>
      <rPr>
        <sz val="10"/>
        <rFont val="WenQuanYi Zen Hei"/>
        <family val="2"/>
      </rPr>
      <t xml:space="preserve">の明細のみ </t>
    </r>
    <r>
      <rPr>
        <sz val="10"/>
        <rFont val="Arial"/>
        <family val="0"/>
        <charset val="1"/>
      </rPr>
      <t xml:space="preserve">CANCEL(+</t>
    </r>
    <r>
      <rPr>
        <sz val="10"/>
        <rFont val="WenQuanYi Zen Hei"/>
        <family val="2"/>
      </rPr>
      <t xml:space="preserve">数量</t>
    </r>
    <r>
      <rPr>
        <sz val="10"/>
        <rFont val="Arial"/>
        <family val="0"/>
        <charset val="1"/>
      </rPr>
      <t xml:space="preserve">) </t>
    </r>
    <r>
      <rPr>
        <sz val="10"/>
        <rFont val="WenQuanYi Zen Hei"/>
        <family val="2"/>
      </rPr>
      <t xml:space="preserve">の在庫移動を </t>
    </r>
    <r>
      <rPr>
        <sz val="10"/>
        <rFont val="Arial"/>
        <family val="0"/>
        <charset val="1"/>
      </rPr>
      <t xml:space="preserve">INSERT</t>
    </r>
    <r>
      <rPr>
        <sz val="10"/>
        <rFont val="WenQuanYi Zen Hei"/>
        <family val="2"/>
      </rPr>
      <t xml:space="preserve">、</t>
    </r>
    <r>
      <rPr>
        <sz val="10"/>
        <rFont val="Arial"/>
        <family val="0"/>
        <charset val="1"/>
      </rPr>
      <t xml:space="preserve">on_hand_qty </t>
    </r>
    <r>
      <rPr>
        <sz val="10"/>
        <rFont val="WenQuanYi Zen Hei"/>
        <family val="2"/>
      </rPr>
      <t xml:space="preserve">加算、受注の出荷済数量を減算し受注ステータスを再判定</t>
    </r>
  </si>
  <si>
    <r>
      <rPr>
        <sz val="10"/>
        <rFont val="WenQuanYi Zen Hei"/>
        <family val="2"/>
      </rPr>
      <t xml:space="preserve">出荷明細は削除しない（</t>
    </r>
    <r>
      <rPr>
        <sz val="10"/>
        <rFont val="Arial"/>
        <family val="0"/>
        <charset val="1"/>
      </rPr>
      <t xml:space="preserve">BR-03</t>
    </r>
    <r>
      <rPr>
        <sz val="10"/>
        <rFont val="WenQuanYi Zen Hei"/>
        <family val="2"/>
      </rPr>
      <t xml:space="preserve">）。明細・ヘッダ </t>
    </r>
    <r>
      <rPr>
        <sz val="10"/>
        <rFont val="Arial"/>
        <family val="0"/>
        <charset val="1"/>
      </rPr>
      <t xml:space="preserve">status=CANCELLED </t>
    </r>
    <r>
      <rPr>
        <sz val="10"/>
        <rFont val="WenQuanYi Zen Hei"/>
        <family val="2"/>
      </rPr>
      <t xml:space="preserve">とし、トレース画面（</t>
    </r>
    <r>
      <rPr>
        <sz val="10"/>
        <rFont val="Arial"/>
        <family val="0"/>
        <charset val="1"/>
      </rPr>
      <t xml:space="preserve">SQL-01</t>
    </r>
    <r>
      <rPr>
        <sz val="10"/>
        <rFont val="WenQuanYi Zen Hei"/>
        <family val="2"/>
      </rPr>
      <t xml:space="preserve">）では取消済として区別表示</t>
    </r>
  </si>
  <si>
    <r>
      <rPr>
        <sz val="10"/>
        <rFont val="WenQuanYi Zen Hei"/>
        <family val="2"/>
      </rPr>
      <t xml:space="preserve">対象ロットが未完了の回収案件に含まれる場合、</t>
    </r>
    <r>
      <rPr>
        <sz val="10"/>
        <rFont val="Arial"/>
        <family val="0"/>
        <charset val="1"/>
      </rPr>
      <t xml:space="preserve">P-18 </t>
    </r>
    <r>
      <rPr>
        <sz val="10"/>
        <rFont val="WenQuanYi Zen Hei"/>
        <family val="2"/>
      </rPr>
      <t xml:space="preserve">を再実行して回収対象を更新</t>
    </r>
  </si>
  <si>
    <t xml:space="preserve">返品登録・判定</t>
  </si>
  <si>
    <r>
      <rPr>
        <sz val="10"/>
        <rFont val="WenQuanYi Zen Hei"/>
        <family val="2"/>
      </rPr>
      <t xml:space="preserve">ロック（</t>
    </r>
    <r>
      <rPr>
        <sz val="10"/>
        <rFont val="Arial"/>
        <family val="0"/>
        <charset val="1"/>
      </rPr>
      <t xml:space="preserve">P-00</t>
    </r>
    <r>
      <rPr>
        <sz val="10"/>
        <rFont val="WenQuanYi Zen Hei"/>
        <family val="2"/>
      </rPr>
      <t xml:space="preserve">）：ロット </t>
    </r>
    <r>
      <rPr>
        <sz val="10"/>
        <rFont val="Arial"/>
        <family val="0"/>
        <charset val="1"/>
      </rPr>
      <t xml:space="preserve">FOR SHARE → </t>
    </r>
    <r>
      <rPr>
        <sz val="10"/>
        <rFont val="WenQuanYi Zen Hei"/>
        <family val="2"/>
      </rPr>
      <t xml:space="preserve">在庫 → 元出荷明細 </t>
    </r>
    <r>
      <rPr>
        <sz val="10"/>
        <rFont val="Arial"/>
        <family val="0"/>
        <charset val="1"/>
      </rPr>
      <t xml:space="preserve">FOR UPDATE →</t>
    </r>
    <r>
      <rPr>
        <sz val="10"/>
        <rFont val="WenQuanYi Zen Hei"/>
        <family val="2"/>
      </rPr>
      <t xml:space="preserve">（回収品は）回収案件・回収対象。返品数量 </t>
    </r>
    <r>
      <rPr>
        <sz val="10"/>
        <rFont val="Arial"/>
        <family val="0"/>
        <charset val="1"/>
      </rPr>
      <t xml:space="preserve">&lt;= </t>
    </r>
    <r>
      <rPr>
        <sz val="10"/>
        <rFont val="WenQuanYi Zen Hei"/>
        <family val="2"/>
      </rPr>
      <t xml:space="preserve">元出荷数量 − 既返品数量 を検証（</t>
    </r>
    <r>
      <rPr>
        <sz val="10"/>
        <rFont val="Arial"/>
        <family val="0"/>
        <charset val="1"/>
      </rPr>
      <t xml:space="preserve">BR-12</t>
    </r>
    <r>
      <rPr>
        <sz val="10"/>
        <rFont val="WenQuanYi Zen Hei"/>
        <family val="2"/>
      </rPr>
      <t xml:space="preserve">）</t>
    </r>
  </si>
  <si>
    <t xml:space="preserve">MSG-E15</t>
  </si>
  <si>
    <r>
      <rPr>
        <sz val="10"/>
        <rFont val="WenQuanYi Zen Hei"/>
        <family val="2"/>
      </rPr>
      <t xml:space="preserve">ロットが未完了の回収案件に含まれ、当該 </t>
    </r>
    <r>
      <rPr>
        <sz val="10"/>
        <rFont val="Arial"/>
        <family val="0"/>
        <charset val="1"/>
      </rPr>
      <t xml:space="preserve">(</t>
    </r>
    <r>
      <rPr>
        <sz val="10"/>
        <rFont val="WenQuanYi Zen Hei"/>
        <family val="2"/>
      </rPr>
      <t xml:space="preserve">納品先</t>
    </r>
    <r>
      <rPr>
        <sz val="10"/>
        <rFont val="Arial"/>
        <family val="0"/>
        <charset val="1"/>
      </rPr>
      <t xml:space="preserve">, </t>
    </r>
    <r>
      <rPr>
        <sz val="10"/>
        <rFont val="WenQuanYi Zen Hei"/>
        <family val="2"/>
      </rPr>
      <t xml:space="preserve">ロット</t>
    </r>
    <r>
      <rPr>
        <sz val="10"/>
        <rFont val="Arial"/>
        <family val="0"/>
        <charset val="1"/>
      </rPr>
      <t xml:space="preserve">) </t>
    </r>
    <r>
      <rPr>
        <sz val="10"/>
        <rFont val="WenQuanYi Zen Hei"/>
        <family val="2"/>
      </rPr>
      <t xml:space="preserve">の回収対象がある場合は </t>
    </r>
    <r>
      <rPr>
        <sz val="10"/>
        <rFont val="Arial"/>
        <family val="0"/>
        <charset val="1"/>
      </rPr>
      <t xml:space="preserve">recall_target_id </t>
    </r>
    <r>
      <rPr>
        <sz val="10"/>
        <rFont val="WenQuanYi Zen Hei"/>
        <family val="2"/>
      </rPr>
      <t xml:space="preserve">必須。指定時は 回収対象</t>
    </r>
    <r>
      <rPr>
        <sz val="10"/>
        <rFont val="Arial"/>
        <family val="0"/>
        <charset val="1"/>
      </rPr>
      <t xml:space="preserve">.lot_id</t>
    </r>
    <r>
      <rPr>
        <sz val="10"/>
        <rFont val="WenQuanYi Zen Hei"/>
        <family val="2"/>
      </rPr>
      <t xml:space="preserve">＝元出荷明細</t>
    </r>
    <r>
      <rPr>
        <sz val="10"/>
        <rFont val="Arial"/>
        <family val="0"/>
        <charset val="1"/>
      </rPr>
      <t xml:space="preserve">.lot_id</t>
    </r>
    <r>
      <rPr>
        <sz val="10"/>
        <rFont val="WenQuanYi Zen Hei"/>
        <family val="2"/>
      </rPr>
      <t xml:space="preserve">、回収対象</t>
    </r>
    <r>
      <rPr>
        <sz val="10"/>
        <rFont val="Arial"/>
        <family val="0"/>
        <charset val="1"/>
      </rPr>
      <t xml:space="preserve">.ship_to_id</t>
    </r>
    <r>
      <rPr>
        <sz val="10"/>
        <rFont val="WenQuanYi Zen Hei"/>
        <family val="2"/>
      </rPr>
      <t xml:space="preserve">＝出荷</t>
    </r>
    <r>
      <rPr>
        <sz val="10"/>
        <rFont val="Arial"/>
        <family val="0"/>
        <charset val="1"/>
      </rPr>
      <t xml:space="preserve">.ship_to_id</t>
    </r>
    <r>
      <rPr>
        <sz val="10"/>
        <rFont val="WenQuanYi Zen Hei"/>
        <family val="2"/>
      </rPr>
      <t xml:space="preserve">、回収案件≠</t>
    </r>
    <r>
      <rPr>
        <sz val="10"/>
        <rFont val="Arial"/>
        <family val="0"/>
        <charset val="1"/>
      </rPr>
      <t xml:space="preserve">CLOSED </t>
    </r>
    <r>
      <rPr>
        <sz val="10"/>
        <rFont val="WenQuanYi Zen Hei"/>
        <family val="2"/>
      </rPr>
      <t xml:space="preserve">を検証</t>
    </r>
  </si>
  <si>
    <t xml:space="preserve">MSG-E26</t>
  </si>
  <si>
    <r>
      <rPr>
        <sz val="10"/>
        <rFont val="WenQuanYi Zen Hei"/>
        <family val="2"/>
      </rPr>
      <t xml:space="preserve">登録：受入保管場所（</t>
    </r>
    <r>
      <rPr>
        <sz val="10"/>
        <rFont val="Arial"/>
        <family val="0"/>
        <charset val="1"/>
      </rPr>
      <t xml:space="preserve">is_quarantine=true</t>
    </r>
    <r>
      <rPr>
        <sz val="10"/>
        <rFont val="WenQuanYi Zen Hei"/>
        <family val="2"/>
      </rPr>
      <t xml:space="preserve">・温度区分一致）へ </t>
    </r>
    <r>
      <rPr>
        <sz val="10"/>
        <rFont val="Arial"/>
        <family val="0"/>
        <charset val="1"/>
      </rPr>
      <t xml:space="preserve">RETURN(+</t>
    </r>
    <r>
      <rPr>
        <sz val="10"/>
        <rFont val="WenQuanYi Zen Hei"/>
        <family val="2"/>
      </rPr>
      <t xml:space="preserve">数量</t>
    </r>
    <r>
      <rPr>
        <sz val="10"/>
        <rFont val="Arial"/>
        <family val="0"/>
        <charset val="1"/>
      </rPr>
      <t xml:space="preserve">) </t>
    </r>
    <r>
      <rPr>
        <sz val="10"/>
        <rFont val="WenQuanYi Zen Hei"/>
        <family val="2"/>
      </rPr>
      <t xml:space="preserve">の移動・在庫加算。</t>
    </r>
    <r>
      <rPr>
        <sz val="10"/>
        <rFont val="Arial"/>
        <family val="0"/>
        <charset val="1"/>
      </rPr>
      <t xml:space="preserve">status=RECEIVED</t>
    </r>
    <r>
      <rPr>
        <sz val="10"/>
        <rFont val="WenQuanYi Zen Hei"/>
        <family val="2"/>
      </rPr>
      <t xml:space="preserve">（引当対象外）</t>
    </r>
  </si>
  <si>
    <r>
      <rPr>
        <sz val="10"/>
        <rFont val="WenQuanYi Zen Hei"/>
        <family val="2"/>
      </rPr>
      <t xml:space="preserve">回収品の場合、</t>
    </r>
    <r>
      <rPr>
        <sz val="10"/>
        <rFont val="Arial"/>
        <family val="0"/>
        <charset val="1"/>
      </rPr>
      <t xml:space="preserve">recovered_qty</t>
    </r>
    <r>
      <rPr>
        <sz val="10"/>
        <rFont val="WenQuanYi Zen Hei"/>
        <family val="2"/>
      </rPr>
      <t xml:space="preserve">＝当該回収対象の返品数量合計 に更新し、回収数量＋回収不能数量 </t>
    </r>
    <r>
      <rPr>
        <sz val="10"/>
        <rFont val="Arial"/>
        <family val="0"/>
        <charset val="1"/>
      </rPr>
      <t xml:space="preserve">&gt;= </t>
    </r>
    <r>
      <rPr>
        <sz val="10"/>
        <rFont val="WenQuanYi Zen Hei"/>
        <family val="2"/>
      </rPr>
      <t xml:space="preserve">出荷正味数量 なら </t>
    </r>
    <r>
      <rPr>
        <sz val="10"/>
        <rFont val="Arial"/>
        <family val="0"/>
        <charset val="1"/>
      </rPr>
      <t xml:space="preserve">RECOVERED</t>
    </r>
  </si>
  <si>
    <r>
      <rPr>
        <sz val="10"/>
        <rFont val="WenQuanYi Zen Hei"/>
        <family val="2"/>
      </rPr>
      <t xml:space="preserve">判定</t>
    </r>
    <r>
      <rPr>
        <sz val="10"/>
        <rFont val="Arial"/>
        <family val="0"/>
        <charset val="1"/>
      </rPr>
      <t xml:space="preserve">=RESTOCK</t>
    </r>
    <r>
      <rPr>
        <sz val="10"/>
        <rFont val="WenQuanYi Zen Hei"/>
        <family val="2"/>
      </rPr>
      <t xml:space="preserve">：ロットが </t>
    </r>
    <r>
      <rPr>
        <sz val="10"/>
        <rFont val="Arial"/>
        <family val="0"/>
        <charset val="1"/>
      </rPr>
      <t xml:space="preserve">RELEASED </t>
    </r>
    <r>
      <rPr>
        <sz val="10"/>
        <rFont val="WenQuanYi Zen Hei"/>
        <family val="2"/>
      </rPr>
      <t xml:space="preserve">かつ回収品でないこと、戻し先の温度区分一致・通常保管場所を検証し、</t>
    </r>
    <r>
      <rPr>
        <sz val="10"/>
        <rFont val="Arial"/>
        <family val="0"/>
        <charset val="1"/>
      </rPr>
      <t xml:space="preserve">ref=return </t>
    </r>
    <r>
      <rPr>
        <sz val="10"/>
        <rFont val="WenQuanYi Zen Hei"/>
        <family val="2"/>
      </rPr>
      <t xml:space="preserve">で </t>
    </r>
    <r>
      <rPr>
        <sz val="10"/>
        <rFont val="Arial"/>
        <family val="0"/>
        <charset val="1"/>
      </rPr>
      <t xml:space="preserve">TRANSFER_OUT/TRANSFER_IN </t>
    </r>
    <r>
      <rPr>
        <sz val="10"/>
        <rFont val="WenQuanYi Zen Hei"/>
        <family val="2"/>
      </rPr>
      <t xml:space="preserve">し移動（上限＝返品数量）。</t>
    </r>
    <r>
      <rPr>
        <sz val="10"/>
        <rFont val="Arial"/>
        <family val="0"/>
        <charset val="1"/>
      </rPr>
      <t xml:space="preserve">status=CLOSED</t>
    </r>
  </si>
  <si>
    <t xml:space="preserve">MSG-E16,MSG-E30</t>
  </si>
  <si>
    <r>
      <rPr>
        <sz val="10"/>
        <rFont val="WenQuanYi Zen Hei"/>
        <family val="2"/>
      </rPr>
      <t xml:space="preserve">判定</t>
    </r>
    <r>
      <rPr>
        <sz val="10"/>
        <rFont val="Arial"/>
        <family val="0"/>
        <charset val="1"/>
      </rPr>
      <t xml:space="preserve">=DISPOSE</t>
    </r>
    <r>
      <rPr>
        <sz val="10"/>
        <rFont val="WenQuanYi Zen Hei"/>
        <family val="2"/>
      </rPr>
      <t xml:space="preserve">：受入保管場所から </t>
    </r>
    <r>
      <rPr>
        <sz val="10"/>
        <rFont val="Arial"/>
        <family val="0"/>
        <charset val="1"/>
      </rPr>
      <t xml:space="preserve">ref=return </t>
    </r>
    <r>
      <rPr>
        <sz val="10"/>
        <rFont val="WenQuanYi Zen Hei"/>
        <family val="2"/>
      </rPr>
      <t xml:space="preserve">で </t>
    </r>
    <r>
      <rPr>
        <sz val="10"/>
        <rFont val="Arial"/>
        <family val="0"/>
        <charset val="1"/>
      </rPr>
      <t xml:space="preserve">DISPOSE(−</t>
    </r>
    <r>
      <rPr>
        <sz val="10"/>
        <rFont val="WenQuanYi Zen Hei"/>
        <family val="2"/>
      </rPr>
      <t xml:space="preserve">返品数量</t>
    </r>
    <r>
      <rPr>
        <sz val="10"/>
        <rFont val="Arial"/>
        <family val="0"/>
        <charset val="1"/>
      </rPr>
      <t xml:space="preserve">) </t>
    </r>
    <r>
      <rPr>
        <sz val="10"/>
        <rFont val="WenQuanYi Zen Hei"/>
        <family val="2"/>
      </rPr>
      <t xml:space="preserve">を記録（</t>
    </r>
    <r>
      <rPr>
        <sz val="10"/>
        <rFont val="Arial"/>
        <family val="0"/>
        <charset val="1"/>
      </rPr>
      <t xml:space="preserve">BR-18</t>
    </r>
    <r>
      <rPr>
        <sz val="10"/>
        <rFont val="WenQuanYi Zen Hei"/>
        <family val="2"/>
      </rPr>
      <t xml:space="preserve">：回収品は </t>
    </r>
    <r>
      <rPr>
        <sz val="10"/>
        <rFont val="Arial"/>
        <family val="0"/>
        <charset val="1"/>
      </rPr>
      <t xml:space="preserve">DISPOSE </t>
    </r>
    <r>
      <rPr>
        <sz val="10"/>
        <rFont val="WenQuanYi Zen Hei"/>
        <family val="2"/>
      </rPr>
      <t xml:space="preserve">のみ）。</t>
    </r>
    <r>
      <rPr>
        <sz val="10"/>
        <rFont val="Arial"/>
        <family val="0"/>
        <charset val="1"/>
      </rPr>
      <t xml:space="preserve">status=CLOSED</t>
    </r>
  </si>
  <si>
    <r>
      <rPr>
        <sz val="10"/>
        <rFont val="WenQuanYi Zen Hei"/>
        <family val="2"/>
      </rPr>
      <t xml:space="preserve">通常返品で対象ロットが未完了の回収案件に含まれる場合、</t>
    </r>
    <r>
      <rPr>
        <sz val="10"/>
        <rFont val="Arial"/>
        <family val="0"/>
        <charset val="1"/>
      </rPr>
      <t xml:space="preserve">P-18 </t>
    </r>
    <r>
      <rPr>
        <sz val="10"/>
        <rFont val="WenQuanYi Zen Hei"/>
        <family val="2"/>
      </rPr>
      <t xml:space="preserve">を再実行して回収対象を更新</t>
    </r>
  </si>
  <si>
    <r>
      <rPr>
        <sz val="10"/>
        <rFont val="WenQuanYi Zen Hei"/>
        <family val="2"/>
      </rPr>
      <t xml:space="preserve">対象ロットに </t>
    </r>
    <r>
      <rPr>
        <sz val="10"/>
        <rFont val="Arial"/>
        <family val="0"/>
        <charset val="1"/>
      </rPr>
      <t xml:space="preserve">VOID </t>
    </r>
    <r>
      <rPr>
        <sz val="10"/>
        <rFont val="WenQuanYi Zen Hei"/>
        <family val="2"/>
      </rPr>
      <t xml:space="preserve">が含まれないことを検証</t>
    </r>
  </si>
  <si>
    <t xml:space="preserve">MSG-E27</t>
  </si>
  <si>
    <r>
      <rPr>
        <sz val="10"/>
        <rFont val="WenQuanYi Zen Hei"/>
        <family val="2"/>
      </rPr>
      <t xml:space="preserve">ロック（</t>
    </r>
    <r>
      <rPr>
        <sz val="10"/>
        <rFont val="Arial"/>
        <family val="0"/>
        <charset val="1"/>
      </rPr>
      <t xml:space="preserve">P-00</t>
    </r>
    <r>
      <rPr>
        <sz val="10"/>
        <rFont val="WenQuanYi Zen Hei"/>
        <family val="2"/>
      </rPr>
      <t xml:space="preserve">）：対象ロット </t>
    </r>
    <r>
      <rPr>
        <sz val="10"/>
        <rFont val="Arial"/>
        <family val="0"/>
        <charset val="1"/>
      </rPr>
      <t xml:space="preserve">FOR UPDATE</t>
    </r>
    <r>
      <rPr>
        <sz val="10"/>
        <rFont val="WenQuanYi Zen Hei"/>
        <family val="2"/>
      </rPr>
      <t xml:space="preserve">。回収案件（</t>
    </r>
    <r>
      <rPr>
        <sz val="10"/>
        <rFont val="Arial"/>
        <family val="0"/>
        <charset val="1"/>
      </rPr>
      <t xml:space="preserve">status=OPEN</t>
    </r>
    <r>
      <rPr>
        <sz val="10"/>
        <rFont val="WenQuanYi Zen Hei"/>
        <family val="2"/>
      </rPr>
      <t xml:space="preserve">）と </t>
    </r>
    <r>
      <rPr>
        <sz val="10"/>
        <rFont val="Arial"/>
        <family val="0"/>
        <charset val="1"/>
      </rPr>
      <t xml:space="preserve">t_recall_lot </t>
    </r>
    <r>
      <rPr>
        <sz val="10"/>
        <rFont val="WenQuanYi Zen Hei"/>
        <family val="2"/>
      </rPr>
      <t xml:space="preserve">を </t>
    </r>
    <r>
      <rPr>
        <sz val="10"/>
        <rFont val="Arial"/>
        <family val="0"/>
        <charset val="1"/>
      </rPr>
      <t xml:space="preserve">INSERT</t>
    </r>
  </si>
  <si>
    <r>
      <rPr>
        <sz val="10"/>
        <rFont val="Arial"/>
        <family val="0"/>
        <charset val="1"/>
      </rPr>
      <t xml:space="preserve">RECALLED </t>
    </r>
    <r>
      <rPr>
        <sz val="10"/>
        <rFont val="WenQuanYi Zen Hei"/>
        <family val="2"/>
      </rPr>
      <t xml:space="preserve">以外の対象ロットを </t>
    </r>
    <r>
      <rPr>
        <sz val="10"/>
        <rFont val="Arial"/>
        <family val="0"/>
        <charset val="1"/>
      </rPr>
      <t xml:space="preserve">RECALLED </t>
    </r>
    <r>
      <rPr>
        <sz val="10"/>
        <rFont val="WenQuanYi Zen Hei"/>
        <family val="2"/>
      </rPr>
      <t xml:space="preserve">に更新しステータス履歴（</t>
    </r>
    <r>
      <rPr>
        <sz val="10"/>
        <rFont val="Arial"/>
        <family val="0"/>
        <charset val="1"/>
      </rPr>
      <t xml:space="preserve">recall_id </t>
    </r>
    <r>
      <rPr>
        <sz val="10"/>
        <rFont val="WenQuanYi Zen Hei"/>
        <family val="2"/>
      </rPr>
      <t xml:space="preserve">付き）を記録（</t>
    </r>
    <r>
      <rPr>
        <sz val="10"/>
        <rFont val="Arial"/>
        <family val="0"/>
        <charset val="1"/>
      </rPr>
      <t xml:space="preserve">BR-13</t>
    </r>
    <r>
      <rPr>
        <sz val="10"/>
        <rFont val="WenQuanYi Zen Hei"/>
        <family val="2"/>
      </rPr>
      <t xml:space="preserve">）。既に </t>
    </r>
    <r>
      <rPr>
        <sz val="10"/>
        <rFont val="Arial"/>
        <family val="0"/>
        <charset val="1"/>
      </rPr>
      <t xml:space="preserve">RECALLED </t>
    </r>
    <r>
      <rPr>
        <sz val="10"/>
        <rFont val="WenQuanYi Zen Hei"/>
        <family val="2"/>
      </rPr>
      <t xml:space="preserve">のロットはスキップ</t>
    </r>
  </si>
  <si>
    <r>
      <rPr>
        <sz val="10"/>
        <rFont val="WenQuanYi Zen Hei"/>
        <family val="2"/>
      </rPr>
      <t xml:space="preserve">対象ロットの引当を解除（</t>
    </r>
    <r>
      <rPr>
        <sz val="10"/>
        <rFont val="Arial"/>
        <family val="0"/>
        <charset val="1"/>
      </rPr>
      <t xml:space="preserve">P-11</t>
    </r>
    <r>
      <rPr>
        <sz val="10"/>
        <rFont val="WenQuanYi Zen Hei"/>
        <family val="2"/>
      </rPr>
      <t xml:space="preserve">）し、営業・倉庫担当へ通知。コミット</t>
    </r>
  </si>
  <si>
    <t xml:space="preserve">温度記録・逸脱検知</t>
  </si>
  <si>
    <r>
      <rPr>
        <sz val="10"/>
        <rFont val="WenQuanYi Zen Hei"/>
        <family val="2"/>
      </rPr>
      <t xml:space="preserve">記録を </t>
    </r>
    <r>
      <rPr>
        <sz val="10"/>
        <rFont val="Arial"/>
        <family val="0"/>
        <charset val="1"/>
      </rPr>
      <t xml:space="preserve">INSERT</t>
    </r>
    <r>
      <rPr>
        <sz val="10"/>
        <rFont val="WenQuanYi Zen Hei"/>
        <family val="2"/>
      </rPr>
      <t xml:space="preserve">（</t>
    </r>
    <r>
      <rPr>
        <sz val="10"/>
        <rFont val="Arial"/>
        <family val="0"/>
        <charset val="1"/>
      </rPr>
      <t xml:space="preserve">created_by </t>
    </r>
    <r>
      <rPr>
        <sz val="10"/>
        <rFont val="WenQuanYi Zen Hei"/>
        <family val="2"/>
      </rPr>
      <t xml:space="preserve">はシステムユーザーまたは入力者）。許容範囲外なら </t>
    </r>
    <r>
      <rPr>
        <sz val="10"/>
        <rFont val="Arial"/>
        <family val="0"/>
        <charset val="1"/>
      </rPr>
      <t xml:space="preserve">is_excursion=true</t>
    </r>
  </si>
  <si>
    <r>
      <rPr>
        <sz val="10"/>
        <rFont val="WenQuanYi Zen Hei"/>
        <family val="2"/>
      </rPr>
      <t xml:space="preserve">逸脱時：測定日時時点で当該保管場所に在庫があったロット（移動履歴の </t>
    </r>
    <r>
      <rPr>
        <sz val="10"/>
        <rFont val="Arial"/>
        <family val="0"/>
        <charset val="1"/>
      </rPr>
      <t xml:space="preserve">moved_at &lt;= measured_at </t>
    </r>
    <r>
      <rPr>
        <sz val="10"/>
        <rFont val="WenQuanYi Zen Hei"/>
        <family val="2"/>
      </rPr>
      <t xml:space="preserve">の合計 </t>
    </r>
    <r>
      <rPr>
        <sz val="10"/>
        <rFont val="Arial"/>
        <family val="0"/>
        <charset val="1"/>
      </rPr>
      <t xml:space="preserve">&gt; 0</t>
    </r>
    <r>
      <rPr>
        <sz val="10"/>
        <rFont val="WenQuanYi Zen Hei"/>
        <family val="2"/>
      </rPr>
      <t xml:space="preserve">）を特定（</t>
    </r>
    <r>
      <rPr>
        <sz val="10"/>
        <rFont val="Arial"/>
        <family val="0"/>
        <charset val="1"/>
      </rPr>
      <t xml:space="preserve">BR-07</t>
    </r>
    <r>
      <rPr>
        <sz val="10"/>
        <rFont val="WenQuanYi Zen Hei"/>
        <family val="2"/>
      </rPr>
      <t xml:space="preserve">）</t>
    </r>
  </si>
  <si>
    <t xml:space="preserve">MSG-W05</t>
  </si>
  <si>
    <r>
      <rPr>
        <sz val="10"/>
        <rFont val="WenQuanYi Zen Hei"/>
        <family val="2"/>
      </rPr>
      <t xml:space="preserve">ロック（</t>
    </r>
    <r>
      <rPr>
        <sz val="10"/>
        <rFont val="Arial"/>
        <family val="0"/>
        <charset val="1"/>
      </rPr>
      <t xml:space="preserve">P-00</t>
    </r>
    <r>
      <rPr>
        <sz val="10"/>
        <rFont val="WenQuanYi Zen Hei"/>
        <family val="2"/>
      </rPr>
      <t xml:space="preserve">）。うち現在 </t>
    </r>
    <r>
      <rPr>
        <sz val="10"/>
        <rFont val="Arial"/>
        <family val="0"/>
        <charset val="1"/>
      </rPr>
      <t xml:space="preserve">QUARANTINE/RELEASED </t>
    </r>
    <r>
      <rPr>
        <sz val="10"/>
        <rFont val="WenQuanYi Zen Hei"/>
        <family val="2"/>
      </rPr>
      <t xml:space="preserve">のロットを </t>
    </r>
    <r>
      <rPr>
        <sz val="10"/>
        <rFont val="Arial"/>
        <family val="0"/>
        <charset val="1"/>
      </rPr>
      <t xml:space="preserve">HOLD </t>
    </r>
    <r>
      <rPr>
        <sz val="10"/>
        <rFont val="WenQuanYi Zen Hei"/>
        <family val="2"/>
      </rPr>
      <t xml:space="preserve">に更新（理由＝温度記録</t>
    </r>
    <r>
      <rPr>
        <sz val="10"/>
        <rFont val="Arial"/>
        <family val="0"/>
        <charset val="1"/>
      </rPr>
      <t xml:space="preserve">ID</t>
    </r>
    <r>
      <rPr>
        <sz val="10"/>
        <rFont val="WenQuanYi Zen Hei"/>
        <family val="2"/>
      </rPr>
      <t xml:space="preserve">、履歴に記録）し、引当を解除（</t>
    </r>
    <r>
      <rPr>
        <sz val="10"/>
        <rFont val="Arial"/>
        <family val="0"/>
        <charset val="1"/>
      </rPr>
      <t xml:space="preserve">P-11</t>
    </r>
    <r>
      <rPr>
        <sz val="10"/>
        <rFont val="WenQuanYi Zen Hei"/>
        <family val="2"/>
      </rPr>
      <t xml:space="preserve">）</t>
    </r>
  </si>
  <si>
    <r>
      <rPr>
        <sz val="10"/>
        <rFont val="WenQuanYi Zen Hei"/>
        <family val="2"/>
      </rPr>
      <t xml:space="preserve">測定日時以降に当該保管場所から出荷済の明細を抽出し、回収候補として</t>
    </r>
    <r>
      <rPr>
        <sz val="10"/>
        <rFont val="Arial"/>
        <family val="0"/>
        <charset val="1"/>
      </rPr>
      <t xml:space="preserve">QA</t>
    </r>
    <r>
      <rPr>
        <sz val="10"/>
        <rFont val="WenQuanYi Zen Hei"/>
        <family val="2"/>
      </rPr>
      <t xml:space="preserve">へ通知（回収要否は</t>
    </r>
    <r>
      <rPr>
        <sz val="10"/>
        <rFont val="Arial"/>
        <family val="0"/>
        <charset val="1"/>
      </rPr>
      <t xml:space="preserve">QA</t>
    </r>
    <r>
      <rPr>
        <sz val="10"/>
        <rFont val="WenQuanYi Zen Hei"/>
        <family val="2"/>
      </rPr>
      <t xml:space="preserve">が判断し </t>
    </r>
    <r>
      <rPr>
        <sz val="10"/>
        <rFont val="Arial"/>
        <family val="0"/>
        <charset val="1"/>
      </rPr>
      <t xml:space="preserve">P-08 </t>
    </r>
    <r>
      <rPr>
        <sz val="10"/>
        <rFont val="WenQuanYi Zen Hei"/>
        <family val="2"/>
      </rPr>
      <t xml:space="preserve">へ）</t>
    </r>
  </si>
  <si>
    <t xml:space="preserve">在庫移動・調整・廃棄</t>
  </si>
  <si>
    <r>
      <rPr>
        <sz val="10"/>
        <rFont val="WenQuanYi Zen Hei"/>
        <family val="2"/>
      </rPr>
      <t xml:space="preserve">ロック（</t>
    </r>
    <r>
      <rPr>
        <sz val="10"/>
        <rFont val="Arial"/>
        <family val="0"/>
        <charset val="1"/>
      </rPr>
      <t xml:space="preserve">P-00</t>
    </r>
    <r>
      <rPr>
        <sz val="10"/>
        <rFont val="WenQuanYi Zen Hei"/>
        <family val="2"/>
      </rPr>
      <t xml:space="preserve">）。移動元が隔離保管場所（</t>
    </r>
    <r>
      <rPr>
        <sz val="10"/>
        <rFont val="Arial"/>
        <family val="0"/>
        <charset val="1"/>
      </rPr>
      <t xml:space="preserve">is_quarantine=true</t>
    </r>
    <r>
      <rPr>
        <sz val="10"/>
        <rFont val="WenQuanYi Zen Hei"/>
        <family val="2"/>
      </rPr>
      <t xml:space="preserve">）の場合はエラー（隔離在庫の払出しは </t>
    </r>
    <r>
      <rPr>
        <sz val="10"/>
        <rFont val="Arial"/>
        <family val="0"/>
        <charset val="1"/>
      </rPr>
      <t xml:space="preserve">P-07/P-16/P-17 </t>
    </r>
    <r>
      <rPr>
        <sz val="10"/>
        <rFont val="WenQuanYi Zen Hei"/>
        <family val="2"/>
      </rPr>
      <t xml:space="preserve">のみ）</t>
    </r>
  </si>
  <si>
    <t xml:space="preserve">MSG-E28</t>
  </si>
  <si>
    <r>
      <rPr>
        <sz val="10"/>
        <rFont val="WenQuanYi Zen Hei"/>
        <family val="2"/>
      </rPr>
      <t xml:space="preserve">移動：</t>
    </r>
    <r>
      <rPr>
        <sz val="10"/>
        <rFont val="Arial"/>
        <family val="0"/>
        <charset val="1"/>
      </rPr>
      <t xml:space="preserve">TRANSFER_OUT(−)/TRANSFER_IN(+) </t>
    </r>
    <r>
      <rPr>
        <sz val="10"/>
        <rFont val="WenQuanYi Zen Hei"/>
        <family val="2"/>
      </rPr>
      <t xml:space="preserve">を同一トランザクションで </t>
    </r>
    <r>
      <rPr>
        <sz val="10"/>
        <rFont val="Arial"/>
        <family val="0"/>
        <charset val="1"/>
      </rPr>
      <t xml:space="preserve">INSERT</t>
    </r>
    <r>
      <rPr>
        <sz val="10"/>
        <rFont val="WenQuanYi Zen Hei"/>
        <family val="2"/>
      </rPr>
      <t xml:space="preserve">。移動先の温度区分一致・通常保管場所を検証（</t>
    </r>
    <r>
      <rPr>
        <sz val="10"/>
        <rFont val="Arial"/>
        <family val="0"/>
        <charset val="1"/>
      </rPr>
      <t xml:space="preserve">BR-06</t>
    </r>
    <r>
      <rPr>
        <sz val="10"/>
        <rFont val="WenQuanYi Zen Hei"/>
        <family val="2"/>
      </rPr>
      <t xml:space="preserve">）</t>
    </r>
  </si>
  <si>
    <r>
      <rPr>
        <sz val="10"/>
        <rFont val="WenQuanYi Zen Hei"/>
        <family val="2"/>
      </rPr>
      <t xml:space="preserve">調整・廃棄：理由必須。調整後の </t>
    </r>
    <r>
      <rPr>
        <sz val="10"/>
        <rFont val="Arial"/>
        <family val="0"/>
        <charset val="1"/>
      </rPr>
      <t xml:space="preserve">on_hand_qty </t>
    </r>
    <r>
      <rPr>
        <sz val="10"/>
        <rFont val="WenQuanYi Zen Hei"/>
        <family val="2"/>
      </rPr>
      <t xml:space="preserve">が </t>
    </r>
    <r>
      <rPr>
        <sz val="10"/>
        <rFont val="Arial"/>
        <family val="0"/>
        <charset val="1"/>
      </rPr>
      <t xml:space="preserve">allocated_qty </t>
    </r>
    <r>
      <rPr>
        <sz val="10"/>
        <rFont val="WenQuanYi Zen Hei"/>
        <family val="2"/>
      </rPr>
      <t xml:space="preserve">未満になる場合はエラー</t>
    </r>
  </si>
  <si>
    <t xml:space="preserve">MSG-E18</t>
  </si>
  <si>
    <t xml:space="preserve">P-11</t>
  </si>
  <si>
    <t xml:space="preserve">ロット指定の引当解除（共通）</t>
  </si>
  <si>
    <r>
      <rPr>
        <sz val="10"/>
        <rFont val="WenQuanYi Zen Hei"/>
        <family val="2"/>
      </rPr>
      <t xml:space="preserve">呼出元でロットをロック済の前提。在庫 </t>
    </r>
    <r>
      <rPr>
        <sz val="10"/>
        <rFont val="Arial"/>
        <family val="0"/>
        <charset val="1"/>
      </rPr>
      <t xml:space="preserve">FOR UPDATE → </t>
    </r>
    <r>
      <rPr>
        <sz val="10"/>
        <rFont val="WenQuanYi Zen Hei"/>
        <family val="2"/>
      </rPr>
      <t xml:space="preserve">対象ロットの </t>
    </r>
    <r>
      <rPr>
        <sz val="10"/>
        <rFont val="Arial"/>
        <family val="0"/>
        <charset val="1"/>
      </rPr>
      <t xml:space="preserve">t_shipment_line(status=ALLOCATED) </t>
    </r>
    <r>
      <rPr>
        <sz val="10"/>
        <rFont val="WenQuanYi Zen Hei"/>
        <family val="2"/>
      </rPr>
      <t xml:space="preserve">を </t>
    </r>
    <r>
      <rPr>
        <sz val="10"/>
        <rFont val="Arial"/>
        <family val="0"/>
        <charset val="1"/>
      </rPr>
      <t xml:space="preserve">FOR UPDATE</t>
    </r>
  </si>
  <si>
    <r>
      <rPr>
        <sz val="10"/>
        <rFont val="WenQuanYi Zen Hei"/>
        <family val="2"/>
      </rPr>
      <t xml:space="preserve">該当明細のみ </t>
    </r>
    <r>
      <rPr>
        <sz val="10"/>
        <rFont val="Arial"/>
        <family val="0"/>
        <charset val="1"/>
      </rPr>
      <t xml:space="preserve">status=CANCELLED </t>
    </r>
    <r>
      <rPr>
        <sz val="10"/>
        <rFont val="WenQuanYi Zen Hei"/>
        <family val="2"/>
      </rPr>
      <t xml:space="preserve">とし </t>
    </r>
    <r>
      <rPr>
        <sz val="10"/>
        <rFont val="Arial"/>
        <family val="0"/>
        <charset val="1"/>
      </rPr>
      <t xml:space="preserve">t_inventory.allocated_qty </t>
    </r>
    <r>
      <rPr>
        <sz val="10"/>
        <rFont val="WenQuanYi Zen Hei"/>
        <family val="2"/>
      </rPr>
      <t xml:space="preserve">を減算。同じ出荷の他ロット明細は維持</t>
    </r>
  </si>
  <si>
    <r>
      <rPr>
        <sz val="10"/>
        <rFont val="Arial"/>
        <family val="0"/>
        <charset val="1"/>
      </rPr>
      <t xml:space="preserve">ALLOCATED </t>
    </r>
    <r>
      <rPr>
        <sz val="10"/>
        <rFont val="WenQuanYi Zen Hei"/>
        <family val="2"/>
      </rPr>
      <t xml:space="preserve">明細が残らない出荷ヘッダは </t>
    </r>
    <r>
      <rPr>
        <sz val="10"/>
        <rFont val="Arial"/>
        <family val="0"/>
        <charset val="1"/>
      </rPr>
      <t xml:space="preserve">CANCELLED</t>
    </r>
    <r>
      <rPr>
        <sz val="10"/>
        <rFont val="WenQuanYi Zen Hei"/>
        <family val="2"/>
      </rPr>
      <t xml:space="preserve">。影響した受注を倉庫・営業担当へ通知（再引当が必要）</t>
    </r>
  </si>
  <si>
    <t xml:space="preserve">入荷取消</t>
  </si>
  <si>
    <r>
      <rPr>
        <sz val="10"/>
        <rFont val="Arial"/>
        <family val="0"/>
        <charset val="1"/>
      </rPr>
      <t xml:space="preserve">ADMIN</t>
    </r>
    <r>
      <rPr>
        <sz val="10"/>
        <rFont val="WenQuanYi Zen Hei"/>
        <family val="2"/>
      </rPr>
      <t xml:space="preserve">のみ。ロック（</t>
    </r>
    <r>
      <rPr>
        <sz val="10"/>
        <rFont val="Arial"/>
        <family val="0"/>
        <charset val="1"/>
      </rPr>
      <t xml:space="preserve">P-00</t>
    </r>
    <r>
      <rPr>
        <sz val="10"/>
        <rFont val="WenQuanYi Zen Hei"/>
        <family val="2"/>
      </rPr>
      <t xml:space="preserve">）：対象ロット </t>
    </r>
    <r>
      <rPr>
        <sz val="10"/>
        <rFont val="Arial"/>
        <family val="0"/>
        <charset val="1"/>
      </rPr>
      <t xml:space="preserve">FOR UPDATE → </t>
    </r>
    <r>
      <rPr>
        <sz val="10"/>
        <rFont val="WenQuanYi Zen Hei"/>
        <family val="2"/>
      </rPr>
      <t xml:space="preserve">在庫 → </t>
    </r>
    <r>
      <rPr>
        <sz val="10"/>
        <rFont val="Arial"/>
        <family val="0"/>
        <charset val="1"/>
      </rPr>
      <t xml:space="preserve">t_receipt</t>
    </r>
    <r>
      <rPr>
        <sz val="10"/>
        <rFont val="WenQuanYi Zen Hei"/>
        <family val="2"/>
      </rPr>
      <t xml:space="preserve">。</t>
    </r>
    <r>
      <rPr>
        <sz val="10"/>
        <rFont val="Arial"/>
        <family val="0"/>
        <charset val="1"/>
      </rPr>
      <t xml:space="preserve">status=CONFIRMED </t>
    </r>
    <r>
      <rPr>
        <sz val="10"/>
        <rFont val="WenQuanYi Zen Hei"/>
        <family val="2"/>
      </rPr>
      <t xml:space="preserve">を確認</t>
    </r>
  </si>
  <si>
    <r>
      <rPr>
        <sz val="10"/>
        <rFont val="WenQuanYi Zen Hei"/>
        <family val="2"/>
      </rPr>
      <t xml:space="preserve">対象ロットが </t>
    </r>
    <r>
      <rPr>
        <sz val="10"/>
        <rFont val="Arial"/>
        <family val="0"/>
        <charset val="1"/>
      </rPr>
      <t xml:space="preserve">QUARANTINE </t>
    </r>
    <r>
      <rPr>
        <sz val="10"/>
        <rFont val="WenQuanYi Zen Hei"/>
        <family val="2"/>
      </rPr>
      <t xml:space="preserve">であり、入荷先保管場所の現在庫 </t>
    </r>
    <r>
      <rPr>
        <sz val="10"/>
        <rFont val="Arial"/>
        <family val="0"/>
        <charset val="1"/>
      </rPr>
      <t xml:space="preserve">&gt;= </t>
    </r>
    <r>
      <rPr>
        <sz val="10"/>
        <rFont val="WenQuanYi Zen Hei"/>
        <family val="2"/>
      </rPr>
      <t xml:space="preserve">入荷数量 かつ 引当済数</t>
    </r>
    <r>
      <rPr>
        <sz val="10"/>
        <rFont val="Arial"/>
        <family val="0"/>
        <charset val="1"/>
      </rPr>
      <t xml:space="preserve">=0 </t>
    </r>
    <r>
      <rPr>
        <sz val="10"/>
        <rFont val="WenQuanYi Zen Hei"/>
        <family val="2"/>
      </rPr>
      <t xml:space="preserve">であること。検品済・出荷・移動済みなら取消不可</t>
    </r>
  </si>
  <si>
    <t xml:space="preserve">MSG-E20</t>
  </si>
  <si>
    <r>
      <rPr>
        <sz val="10"/>
        <rFont val="Arial"/>
        <family val="0"/>
        <charset val="1"/>
      </rPr>
      <t xml:space="preserve">CANCEL(−</t>
    </r>
    <r>
      <rPr>
        <sz val="10"/>
        <rFont val="WenQuanYi Zen Hei"/>
        <family val="2"/>
      </rPr>
      <t xml:space="preserve">数量</t>
    </r>
    <r>
      <rPr>
        <sz val="10"/>
        <rFont val="Arial"/>
        <family val="0"/>
        <charset val="1"/>
      </rPr>
      <t xml:space="preserve">) </t>
    </r>
    <r>
      <rPr>
        <sz val="10"/>
        <rFont val="WenQuanYi Zen Hei"/>
        <family val="2"/>
      </rPr>
      <t xml:space="preserve">の移動を </t>
    </r>
    <r>
      <rPr>
        <sz val="10"/>
        <rFont val="Arial"/>
        <family val="0"/>
        <charset val="1"/>
      </rPr>
      <t xml:space="preserve">INSERT</t>
    </r>
    <r>
      <rPr>
        <sz val="10"/>
        <rFont val="WenQuanYi Zen Hei"/>
        <family val="2"/>
      </rPr>
      <t xml:space="preserve">、在庫減算、発注明細の入荷済数量を減算し発注ステータスを再判定（</t>
    </r>
    <r>
      <rPr>
        <sz val="10"/>
        <rFont val="Arial"/>
        <family val="0"/>
        <charset val="1"/>
      </rPr>
      <t xml:space="preserve">CLOSED </t>
    </r>
    <r>
      <rPr>
        <sz val="10"/>
        <rFont val="WenQuanYi Zen Hei"/>
        <family val="2"/>
      </rPr>
      <t xml:space="preserve">は維持）（</t>
    </r>
    <r>
      <rPr>
        <sz val="10"/>
        <rFont val="Arial"/>
        <family val="0"/>
        <charset val="1"/>
      </rPr>
      <t xml:space="preserve">BR-03</t>
    </r>
    <r>
      <rPr>
        <sz val="10"/>
        <rFont val="WenQuanYi Zen Hei"/>
        <family val="2"/>
      </rPr>
      <t xml:space="preserve">）</t>
    </r>
  </si>
  <si>
    <r>
      <rPr>
        <sz val="10"/>
        <rFont val="Arial"/>
        <family val="0"/>
        <charset val="1"/>
      </rPr>
      <t xml:space="preserve">unit_cost </t>
    </r>
    <r>
      <rPr>
        <sz val="10"/>
        <rFont val="WenQuanYi Zen Hei"/>
        <family val="2"/>
      </rPr>
      <t xml:space="preserve">を移動平均の逆算で更新：取消後在庫</t>
    </r>
    <r>
      <rPr>
        <sz val="10"/>
        <rFont val="Arial"/>
        <family val="0"/>
        <charset val="1"/>
      </rPr>
      <t xml:space="preserve">&gt;0 </t>
    </r>
    <r>
      <rPr>
        <sz val="10"/>
        <rFont val="WenQuanYi Zen Hei"/>
        <family val="2"/>
      </rPr>
      <t xml:space="preserve">なら </t>
    </r>
    <r>
      <rPr>
        <sz val="10"/>
        <rFont val="Arial"/>
        <family val="0"/>
        <charset val="1"/>
      </rPr>
      <t xml:space="preserve">(</t>
    </r>
    <r>
      <rPr>
        <sz val="10"/>
        <rFont val="WenQuanYi Zen Hei"/>
        <family val="2"/>
      </rPr>
      <t xml:space="preserve">現在庫</t>
    </r>
    <r>
      <rPr>
        <sz val="10"/>
        <rFont val="Arial"/>
        <family val="0"/>
        <charset val="1"/>
      </rPr>
      <t xml:space="preserve">×</t>
    </r>
    <r>
      <rPr>
        <sz val="10"/>
        <rFont val="WenQuanYi Zen Hei"/>
        <family val="2"/>
      </rPr>
      <t xml:space="preserve">現原価−取消数量</t>
    </r>
    <r>
      <rPr>
        <sz val="10"/>
        <rFont val="Arial"/>
        <family val="0"/>
        <charset val="1"/>
      </rPr>
      <t xml:space="preserve">×</t>
    </r>
    <r>
      <rPr>
        <sz val="10"/>
        <rFont val="WenQuanYi Zen Hei"/>
        <family val="2"/>
      </rPr>
      <t xml:space="preserve">仕入単価</t>
    </r>
    <r>
      <rPr>
        <sz val="10"/>
        <rFont val="Arial"/>
        <family val="0"/>
        <charset val="1"/>
      </rPr>
      <t xml:space="preserve">)÷(</t>
    </r>
    <r>
      <rPr>
        <sz val="10"/>
        <rFont val="WenQuanYi Zen Hei"/>
        <family val="2"/>
      </rPr>
      <t xml:space="preserve">現在庫−取消数量</t>
    </r>
    <r>
      <rPr>
        <sz val="10"/>
        <rFont val="Arial"/>
        <family val="0"/>
        <charset val="1"/>
      </rPr>
      <t xml:space="preserve">)</t>
    </r>
    <r>
      <rPr>
        <sz val="10"/>
        <rFont val="WenQuanYi Zen Hei"/>
        <family val="2"/>
      </rPr>
      <t xml:space="preserve">、</t>
    </r>
    <r>
      <rPr>
        <sz val="10"/>
        <rFont val="Arial"/>
        <family val="0"/>
        <charset val="1"/>
      </rPr>
      <t xml:space="preserve">0 </t>
    </r>
    <r>
      <rPr>
        <sz val="10"/>
        <rFont val="WenQuanYi Zen Hei"/>
        <family val="2"/>
      </rPr>
      <t xml:space="preserve">なら維持</t>
    </r>
  </si>
  <si>
    <r>
      <rPr>
        <sz val="10"/>
        <rFont val="WenQuanYi Zen Hei"/>
        <family val="2"/>
      </rPr>
      <t xml:space="preserve">ロットの在庫が全保管場所で</t>
    </r>
    <r>
      <rPr>
        <sz val="10"/>
        <rFont val="Arial"/>
        <family val="0"/>
        <charset val="1"/>
      </rPr>
      <t xml:space="preserve">0</t>
    </r>
    <r>
      <rPr>
        <sz val="10"/>
        <rFont val="WenQuanYi Zen Hei"/>
        <family val="2"/>
      </rPr>
      <t xml:space="preserve">かつ有効な入荷明細が残らなければ </t>
    </r>
    <r>
      <rPr>
        <sz val="10"/>
        <rFont val="Arial"/>
        <family val="0"/>
        <charset val="1"/>
      </rPr>
      <t xml:space="preserve">VOID </t>
    </r>
    <r>
      <rPr>
        <sz val="10"/>
        <rFont val="WenQuanYi Zen Hei"/>
        <family val="2"/>
      </rPr>
      <t xml:space="preserve">にしステータス履歴を記録。</t>
    </r>
    <r>
      <rPr>
        <sz val="10"/>
        <rFont val="Arial"/>
        <family val="0"/>
        <charset val="1"/>
      </rPr>
      <t xml:space="preserve">t_receipt.status=CANCELLED</t>
    </r>
  </si>
  <si>
    <t xml:space="preserve">引当の手動変更</t>
  </si>
  <si>
    <r>
      <rPr>
        <sz val="10"/>
        <rFont val="WenQuanYi Zen Hei"/>
        <family val="2"/>
      </rPr>
      <t xml:space="preserve">ロック（</t>
    </r>
    <r>
      <rPr>
        <sz val="10"/>
        <rFont val="Arial"/>
        <family val="0"/>
        <charset val="1"/>
      </rPr>
      <t xml:space="preserve">P-00</t>
    </r>
    <r>
      <rPr>
        <sz val="10"/>
        <rFont val="WenQuanYi Zen Hei"/>
        <family val="2"/>
      </rPr>
      <t xml:space="preserve">）：変更前後のロット </t>
    </r>
    <r>
      <rPr>
        <sz val="10"/>
        <rFont val="Arial"/>
        <family val="0"/>
        <charset val="1"/>
      </rPr>
      <t xml:space="preserve">FOR SHARE → </t>
    </r>
    <r>
      <rPr>
        <sz val="10"/>
        <rFont val="WenQuanYi Zen Hei"/>
        <family val="2"/>
      </rPr>
      <t xml:space="preserve">在庫 → 受注（</t>
    </r>
    <r>
      <rPr>
        <sz val="10"/>
        <rFont val="Arial"/>
        <family val="0"/>
        <charset val="1"/>
      </rPr>
      <t xml:space="preserve">status=OPEN/PARTIAL </t>
    </r>
    <r>
      <rPr>
        <sz val="10"/>
        <rFont val="WenQuanYi Zen Hei"/>
        <family val="2"/>
      </rPr>
      <t xml:space="preserve">を確認）→ </t>
    </r>
    <r>
      <rPr>
        <sz val="10"/>
        <rFont val="Arial"/>
        <family val="0"/>
        <charset val="1"/>
      </rPr>
      <t xml:space="preserve">t_shipment(ALLOCATED)</t>
    </r>
    <r>
      <rPr>
        <sz val="10"/>
        <rFont val="WenQuanYi Zen Hei"/>
        <family val="2"/>
      </rPr>
      <t xml:space="preserve">。変更前明細の </t>
    </r>
    <r>
      <rPr>
        <sz val="10"/>
        <rFont val="Arial"/>
        <family val="0"/>
        <charset val="1"/>
      </rPr>
      <t xml:space="preserve">allocated_qty </t>
    </r>
    <r>
      <rPr>
        <sz val="10"/>
        <rFont val="WenQuanYi Zen Hei"/>
        <family val="2"/>
      </rPr>
      <t xml:space="preserve">を減算し明細を </t>
    </r>
    <r>
      <rPr>
        <sz val="10"/>
        <rFont val="Arial"/>
        <family val="0"/>
        <charset val="1"/>
      </rPr>
      <t xml:space="preserve">CANCELLED</t>
    </r>
  </si>
  <si>
    <r>
      <rPr>
        <sz val="10"/>
        <rFont val="WenQuanYi Zen Hei"/>
        <family val="2"/>
      </rPr>
      <t xml:space="preserve">変更後のロット・保管場所が </t>
    </r>
    <r>
      <rPr>
        <sz val="10"/>
        <rFont val="Arial"/>
        <family val="0"/>
        <charset val="1"/>
      </rPr>
      <t xml:space="preserve">BR-04 </t>
    </r>
    <r>
      <rPr>
        <sz val="10"/>
        <rFont val="WenQuanYi Zen Hei"/>
        <family val="2"/>
      </rPr>
      <t xml:space="preserve">を満たすことを検証し、新しい明細</t>
    </r>
    <r>
      <rPr>
        <sz val="10"/>
        <rFont val="Arial"/>
        <family val="0"/>
        <charset val="1"/>
      </rPr>
      <t xml:space="preserve">(ALLOCATED)</t>
    </r>
    <r>
      <rPr>
        <sz val="10"/>
        <rFont val="WenQuanYi Zen Hei"/>
        <family val="2"/>
      </rPr>
      <t xml:space="preserve">を </t>
    </r>
    <r>
      <rPr>
        <sz val="10"/>
        <rFont val="Arial"/>
        <family val="0"/>
        <charset val="1"/>
      </rPr>
      <t xml:space="preserve">INSERT</t>
    </r>
    <r>
      <rPr>
        <sz val="10"/>
        <rFont val="WenQuanYi Zen Hei"/>
        <family val="2"/>
      </rPr>
      <t xml:space="preserve">・</t>
    </r>
    <r>
      <rPr>
        <sz val="10"/>
        <rFont val="Arial"/>
        <family val="0"/>
        <charset val="1"/>
      </rPr>
      <t xml:space="preserve">allocated_qty </t>
    </r>
    <r>
      <rPr>
        <sz val="10"/>
        <rFont val="WenQuanYi Zen Hei"/>
        <family val="2"/>
      </rPr>
      <t xml:space="preserve">加算</t>
    </r>
  </si>
  <si>
    <t xml:space="preserve">MSG-E12,MSG-E13</t>
  </si>
  <si>
    <r>
      <rPr>
        <sz val="10"/>
        <rFont val="WenQuanYi Zen Hei"/>
        <family val="2"/>
      </rPr>
      <t xml:space="preserve">受注明細ごとに 引当中数量 </t>
    </r>
    <r>
      <rPr>
        <sz val="10"/>
        <rFont val="Arial"/>
        <family val="0"/>
        <charset val="1"/>
      </rPr>
      <t xml:space="preserve">&lt;= </t>
    </r>
    <r>
      <rPr>
        <sz val="10"/>
        <rFont val="WenQuanYi Zen Hei"/>
        <family val="2"/>
      </rPr>
      <t xml:space="preserve">受注数量−出荷済数量 を検証</t>
    </r>
  </si>
  <si>
    <r>
      <rPr>
        <sz val="10"/>
        <rFont val="WenQuanYi Zen Hei"/>
        <family val="2"/>
      </rPr>
      <t xml:space="preserve">ロック（</t>
    </r>
    <r>
      <rPr>
        <sz val="10"/>
        <rFont val="Arial"/>
        <family val="0"/>
        <charset val="1"/>
      </rPr>
      <t xml:space="preserve">P-00</t>
    </r>
    <r>
      <rPr>
        <sz val="10"/>
        <rFont val="WenQuanYi Zen Hei"/>
        <family val="2"/>
      </rPr>
      <t xml:space="preserve">）：</t>
    </r>
    <r>
      <rPr>
        <sz val="10"/>
        <rFont val="Arial"/>
        <family val="0"/>
        <charset val="1"/>
      </rPr>
      <t xml:space="preserve">t_recall → t_recall_target</t>
    </r>
    <r>
      <rPr>
        <sz val="10"/>
        <rFont val="WenQuanYi Zen Hei"/>
        <family val="2"/>
      </rPr>
      <t xml:space="preserve">。全対象が </t>
    </r>
    <r>
      <rPr>
        <sz val="10"/>
        <rFont val="Arial"/>
        <family val="0"/>
        <charset val="1"/>
      </rPr>
      <t xml:space="preserve">RECOVERED/CLOSED </t>
    </r>
    <r>
      <rPr>
        <sz val="10"/>
        <rFont val="WenQuanYi Zen Hei"/>
        <family val="2"/>
      </rPr>
      <t xml:space="preserve">であることを検証</t>
    </r>
  </si>
  <si>
    <t xml:space="preserve">MSG-E24</t>
  </si>
  <si>
    <r>
      <rPr>
        <sz val="10"/>
        <rFont val="WenQuanYi Zen Hei"/>
        <family val="2"/>
      </rPr>
      <t xml:space="preserve">対象ロットの残在庫（全保管場所）が</t>
    </r>
    <r>
      <rPr>
        <sz val="10"/>
        <rFont val="Arial"/>
        <family val="0"/>
        <charset val="1"/>
      </rPr>
      <t xml:space="preserve">0</t>
    </r>
    <r>
      <rPr>
        <sz val="10"/>
        <rFont val="WenQuanYi Zen Hei"/>
        <family val="2"/>
      </rPr>
      <t xml:space="preserve">であることを確認（未処分なら警告）。</t>
    </r>
    <r>
      <rPr>
        <sz val="10"/>
        <rFont val="Arial"/>
        <family val="0"/>
        <charset val="1"/>
      </rPr>
      <t xml:space="preserve">status=CLOSED</t>
    </r>
    <r>
      <rPr>
        <sz val="10"/>
        <rFont val="WenQuanYi Zen Hei"/>
        <family val="2"/>
      </rPr>
      <t xml:space="preserve">、</t>
    </r>
    <r>
      <rPr>
        <sz val="10"/>
        <rFont val="Arial"/>
        <family val="0"/>
        <charset val="1"/>
      </rPr>
      <t xml:space="preserve">closed_on </t>
    </r>
    <r>
      <rPr>
        <sz val="10"/>
        <rFont val="WenQuanYi Zen Hei"/>
        <family val="2"/>
      </rPr>
      <t xml:space="preserve">設定</t>
    </r>
  </si>
  <si>
    <t xml:space="preserve">MSG-W07</t>
  </si>
  <si>
    <r>
      <rPr>
        <sz val="10"/>
        <rFont val="WenQuanYi Zen Hei"/>
        <family val="2"/>
      </rPr>
      <t xml:space="preserve">ロットステータス変更（</t>
    </r>
    <r>
      <rPr>
        <sz val="10"/>
        <rFont val="Arial"/>
        <family val="0"/>
        <charset val="1"/>
      </rPr>
      <t xml:space="preserve">QA</t>
    </r>
    <r>
      <rPr>
        <sz val="10"/>
        <rFont val="WenQuanYi Zen Hei"/>
        <family val="2"/>
      </rPr>
      <t xml:space="preserve">）</t>
    </r>
  </si>
  <si>
    <r>
      <rPr>
        <sz val="10"/>
        <rFont val="WenQuanYi Zen Hei"/>
        <family val="2"/>
      </rPr>
      <t xml:space="preserve">ロック（</t>
    </r>
    <r>
      <rPr>
        <sz val="10"/>
        <rFont val="Arial"/>
        <family val="0"/>
        <charset val="1"/>
      </rPr>
      <t xml:space="preserve">P-00</t>
    </r>
    <r>
      <rPr>
        <sz val="10"/>
        <rFont val="WenQuanYi Zen Hei"/>
        <family val="2"/>
      </rPr>
      <t xml:space="preserve">）：</t>
    </r>
    <r>
      <rPr>
        <sz val="10"/>
        <rFont val="Arial"/>
        <family val="0"/>
        <charset val="1"/>
      </rPr>
      <t xml:space="preserve">t_lot FOR UPDATE</t>
    </r>
    <r>
      <rPr>
        <sz val="10"/>
        <rFont val="WenQuanYi Zen Hei"/>
        <family val="2"/>
      </rPr>
      <t xml:space="preserve">。現状態→変更後が状態遷移シートで </t>
    </r>
    <r>
      <rPr>
        <sz val="10"/>
        <rFont val="Arial"/>
        <family val="0"/>
        <charset val="1"/>
      </rPr>
      <t xml:space="preserve">QA </t>
    </r>
    <r>
      <rPr>
        <sz val="10"/>
        <rFont val="WenQuanYi Zen Hei"/>
        <family val="2"/>
      </rPr>
      <t xml:space="preserve">に許可された遷移であることを検証</t>
    </r>
  </si>
  <si>
    <t xml:space="preserve">MSG-E29</t>
  </si>
  <si>
    <r>
      <rPr>
        <sz val="10"/>
        <rFont val="WenQuanYi Zen Hei"/>
        <family val="2"/>
      </rPr>
      <t xml:space="preserve">理由必須。</t>
    </r>
    <r>
      <rPr>
        <sz val="10"/>
        <rFont val="Arial"/>
        <family val="0"/>
        <charset val="1"/>
      </rPr>
      <t xml:space="preserve">HOLD→RELEASED </t>
    </r>
    <r>
      <rPr>
        <sz val="10"/>
        <rFont val="WenQuanYi Zen Hei"/>
        <family val="2"/>
      </rPr>
      <t xml:space="preserve">は </t>
    </r>
    <r>
      <rPr>
        <sz val="10"/>
        <rFont val="Arial"/>
        <family val="0"/>
        <charset val="1"/>
      </rPr>
      <t xml:space="preserve">BR-17 </t>
    </r>
    <r>
      <rPr>
        <sz val="10"/>
        <rFont val="WenQuanYi Zen Hei"/>
        <family val="2"/>
      </rPr>
      <t xml:space="preserve">を検証。</t>
    </r>
    <r>
      <rPr>
        <sz val="10"/>
        <rFont val="Arial"/>
        <family val="0"/>
        <charset val="1"/>
      </rPr>
      <t xml:space="preserve">inspected_at </t>
    </r>
    <r>
      <rPr>
        <sz val="10"/>
        <rFont val="WenQuanYi Zen Hei"/>
        <family val="2"/>
      </rPr>
      <t xml:space="preserve">が </t>
    </r>
    <r>
      <rPr>
        <sz val="10"/>
        <rFont val="Arial"/>
        <family val="0"/>
        <charset val="1"/>
      </rPr>
      <t xml:space="preserve">NULL </t>
    </r>
    <r>
      <rPr>
        <sz val="10"/>
        <rFont val="WenQuanYi Zen Hei"/>
        <family val="2"/>
      </rPr>
      <t xml:space="preserve">の </t>
    </r>
    <r>
      <rPr>
        <sz val="10"/>
        <rFont val="Arial"/>
        <family val="0"/>
        <charset val="1"/>
      </rPr>
      <t xml:space="preserve">HOLD </t>
    </r>
    <r>
      <rPr>
        <sz val="10"/>
        <rFont val="WenQuanYi Zen Hei"/>
        <family val="2"/>
      </rPr>
      <t xml:space="preserve">は </t>
    </r>
    <r>
      <rPr>
        <sz val="10"/>
        <rFont val="Arial"/>
        <family val="0"/>
        <charset val="1"/>
      </rPr>
      <t xml:space="preserve">QUARANTINE </t>
    </r>
    <r>
      <rPr>
        <sz val="10"/>
        <rFont val="WenQuanYi Zen Hei"/>
        <family val="2"/>
      </rPr>
      <t xml:space="preserve">にのみ解除可</t>
    </r>
  </si>
  <si>
    <t xml:space="preserve">MSG-E09,MSG-E08</t>
  </si>
  <si>
    <r>
      <rPr>
        <sz val="10"/>
        <rFont val="Arial"/>
        <family val="0"/>
        <charset val="1"/>
      </rPr>
      <t xml:space="preserve">status</t>
    </r>
    <r>
      <rPr>
        <sz val="10"/>
        <rFont val="WenQuanYi Zen Hei"/>
        <family val="2"/>
      </rPr>
      <t xml:space="preserve">・</t>
    </r>
    <r>
      <rPr>
        <sz val="10"/>
        <rFont val="Arial"/>
        <family val="0"/>
        <charset val="1"/>
      </rPr>
      <t xml:space="preserve">status_reason </t>
    </r>
    <r>
      <rPr>
        <sz val="10"/>
        <rFont val="WenQuanYi Zen Hei"/>
        <family val="2"/>
      </rPr>
      <t xml:space="preserve">を更新し </t>
    </r>
    <r>
      <rPr>
        <sz val="10"/>
        <rFont val="Arial"/>
        <family val="0"/>
        <charset val="1"/>
      </rPr>
      <t xml:space="preserve">t_lot_status_history </t>
    </r>
    <r>
      <rPr>
        <sz val="10"/>
        <rFont val="WenQuanYi Zen Hei"/>
        <family val="2"/>
      </rPr>
      <t xml:space="preserve">を </t>
    </r>
    <r>
      <rPr>
        <sz val="10"/>
        <rFont val="Arial"/>
        <family val="0"/>
        <charset val="1"/>
      </rPr>
      <t xml:space="preserve">INSERT</t>
    </r>
    <r>
      <rPr>
        <sz val="10"/>
        <rFont val="WenQuanYi Zen Hei"/>
        <family val="2"/>
      </rPr>
      <t xml:space="preserve">。</t>
    </r>
    <r>
      <rPr>
        <sz val="10"/>
        <rFont val="Arial"/>
        <family val="0"/>
        <charset val="1"/>
      </rPr>
      <t xml:space="preserve">HOLD/REJECTED </t>
    </r>
    <r>
      <rPr>
        <sz val="10"/>
        <rFont val="WenQuanYi Zen Hei"/>
        <family val="2"/>
      </rPr>
      <t xml:space="preserve">への変更時は </t>
    </r>
    <r>
      <rPr>
        <sz val="10"/>
        <rFont val="Arial"/>
        <family val="0"/>
        <charset val="1"/>
      </rPr>
      <t xml:space="preserve">P-11 </t>
    </r>
    <r>
      <rPr>
        <sz val="10"/>
        <rFont val="WenQuanYi Zen Hei"/>
        <family val="2"/>
      </rPr>
      <t xml:space="preserve">で引当解除</t>
    </r>
  </si>
  <si>
    <r>
      <rPr>
        <sz val="10"/>
        <rFont val="WenQuanYi Zen Hei"/>
        <family val="2"/>
      </rPr>
      <t xml:space="preserve">分納受入判定（</t>
    </r>
    <r>
      <rPr>
        <sz val="10"/>
        <rFont val="Arial"/>
        <family val="0"/>
        <charset val="1"/>
      </rPr>
      <t xml:space="preserve">QA</t>
    </r>
    <r>
      <rPr>
        <sz val="10"/>
        <rFont val="WenQuanYi Zen Hei"/>
        <family val="2"/>
      </rPr>
      <t xml:space="preserve">）</t>
    </r>
  </si>
  <si>
    <r>
      <rPr>
        <sz val="10"/>
        <rFont val="WenQuanYi Zen Hei"/>
        <family val="2"/>
      </rPr>
      <t xml:space="preserve">ロック（</t>
    </r>
    <r>
      <rPr>
        <sz val="10"/>
        <rFont val="Arial"/>
        <family val="0"/>
        <charset val="1"/>
      </rPr>
      <t xml:space="preserve">P-00</t>
    </r>
    <r>
      <rPr>
        <sz val="10"/>
        <rFont val="WenQuanYi Zen Hei"/>
        <family val="2"/>
      </rPr>
      <t xml:space="preserve">）：ロット → 在庫 → 対象入荷明細 </t>
    </r>
    <r>
      <rPr>
        <sz val="10"/>
        <rFont val="Arial"/>
        <family val="0"/>
        <charset val="1"/>
      </rPr>
      <t xml:space="preserve">FOR UPDATE</t>
    </r>
    <r>
      <rPr>
        <sz val="10"/>
        <rFont val="WenQuanYi Zen Hei"/>
        <family val="2"/>
      </rPr>
      <t xml:space="preserve">。</t>
    </r>
    <r>
      <rPr>
        <sz val="10"/>
        <rFont val="Arial"/>
        <family val="0"/>
        <charset val="1"/>
      </rPr>
      <t xml:space="preserve">split_status=PENDING </t>
    </r>
    <r>
      <rPr>
        <sz val="10"/>
        <rFont val="WenQuanYi Zen Hei"/>
        <family val="2"/>
      </rPr>
      <t xml:space="preserve">を確認（判定済なら </t>
    </r>
    <r>
      <rPr>
        <sz val="10"/>
        <rFont val="Arial"/>
        <family val="0"/>
        <charset val="1"/>
      </rPr>
      <t xml:space="preserve">MSG-E30</t>
    </r>
    <r>
      <rPr>
        <sz val="10"/>
        <rFont val="WenQuanYi Zen Hei"/>
        <family val="2"/>
      </rPr>
      <t xml:space="preserve">）</t>
    </r>
  </si>
  <si>
    <r>
      <rPr>
        <sz val="10"/>
        <rFont val="WenQuanYi Zen Hei"/>
        <family val="2"/>
      </rPr>
      <t xml:space="preserve">到着時温度・</t>
    </r>
    <r>
      <rPr>
        <sz val="10"/>
        <rFont val="Arial"/>
        <family val="0"/>
        <charset val="1"/>
      </rPr>
      <t xml:space="preserve">COA</t>
    </r>
    <r>
      <rPr>
        <sz val="10"/>
        <rFont val="WenQuanYi Zen Hei"/>
        <family val="2"/>
      </rPr>
      <t xml:space="preserve">（分納分）を確認し判定。合格：入荷明細の数量を </t>
    </r>
    <r>
      <rPr>
        <sz val="10"/>
        <rFont val="Arial"/>
        <family val="0"/>
        <charset val="1"/>
      </rPr>
      <t xml:space="preserve">ref=receipt_line </t>
    </r>
    <r>
      <rPr>
        <sz val="10"/>
        <rFont val="WenQuanYi Zen Hei"/>
        <family val="2"/>
      </rPr>
      <t xml:space="preserve">で </t>
    </r>
    <r>
      <rPr>
        <sz val="10"/>
        <rFont val="Arial"/>
        <family val="0"/>
        <charset val="1"/>
      </rPr>
      <t xml:space="preserve">TRANSFER_OUT/IN </t>
    </r>
    <r>
      <rPr>
        <sz val="10"/>
        <rFont val="WenQuanYi Zen Hei"/>
        <family val="2"/>
      </rPr>
      <t xml:space="preserve">し通常保管場所へ移動、</t>
    </r>
    <r>
      <rPr>
        <sz val="10"/>
        <rFont val="Arial"/>
        <family val="0"/>
        <charset val="1"/>
      </rPr>
      <t xml:space="preserve">split_status=ACCEPTED</t>
    </r>
    <r>
      <rPr>
        <sz val="10"/>
        <rFont val="WenQuanYi Zen Hei"/>
        <family val="2"/>
      </rPr>
      <t xml:space="preserve">（ロットが </t>
    </r>
    <r>
      <rPr>
        <sz val="10"/>
        <rFont val="Arial"/>
        <family val="0"/>
        <charset val="1"/>
      </rPr>
      <t xml:space="preserve">RELEASED </t>
    </r>
    <r>
      <rPr>
        <sz val="10"/>
        <rFont val="WenQuanYi Zen Hei"/>
        <family val="2"/>
      </rPr>
      <t xml:space="preserve">なら引当可能）</t>
    </r>
  </si>
  <si>
    <r>
      <rPr>
        <sz val="10"/>
        <rFont val="WenQuanYi Zen Hei"/>
        <family val="2"/>
      </rPr>
      <t xml:space="preserve">不合格：</t>
    </r>
    <r>
      <rPr>
        <sz val="10"/>
        <rFont val="Arial"/>
        <family val="0"/>
        <charset val="1"/>
      </rPr>
      <t xml:space="preserve">split_status=REJECTED </t>
    </r>
    <r>
      <rPr>
        <sz val="10"/>
        <rFont val="WenQuanYi Zen Hei"/>
        <family val="2"/>
      </rPr>
      <t xml:space="preserve">とし、分納分を </t>
    </r>
    <r>
      <rPr>
        <sz val="10"/>
        <rFont val="Arial"/>
        <family val="0"/>
        <charset val="1"/>
      </rPr>
      <t xml:space="preserve">ref=receipt_line </t>
    </r>
    <r>
      <rPr>
        <sz val="10"/>
        <rFont val="WenQuanYi Zen Hei"/>
        <family val="2"/>
      </rPr>
      <t xml:space="preserve">で </t>
    </r>
    <r>
      <rPr>
        <sz val="10"/>
        <rFont val="Arial"/>
        <family val="0"/>
        <charset val="1"/>
      </rPr>
      <t xml:space="preserve">DISPOSE </t>
    </r>
    <r>
      <rPr>
        <sz val="10"/>
        <rFont val="WenQuanYi Zen Hei"/>
        <family val="2"/>
      </rPr>
      <t xml:space="preserve">するか仕入先返品（</t>
    </r>
    <r>
      <rPr>
        <sz val="10"/>
        <rFont val="Arial"/>
        <family val="0"/>
        <charset val="1"/>
      </rPr>
      <t xml:space="preserve">P-17</t>
    </r>
    <r>
      <rPr>
        <sz val="10"/>
        <rFont val="WenQuanYi Zen Hei"/>
        <family val="2"/>
      </rPr>
      <t xml:space="preserve">）。ロット全体に影響する場合は </t>
    </r>
    <r>
      <rPr>
        <sz val="10"/>
        <rFont val="Arial"/>
        <family val="0"/>
        <charset val="1"/>
      </rPr>
      <t xml:space="preserve">P-15 </t>
    </r>
    <r>
      <rPr>
        <sz val="10"/>
        <rFont val="WenQuanYi Zen Hei"/>
        <family val="2"/>
      </rPr>
      <t xml:space="preserve">で </t>
    </r>
    <r>
      <rPr>
        <sz val="10"/>
        <rFont val="Arial"/>
        <family val="0"/>
        <charset val="1"/>
      </rPr>
      <t xml:space="preserve">HOLD/REJECTED</t>
    </r>
  </si>
  <si>
    <r>
      <rPr>
        <sz val="10"/>
        <rFont val="WenQuanYi Zen Hei"/>
        <family val="2"/>
      </rPr>
      <t xml:space="preserve">ロック（</t>
    </r>
    <r>
      <rPr>
        <sz val="10"/>
        <rFont val="Arial"/>
        <family val="0"/>
        <charset val="1"/>
      </rPr>
      <t xml:space="preserve">P-00</t>
    </r>
    <r>
      <rPr>
        <sz val="10"/>
        <rFont val="WenQuanYi Zen Hei"/>
        <family val="2"/>
      </rPr>
      <t xml:space="preserve">）：ロット → 在庫 → 返品元の入荷明細。払出し元が通常保管場所なら対象ロットは </t>
    </r>
    <r>
      <rPr>
        <sz val="10"/>
        <rFont val="Arial"/>
        <family val="0"/>
        <charset val="1"/>
      </rPr>
      <t xml:space="preserve">REJECTED/RECALLED/EXPIRED</t>
    </r>
    <r>
      <rPr>
        <sz val="10"/>
        <rFont val="WenQuanYi Zen Hei"/>
        <family val="2"/>
      </rPr>
      <t xml:space="preserve">、隔離保管場所なら </t>
    </r>
    <r>
      <rPr>
        <sz val="10"/>
        <rFont val="Arial"/>
        <family val="0"/>
        <charset val="1"/>
      </rPr>
      <t xml:space="preserve">split_status=REJECTED </t>
    </r>
    <r>
      <rPr>
        <sz val="10"/>
        <rFont val="WenQuanYi Zen Hei"/>
        <family val="2"/>
      </rPr>
      <t xml:space="preserve">の分納明細に限る（返品在庫は対象外）</t>
    </r>
  </si>
  <si>
    <r>
      <rPr>
        <sz val="10"/>
        <rFont val="WenQuanYi Zen Hei"/>
        <family val="2"/>
      </rPr>
      <t xml:space="preserve">返品元の入荷明細は利用者が選択（移行ロットは </t>
    </r>
    <r>
      <rPr>
        <sz val="10"/>
        <rFont val="Arial"/>
        <family val="0"/>
        <charset val="1"/>
      </rPr>
      <t xml:space="preserve">ref_type=migration</t>
    </r>
    <r>
      <rPr>
        <sz val="10"/>
        <rFont val="WenQuanYi Zen Hei"/>
        <family val="2"/>
      </rPr>
      <t xml:space="preserve">）。数量上限＝当該明細の入荷数量−同一 </t>
    </r>
    <r>
      <rPr>
        <sz val="10"/>
        <rFont val="Arial"/>
        <family val="0"/>
        <charset val="1"/>
      </rPr>
      <t xml:space="preserve">ref </t>
    </r>
    <r>
      <rPr>
        <sz val="10"/>
        <rFont val="WenQuanYi Zen Hei"/>
        <family val="2"/>
      </rPr>
      <t xml:space="preserve">の払出し済数量。</t>
    </r>
    <r>
      <rPr>
        <sz val="10"/>
        <rFont val="Arial"/>
        <family val="0"/>
        <charset val="1"/>
      </rPr>
      <t xml:space="preserve">SUPPLIER_RETURN(−</t>
    </r>
    <r>
      <rPr>
        <sz val="10"/>
        <rFont val="WenQuanYi Zen Hei"/>
        <family val="2"/>
      </rPr>
      <t xml:space="preserve">数量</t>
    </r>
    <r>
      <rPr>
        <sz val="10"/>
        <rFont val="Arial"/>
        <family val="0"/>
        <charset val="1"/>
      </rPr>
      <t xml:space="preserve">) </t>
    </r>
    <r>
      <rPr>
        <sz val="10"/>
        <rFont val="WenQuanYi Zen Hei"/>
        <family val="2"/>
      </rPr>
      <t xml:space="preserve">を </t>
    </r>
    <r>
      <rPr>
        <sz val="10"/>
        <rFont val="Arial"/>
        <family val="0"/>
        <charset val="1"/>
      </rPr>
      <t xml:space="preserve">INSERT </t>
    </r>
    <r>
      <rPr>
        <sz val="10"/>
        <rFont val="WenQuanYi Zen Hei"/>
        <family val="2"/>
      </rPr>
      <t xml:space="preserve">し在庫減算（引当済数を下回る場合はエラー）。理由必須</t>
    </r>
  </si>
  <si>
    <t xml:space="preserve">MSG-E18,MSG-E30</t>
  </si>
  <si>
    <r>
      <rPr>
        <sz val="10"/>
        <rFont val="WenQuanYi Zen Hei"/>
        <family val="2"/>
      </rPr>
      <t xml:space="preserve">仕入先への返品書類を </t>
    </r>
    <r>
      <rPr>
        <sz val="10"/>
        <rFont val="Arial"/>
        <family val="0"/>
        <charset val="1"/>
      </rPr>
      <t xml:space="preserve">t_attachment </t>
    </r>
    <r>
      <rPr>
        <sz val="10"/>
        <rFont val="WenQuanYi Zen Hei"/>
        <family val="2"/>
      </rPr>
      <t xml:space="preserve">に添付可。仕入実績表（</t>
    </r>
    <r>
      <rPr>
        <sz val="10"/>
        <rFont val="Arial"/>
        <family val="0"/>
        <charset val="1"/>
      </rPr>
      <t xml:space="preserve">RP-03</t>
    </r>
    <r>
      <rPr>
        <sz val="10"/>
        <rFont val="WenQuanYi Zen Hei"/>
        <family val="2"/>
      </rPr>
      <t xml:space="preserve">）でマイナス計上（単価＝入荷明細の仕入単価、移行ロットは </t>
    </r>
    <r>
      <rPr>
        <sz val="10"/>
        <rFont val="Arial"/>
        <family val="0"/>
        <charset val="1"/>
      </rPr>
      <t xml:space="preserve">t_lot.unit_cost</t>
    </r>
    <r>
      <rPr>
        <sz val="10"/>
        <rFont val="WenQuanYi Zen Hei"/>
        <family val="2"/>
      </rPr>
      <t xml:space="preserve">）</t>
    </r>
  </si>
  <si>
    <t xml:space="preserve">回収対象抽出（再抽出）</t>
  </si>
  <si>
    <r>
      <rPr>
        <sz val="10"/>
        <rFont val="WenQuanYi Zen Hei"/>
        <family val="2"/>
      </rPr>
      <t xml:space="preserve">ロック（</t>
    </r>
    <r>
      <rPr>
        <sz val="10"/>
        <rFont val="Arial"/>
        <family val="0"/>
        <charset val="1"/>
      </rPr>
      <t xml:space="preserve">P-00</t>
    </r>
    <r>
      <rPr>
        <sz val="10"/>
        <rFont val="WenQuanYi Zen Hei"/>
        <family val="2"/>
      </rPr>
      <t xml:space="preserve">）：</t>
    </r>
    <r>
      <rPr>
        <sz val="10"/>
        <rFont val="Arial"/>
        <family val="0"/>
        <charset val="1"/>
      </rPr>
      <t xml:space="preserve">t_recall FOR UPDATE</t>
    </r>
    <r>
      <rPr>
        <sz val="10"/>
        <rFont val="WenQuanYi Zen Hei"/>
        <family val="2"/>
      </rPr>
      <t xml:space="preserve">（同一案件の抽出を直列化）。</t>
    </r>
    <r>
      <rPr>
        <sz val="10"/>
        <rFont val="Arial"/>
        <family val="0"/>
        <charset val="1"/>
      </rPr>
      <t xml:space="preserve">status≠CLOSED </t>
    </r>
    <r>
      <rPr>
        <sz val="10"/>
        <rFont val="WenQuanYi Zen Hei"/>
        <family val="2"/>
      </rPr>
      <t xml:space="preserve">を確認し </t>
    </r>
    <r>
      <rPr>
        <sz val="10"/>
        <rFont val="Arial"/>
        <family val="0"/>
        <charset val="1"/>
      </rPr>
      <t xml:space="preserve">SQL-03</t>
    </r>
    <r>
      <rPr>
        <sz val="10"/>
        <rFont val="WenQuanYi Zen Hei"/>
        <family val="2"/>
      </rPr>
      <t xml:space="preserve">（</t>
    </r>
    <r>
      <rPr>
        <sz val="10"/>
        <rFont val="Arial"/>
        <family val="0"/>
        <charset val="1"/>
      </rPr>
      <t xml:space="preserve">UPSERT</t>
    </r>
    <r>
      <rPr>
        <sz val="10"/>
        <rFont val="WenQuanYi Zen Hei"/>
        <family val="2"/>
      </rPr>
      <t xml:space="preserve">＋消滅分の更新）を実行（</t>
    </r>
    <r>
      <rPr>
        <sz val="10"/>
        <rFont val="Arial"/>
        <family val="0"/>
        <charset val="1"/>
      </rPr>
      <t xml:space="preserve">BR-14</t>
    </r>
    <r>
      <rPr>
        <sz val="10"/>
        <rFont val="WenQuanYi Zen Hei"/>
        <family val="2"/>
      </rPr>
      <t xml:space="preserve">）</t>
    </r>
  </si>
  <si>
    <r>
      <rPr>
        <sz val="10"/>
        <rFont val="WenQuanYi Zen Hei"/>
        <family val="2"/>
      </rPr>
      <t xml:space="preserve">回収数量＋回収不能数量 </t>
    </r>
    <r>
      <rPr>
        <sz val="10"/>
        <rFont val="Arial"/>
        <family val="0"/>
        <charset val="1"/>
      </rPr>
      <t xml:space="preserve">&gt;= </t>
    </r>
    <r>
      <rPr>
        <sz val="10"/>
        <rFont val="WenQuanYi Zen Hei"/>
        <family val="2"/>
      </rPr>
      <t xml:space="preserve">出荷正味数量 の対象を </t>
    </r>
    <r>
      <rPr>
        <sz val="10"/>
        <rFont val="Arial"/>
        <family val="0"/>
        <charset val="1"/>
      </rPr>
      <t xml:space="preserve">RECOVERED</t>
    </r>
    <r>
      <rPr>
        <sz val="10"/>
        <rFont val="WenQuanYi Zen Hei"/>
        <family val="2"/>
      </rPr>
      <t xml:space="preserve">、出荷正味</t>
    </r>
    <r>
      <rPr>
        <sz val="10"/>
        <rFont val="Arial"/>
        <family val="0"/>
        <charset val="1"/>
      </rPr>
      <t xml:space="preserve">0 </t>
    </r>
    <r>
      <rPr>
        <sz val="10"/>
        <rFont val="WenQuanYi Zen Hei"/>
        <family val="2"/>
      </rPr>
      <t xml:space="preserve">で回収実績のない対象を </t>
    </r>
    <r>
      <rPr>
        <sz val="10"/>
        <rFont val="Arial"/>
        <family val="0"/>
        <charset val="1"/>
      </rPr>
      <t xml:space="preserve">CLOSED</t>
    </r>
    <r>
      <rPr>
        <sz val="10"/>
        <rFont val="WenQuanYi Zen Hei"/>
        <family val="2"/>
      </rPr>
      <t xml:space="preserve">（</t>
    </r>
    <r>
      <rPr>
        <sz val="10"/>
        <rFont val="Arial"/>
        <family val="0"/>
        <charset val="1"/>
      </rPr>
      <t xml:space="preserve">close_reason=</t>
    </r>
    <r>
      <rPr>
        <sz val="10"/>
        <rFont val="WenQuanYi Zen Hei"/>
        <family val="2"/>
      </rPr>
      <t xml:space="preserve">自動）にする</t>
    </r>
  </si>
  <si>
    <t xml:space="preserve">回収進捗更新</t>
  </si>
  <si>
    <r>
      <rPr>
        <sz val="10"/>
        <rFont val="WenQuanYi Zen Hei"/>
        <family val="2"/>
      </rPr>
      <t xml:space="preserve">ロック（</t>
    </r>
    <r>
      <rPr>
        <sz val="10"/>
        <rFont val="Arial"/>
        <family val="0"/>
        <charset val="1"/>
      </rPr>
      <t xml:space="preserve">P-00</t>
    </r>
    <r>
      <rPr>
        <sz val="10"/>
        <rFont val="WenQuanYi Zen Hei"/>
        <family val="2"/>
      </rPr>
      <t xml:space="preserve">）：</t>
    </r>
    <r>
      <rPr>
        <sz val="10"/>
        <rFont val="Arial"/>
        <family val="0"/>
        <charset val="1"/>
      </rPr>
      <t xml:space="preserve">t_recall → </t>
    </r>
    <r>
      <rPr>
        <sz val="10"/>
        <rFont val="WenQuanYi Zen Hei"/>
        <family val="2"/>
      </rPr>
      <t xml:space="preserve">対象 </t>
    </r>
    <r>
      <rPr>
        <sz val="10"/>
        <rFont val="Arial"/>
        <family val="0"/>
        <charset val="1"/>
      </rPr>
      <t xml:space="preserve">t_recall_target</t>
    </r>
    <r>
      <rPr>
        <sz val="10"/>
        <rFont val="WenQuanYi Zen Hei"/>
        <family val="2"/>
      </rPr>
      <t xml:space="preserve">。回収案件≠</t>
    </r>
    <r>
      <rPr>
        <sz val="10"/>
        <rFont val="Arial"/>
        <family val="0"/>
        <charset val="1"/>
      </rPr>
      <t xml:space="preserve">CLOSED </t>
    </r>
    <r>
      <rPr>
        <sz val="10"/>
        <rFont val="WenQuanYi Zen Hei"/>
        <family val="2"/>
      </rPr>
      <t xml:space="preserve">を確認</t>
    </r>
  </si>
  <si>
    <r>
      <rPr>
        <sz val="10"/>
        <rFont val="Arial"/>
        <family val="0"/>
        <charset val="1"/>
      </rPr>
      <t xml:space="preserve">SALES </t>
    </r>
    <r>
      <rPr>
        <sz val="10"/>
        <rFont val="WenQuanYi Zen Hei"/>
        <family val="2"/>
      </rPr>
      <t xml:space="preserve">は連絡日・連絡方法・</t>
    </r>
    <r>
      <rPr>
        <sz val="10"/>
        <rFont val="Arial"/>
        <family val="0"/>
        <charset val="1"/>
      </rPr>
      <t xml:space="preserve">CONTACTED </t>
    </r>
    <r>
      <rPr>
        <sz val="10"/>
        <rFont val="WenQuanYi Zen Hei"/>
        <family val="2"/>
      </rPr>
      <t xml:space="preserve">のみ更新可。</t>
    </r>
    <r>
      <rPr>
        <sz val="10"/>
        <rFont val="Arial"/>
        <family val="0"/>
        <charset val="1"/>
      </rPr>
      <t xml:space="preserve">CLOSED</t>
    </r>
    <r>
      <rPr>
        <sz val="10"/>
        <rFont val="WenQuanYi Zen Hei"/>
        <family val="2"/>
      </rPr>
      <t xml:space="preserve">（</t>
    </r>
    <r>
      <rPr>
        <sz val="10"/>
        <rFont val="Arial"/>
        <family val="0"/>
        <charset val="1"/>
      </rPr>
      <t xml:space="preserve">close_reason </t>
    </r>
    <r>
      <rPr>
        <sz val="10"/>
        <rFont val="WenQuanYi Zen Hei"/>
        <family val="2"/>
      </rPr>
      <t xml:space="preserve">必須）と </t>
    </r>
    <r>
      <rPr>
        <sz val="10"/>
        <rFont val="Arial"/>
        <family val="0"/>
        <charset val="1"/>
      </rPr>
      <t xml:space="preserve">unrecoverable_qty </t>
    </r>
    <r>
      <rPr>
        <sz val="10"/>
        <rFont val="WenQuanYi Zen Hei"/>
        <family val="2"/>
      </rPr>
      <t xml:space="preserve">は </t>
    </r>
    <r>
      <rPr>
        <sz val="10"/>
        <rFont val="Arial"/>
        <family val="0"/>
        <charset val="1"/>
      </rPr>
      <t xml:space="preserve">QA </t>
    </r>
    <r>
      <rPr>
        <sz val="10"/>
        <rFont val="WenQuanYi Zen Hei"/>
        <family val="2"/>
      </rPr>
      <t xml:space="preserve">のみ</t>
    </r>
  </si>
  <si>
    <r>
      <rPr>
        <sz val="10"/>
        <rFont val="WenQuanYi Zen Hei"/>
        <family val="2"/>
      </rPr>
      <t xml:space="preserve">更新後、回収数量＋回収不能数量 </t>
    </r>
    <r>
      <rPr>
        <sz val="10"/>
        <rFont val="Arial"/>
        <family val="0"/>
        <charset val="1"/>
      </rPr>
      <t xml:space="preserve">&gt;= </t>
    </r>
    <r>
      <rPr>
        <sz val="10"/>
        <rFont val="WenQuanYi Zen Hei"/>
        <family val="2"/>
      </rPr>
      <t xml:space="preserve">出荷正味数量 なら </t>
    </r>
    <r>
      <rPr>
        <sz val="10"/>
        <rFont val="Arial"/>
        <family val="0"/>
        <charset val="1"/>
      </rPr>
      <t xml:space="preserve">RECOVERED</t>
    </r>
    <r>
      <rPr>
        <sz val="10"/>
        <rFont val="WenQuanYi Zen Hei"/>
        <family val="2"/>
      </rPr>
      <t xml:space="preserve">（</t>
    </r>
    <r>
      <rPr>
        <sz val="10"/>
        <rFont val="Arial"/>
        <family val="0"/>
        <charset val="1"/>
      </rPr>
      <t xml:space="preserve">P-07 </t>
    </r>
    <r>
      <rPr>
        <sz val="10"/>
        <rFont val="WenQuanYi Zen Hei"/>
        <family val="2"/>
      </rPr>
      <t xml:space="preserve">ステップ</t>
    </r>
    <r>
      <rPr>
        <sz val="10"/>
        <rFont val="Arial"/>
        <family val="0"/>
        <charset val="1"/>
      </rPr>
      <t xml:space="preserve">4</t>
    </r>
    <r>
      <rPr>
        <sz val="10"/>
        <rFont val="WenQuanYi Zen Hei"/>
        <family val="2"/>
      </rPr>
      <t xml:space="preserve">と同じ判定）</t>
    </r>
  </si>
  <si>
    <r>
      <rPr>
        <sz val="10"/>
        <rFont val="WenQuanYi Zen Hei"/>
        <family val="2"/>
      </rPr>
      <t xml:space="preserve">回収案件 </t>
    </r>
    <r>
      <rPr>
        <sz val="10"/>
        <rFont val="Arial"/>
        <family val="0"/>
        <charset val="1"/>
      </rPr>
      <t xml:space="preserve">status=IN_PROGRESS</t>
    </r>
    <r>
      <rPr>
        <sz val="10"/>
        <rFont val="WenQuanYi Zen Hei"/>
        <family val="2"/>
      </rPr>
      <t xml:space="preserve">。初回抽出時は </t>
    </r>
    <r>
      <rPr>
        <sz val="10"/>
        <rFont val="Arial"/>
        <family val="0"/>
        <charset val="1"/>
      </rPr>
      <t xml:space="preserve">QA</t>
    </r>
    <r>
      <rPr>
        <sz val="10"/>
        <rFont val="WenQuanYi Zen Hei"/>
        <family val="2"/>
      </rPr>
      <t xml:space="preserve">・管理者へメール通知</t>
    </r>
  </si>
  <si>
    <r>
      <rPr>
        <b val="true"/>
        <sz val="10"/>
        <color rgb="FFFFFFFF"/>
        <rFont val="WenQuanYi Zen Hei"/>
        <family val="2"/>
      </rPr>
      <t xml:space="preserve">ルール</t>
    </r>
    <r>
      <rPr>
        <b val="true"/>
        <sz val="10"/>
        <color rgb="FFFFFFFF"/>
        <rFont val="Arial"/>
        <family val="0"/>
        <charset val="1"/>
      </rPr>
      <t xml:space="preserve">ID</t>
    </r>
  </si>
  <si>
    <t xml:space="preserve">ルール</t>
  </si>
  <si>
    <t xml:space="preserve">BR-01</t>
  </si>
  <si>
    <t xml:space="preserve">トレーサビリティ</t>
  </si>
  <si>
    <r>
      <rPr>
        <sz val="10"/>
        <rFont val="WenQuanYi Zen Hei"/>
        <family val="2"/>
      </rPr>
      <t xml:space="preserve">出荷明細はロット</t>
    </r>
    <r>
      <rPr>
        <sz val="10"/>
        <rFont val="Arial"/>
        <family val="0"/>
        <charset val="1"/>
      </rPr>
      <t xml:space="preserve">ID</t>
    </r>
    <r>
      <rPr>
        <sz val="10"/>
        <rFont val="WenQuanYi Zen Hei"/>
        <family val="2"/>
      </rPr>
      <t xml:space="preserve">を必須とし、ロットの商品と受注明細の商品が一致すること。</t>
    </r>
  </si>
  <si>
    <t xml:space="preserve">BR-02</t>
  </si>
  <si>
    <t xml:space="preserve">在庫数量の増減は必ず在庫移動履歴を伴うトランザクションで行う（在庫テーブルの直接更新禁止）。</t>
  </si>
  <si>
    <t xml:space="preserve">SHP-02,INV-03</t>
  </si>
  <si>
    <t xml:space="preserve">BR-03</t>
  </si>
  <si>
    <t xml:space="preserve">確定済の入荷・出荷・返品は物理削除不可。取消は取消区分の移動履歴（赤伝）で行う。</t>
  </si>
  <si>
    <t xml:space="preserve">SHP-02,RCV-01</t>
  </si>
  <si>
    <r>
      <rPr>
        <sz val="10"/>
        <rFont val="WenQuanYi Zen Hei"/>
        <family val="2"/>
      </rPr>
      <t xml:space="preserve">引当可能な在庫は、ロット</t>
    </r>
    <r>
      <rPr>
        <sz val="10"/>
        <rFont val="Arial"/>
        <family val="0"/>
        <charset val="1"/>
      </rPr>
      <t xml:space="preserve">.</t>
    </r>
    <r>
      <rPr>
        <sz val="10"/>
        <rFont val="WenQuanYi Zen Hei"/>
        <family val="2"/>
      </rPr>
      <t xml:space="preserve">ステータス</t>
    </r>
    <r>
      <rPr>
        <sz val="10"/>
        <rFont val="Arial"/>
        <family val="0"/>
        <charset val="1"/>
      </rPr>
      <t xml:space="preserve">=RELEASED </t>
    </r>
    <r>
      <rPr>
        <sz val="10"/>
        <rFont val="WenQuanYi Zen Hei"/>
        <family val="2"/>
      </rPr>
      <t xml:space="preserve">かつ 使用期限−出荷日 </t>
    </r>
    <r>
      <rPr>
        <sz val="10"/>
        <rFont val="Arial"/>
        <family val="0"/>
        <charset val="1"/>
      </rPr>
      <t xml:space="preserve">&gt;= </t>
    </r>
    <r>
      <rPr>
        <sz val="10"/>
        <rFont val="WenQuanYi Zen Hei"/>
        <family val="2"/>
      </rPr>
      <t xml:space="preserve">商品</t>
    </r>
    <r>
      <rPr>
        <sz val="10"/>
        <rFont val="Arial"/>
        <family val="0"/>
        <charset val="1"/>
      </rPr>
      <t xml:space="preserve">.</t>
    </r>
    <r>
      <rPr>
        <sz val="10"/>
        <rFont val="WenQuanYi Zen Hei"/>
        <family val="2"/>
      </rPr>
      <t xml:space="preserve">最低出荷残期間 かつ 隔離保管場所でないものに限る。</t>
    </r>
  </si>
  <si>
    <t xml:space="preserve">BR-05</t>
  </si>
  <si>
    <r>
      <rPr>
        <sz val="10"/>
        <rFont val="WenQuanYi Zen Hei"/>
        <family val="2"/>
      </rPr>
      <t xml:space="preserve">自動引当は使用期限の早い順（</t>
    </r>
    <r>
      <rPr>
        <sz val="10"/>
        <rFont val="Arial"/>
        <family val="0"/>
        <charset val="1"/>
      </rPr>
      <t xml:space="preserve">FEFO</t>
    </r>
    <r>
      <rPr>
        <sz val="10"/>
        <rFont val="WenQuanYi Zen Hei"/>
        <family val="2"/>
      </rPr>
      <t xml:space="preserve">）、同一期限は入荷日の早い順とする。</t>
    </r>
  </si>
  <si>
    <t xml:space="preserve">BR-06</t>
  </si>
  <si>
    <t xml:space="preserve">入庫・移動先の保管場所の保管温度区分は、商品の保管温度区分と一致すること。</t>
  </si>
  <si>
    <t xml:space="preserve">RCV-01,INV-02</t>
  </si>
  <si>
    <t xml:space="preserve">BR-07</t>
  </si>
  <si>
    <r>
      <rPr>
        <sz val="10"/>
        <rFont val="WenQuanYi Zen Hei"/>
        <family val="2"/>
      </rPr>
      <t xml:space="preserve">温度記録が許容範囲外の場合、測定日時時点で当該保管場所に在庫があったロットを特定し、</t>
    </r>
    <r>
      <rPr>
        <sz val="10"/>
        <rFont val="Arial"/>
        <family val="0"/>
        <charset val="1"/>
      </rPr>
      <t xml:space="preserve">QUARANTINE/RELEASED</t>
    </r>
    <r>
      <rPr>
        <sz val="10"/>
        <rFont val="WenQuanYi Zen Hei"/>
        <family val="2"/>
      </rPr>
      <t xml:space="preserve">は</t>
    </r>
    <r>
      <rPr>
        <sz val="10"/>
        <rFont val="Arial"/>
        <family val="0"/>
        <charset val="1"/>
      </rPr>
      <t xml:space="preserve">HOLD</t>
    </r>
    <r>
      <rPr>
        <sz val="10"/>
        <rFont val="WenQuanYi Zen Hei"/>
        <family val="2"/>
      </rPr>
      <t xml:space="preserve">、既出荷分は回収候補として</t>
    </r>
    <r>
      <rPr>
        <sz val="10"/>
        <rFont val="Arial"/>
        <family val="0"/>
        <charset val="1"/>
      </rPr>
      <t xml:space="preserve">QA</t>
    </r>
    <r>
      <rPr>
        <sz val="10"/>
        <rFont val="WenQuanYi Zen Hei"/>
        <family val="2"/>
      </rPr>
      <t xml:space="preserve">へ通知する。</t>
    </r>
  </si>
  <si>
    <r>
      <rPr>
        <sz val="10"/>
        <rFont val="WenQuanYi Zen Hei"/>
        <family val="2"/>
      </rPr>
      <t xml:space="preserve">受入検品の合格判定には</t>
    </r>
    <r>
      <rPr>
        <sz val="10"/>
        <rFont val="Arial"/>
        <family val="0"/>
        <charset val="1"/>
      </rPr>
      <t xml:space="preserve">COA</t>
    </r>
    <r>
      <rPr>
        <sz val="10"/>
        <rFont val="WenQuanYi Zen Hei"/>
        <family val="2"/>
      </rPr>
      <t xml:space="preserve">（試験成績書）の添付を必須とする。</t>
    </r>
  </si>
  <si>
    <t xml:space="preserve">BR-09</t>
  </si>
  <si>
    <r>
      <rPr>
        <sz val="10"/>
        <rFont val="WenQuanYi Zen Hei"/>
        <family val="2"/>
      </rPr>
      <t xml:space="preserve">受注登録時、商品の規制区分</t>
    </r>
    <r>
      <rPr>
        <sz val="10"/>
        <rFont val="Arial"/>
        <family val="0"/>
        <charset val="1"/>
      </rPr>
      <t xml:space="preserve">×</t>
    </r>
    <r>
      <rPr>
        <sz val="10"/>
        <rFont val="WenQuanYi Zen Hei"/>
        <family val="2"/>
      </rPr>
      <t xml:space="preserve">顧客区分が販売可否ルールで「可」でなければ登録不可。</t>
    </r>
  </si>
  <si>
    <t xml:space="preserve">SAL-01,MST-06</t>
  </si>
  <si>
    <r>
      <rPr>
        <sz val="10"/>
        <rFont val="WenQuanYi Zen Hei"/>
        <family val="2"/>
      </rPr>
      <t xml:space="preserve">顧客区分</t>
    </r>
    <r>
      <rPr>
        <sz val="10"/>
        <rFont val="Arial"/>
        <family val="0"/>
        <charset val="1"/>
      </rPr>
      <t xml:space="preserve">=</t>
    </r>
    <r>
      <rPr>
        <sz val="10"/>
        <rFont val="WenQuanYi Zen Hei"/>
        <family val="2"/>
      </rPr>
      <t xml:space="preserve">医療機関の場合、医療機関コードを必須とする。</t>
    </r>
  </si>
  <si>
    <t xml:space="preserve">BR-11</t>
  </si>
  <si>
    <r>
      <rPr>
        <sz val="10"/>
        <rFont val="WenQuanYi Zen Hei"/>
        <family val="2"/>
      </rPr>
      <t xml:space="preserve">与信限度額が設定された顧客は、与信残高（未出荷受注残金額＋直近</t>
    </r>
    <r>
      <rPr>
        <sz val="10"/>
        <rFont val="Arial"/>
        <family val="0"/>
        <charset val="1"/>
      </rPr>
      <t xml:space="preserve">60</t>
    </r>
    <r>
      <rPr>
        <sz val="10"/>
        <rFont val="WenQuanYi Zen Hei"/>
        <family val="2"/>
      </rPr>
      <t xml:space="preserve">日の出荷金額）＋今回受注額が限度額を超える場合に警告し、管理者承認で登録可（入金消込は会計側のため簡易算出。課題</t>
    </r>
    <r>
      <rPr>
        <sz val="10"/>
        <rFont val="Arial"/>
        <family val="0"/>
        <charset val="1"/>
      </rPr>
      <t xml:space="preserve">Q-09</t>
    </r>
    <r>
      <rPr>
        <sz val="10"/>
        <rFont val="WenQuanYi Zen Hei"/>
        <family val="2"/>
      </rPr>
      <t xml:space="preserve">）。</t>
    </r>
  </si>
  <si>
    <t xml:space="preserve">BR-12</t>
  </si>
  <si>
    <t xml:space="preserve">返品数量は、元出荷明細の出荷数量−既返品数量を超えてはならない。</t>
  </si>
  <si>
    <t xml:space="preserve">BR-13</t>
  </si>
  <si>
    <r>
      <rPr>
        <sz val="10"/>
        <rFont val="WenQuanYi Zen Hei"/>
        <family val="2"/>
      </rPr>
      <t xml:space="preserve">回収案件に指定されたロットは即時</t>
    </r>
    <r>
      <rPr>
        <sz val="10"/>
        <rFont val="Arial"/>
        <family val="0"/>
        <charset val="1"/>
      </rPr>
      <t xml:space="preserve">RECALLED</t>
    </r>
    <r>
      <rPr>
        <sz val="10"/>
        <rFont val="WenQuanYi Zen Hei"/>
        <family val="2"/>
      </rPr>
      <t xml:space="preserve">とし、未出荷の引当を解除する。</t>
    </r>
  </si>
  <si>
    <t xml:space="preserve">BR-14</t>
  </si>
  <si>
    <r>
      <rPr>
        <sz val="10"/>
        <rFont val="WenQuanYi Zen Hei"/>
        <family val="2"/>
      </rPr>
      <t xml:space="preserve">回収対象顧客は、対象ロットの出荷済明細から（出荷数量−返品数量）</t>
    </r>
    <r>
      <rPr>
        <sz val="10"/>
        <rFont val="Arial"/>
        <family val="0"/>
        <charset val="1"/>
      </rPr>
      <t xml:space="preserve">&gt; 0 </t>
    </r>
    <r>
      <rPr>
        <sz val="10"/>
        <rFont val="WenQuanYi Zen Hei"/>
        <family val="2"/>
      </rPr>
      <t xml:space="preserve">の顧客を自動抽出する。</t>
    </r>
  </si>
  <si>
    <t xml:space="preserve">RCL-01,TRC-01</t>
  </si>
  <si>
    <t xml:space="preserve">BR-15</t>
  </si>
  <si>
    <t xml:space="preserve">採番</t>
  </si>
  <si>
    <r>
      <rPr>
        <sz val="10"/>
        <rFont val="WenQuanYi Zen Hei"/>
        <family val="2"/>
      </rPr>
      <t xml:space="preserve">社内ロット番号＝商品コード</t>
    </r>
    <r>
      <rPr>
        <sz val="10"/>
        <rFont val="Arial"/>
        <family val="0"/>
        <charset val="1"/>
      </rPr>
      <t xml:space="preserve">-</t>
    </r>
    <r>
      <rPr>
        <sz val="10"/>
        <rFont val="WenQuanYi Zen Hei"/>
        <family val="2"/>
      </rPr>
      <t xml:space="preserve">初回入荷日</t>
    </r>
    <r>
      <rPr>
        <sz val="10"/>
        <rFont val="Arial"/>
        <family val="0"/>
        <charset val="1"/>
      </rPr>
      <t xml:space="preserve">(YYMMDD)-2</t>
    </r>
    <r>
      <rPr>
        <sz val="10"/>
        <rFont val="WenQuanYi Zen Hei"/>
        <family val="2"/>
      </rPr>
      <t xml:space="preserve">桁連番。仕入先・商品・仕入先ロット番号の組合せで</t>
    </r>
    <r>
      <rPr>
        <sz val="10"/>
        <rFont val="Arial"/>
        <family val="0"/>
        <charset val="1"/>
      </rPr>
      <t xml:space="preserve">1</t>
    </r>
    <r>
      <rPr>
        <sz val="10"/>
        <rFont val="WenQuanYi Zen Hei"/>
        <family val="2"/>
      </rPr>
      <t xml:space="preserve">ロットとし、分納は既存ロットに加算（使用期限は一致必須）。</t>
    </r>
  </si>
  <si>
    <t xml:space="preserve">BR-17</t>
  </si>
  <si>
    <r>
      <rPr>
        <sz val="10"/>
        <rFont val="WenQuanYi Zen Hei"/>
        <family val="2"/>
      </rPr>
      <t xml:space="preserve">保留解除は、</t>
    </r>
    <r>
      <rPr>
        <sz val="10"/>
        <rFont val="Arial"/>
        <family val="0"/>
        <charset val="1"/>
      </rPr>
      <t xml:space="preserve">COA</t>
    </r>
    <r>
      <rPr>
        <sz val="10"/>
        <rFont val="WenQuanYi Zen Hei"/>
        <family val="2"/>
      </rPr>
      <t xml:space="preserve">添付済かつ受入検品済（</t>
    </r>
    <r>
      <rPr>
        <sz val="10"/>
        <rFont val="Arial"/>
        <family val="0"/>
        <charset val="1"/>
      </rPr>
      <t xml:space="preserve">inspected_at </t>
    </r>
    <r>
      <rPr>
        <sz val="10"/>
        <rFont val="WenQuanYi Zen Hei"/>
        <family val="2"/>
      </rPr>
      <t xml:space="preserve">あり）のロットは </t>
    </r>
    <r>
      <rPr>
        <sz val="10"/>
        <rFont val="Arial"/>
        <family val="0"/>
        <charset val="1"/>
      </rPr>
      <t xml:space="preserve">RELEASED </t>
    </r>
    <r>
      <rPr>
        <sz val="10"/>
        <rFont val="WenQuanYi Zen Hei"/>
        <family val="2"/>
      </rPr>
      <t xml:space="preserve">へ、未検品のロットは </t>
    </r>
    <r>
      <rPr>
        <sz val="10"/>
        <rFont val="Arial"/>
        <family val="0"/>
        <charset val="1"/>
      </rPr>
      <t xml:space="preserve">QUARANTINE </t>
    </r>
    <r>
      <rPr>
        <sz val="10"/>
        <rFont val="WenQuanYi Zen Hei"/>
        <family val="2"/>
      </rPr>
      <t xml:space="preserve">へ戻す（検品を経ずに合格にしない）。</t>
    </r>
  </si>
  <si>
    <t xml:space="preserve">BR-18</t>
  </si>
  <si>
    <r>
      <rPr>
        <sz val="10"/>
        <rFont val="WenQuanYi Zen Hei"/>
        <family val="2"/>
      </rPr>
      <t xml:space="preserve">回収品（回収対象に紐づく返品）は在庫に戻さず、廃棄（</t>
    </r>
    <r>
      <rPr>
        <sz val="10"/>
        <rFont val="Arial"/>
        <family val="0"/>
        <charset val="1"/>
      </rPr>
      <t xml:space="preserve">DISPOSE</t>
    </r>
    <r>
      <rPr>
        <sz val="10"/>
        <rFont val="WenQuanYi Zen Hei"/>
        <family val="2"/>
      </rPr>
      <t xml:space="preserve">）のみとする。</t>
    </r>
  </si>
  <si>
    <t xml:space="preserve">RET-01,RCL-02</t>
  </si>
  <si>
    <t xml:space="preserve">BR-19</t>
  </si>
  <si>
    <r>
      <rPr>
        <sz val="10"/>
        <rFont val="WenQuanYi Zen Hei"/>
        <family val="2"/>
      </rPr>
      <t xml:space="preserve">合格（</t>
    </r>
    <r>
      <rPr>
        <sz val="10"/>
        <rFont val="Arial"/>
        <family val="0"/>
        <charset val="1"/>
      </rPr>
      <t xml:space="preserve">RELEASED</t>
    </r>
    <r>
      <rPr>
        <sz val="10"/>
        <rFont val="WenQuanYi Zen Hei"/>
        <family val="2"/>
      </rPr>
      <t xml:space="preserve">）・保留（</t>
    </r>
    <r>
      <rPr>
        <sz val="10"/>
        <rFont val="Arial"/>
        <family val="0"/>
        <charset val="1"/>
      </rPr>
      <t xml:space="preserve">HOLD</t>
    </r>
    <r>
      <rPr>
        <sz val="10"/>
        <rFont val="WenQuanYi Zen Hei"/>
        <family val="2"/>
      </rPr>
      <t xml:space="preserve">）ロットへの分納分は隔離保管場所に入庫し、</t>
    </r>
    <r>
      <rPr>
        <sz val="10"/>
        <rFont val="Arial"/>
        <family val="0"/>
        <charset val="1"/>
      </rPr>
      <t xml:space="preserve">QA</t>
    </r>
    <r>
      <rPr>
        <sz val="10"/>
        <rFont val="WenQuanYi Zen Hei"/>
        <family val="2"/>
      </rPr>
      <t xml:space="preserve">の分納受入判定（</t>
    </r>
    <r>
      <rPr>
        <sz val="10"/>
        <rFont val="Arial"/>
        <family val="0"/>
        <charset val="1"/>
      </rPr>
      <t xml:space="preserve">P-16</t>
    </r>
    <r>
      <rPr>
        <sz val="10"/>
        <rFont val="WenQuanYi Zen Hei"/>
        <family val="2"/>
      </rPr>
      <t xml:space="preserve">）を経るまで引当対象にしない。</t>
    </r>
  </si>
  <si>
    <t xml:space="preserve">RCV-01,RCV-02</t>
  </si>
  <si>
    <t xml:space="preserve">BR-20</t>
  </si>
  <si>
    <r>
      <rPr>
        <sz val="10"/>
        <rFont val="WenQuanYi Zen Hei"/>
        <family val="2"/>
      </rPr>
      <t xml:space="preserve">隔離保管場所の在庫は、返品判定（</t>
    </r>
    <r>
      <rPr>
        <sz val="10"/>
        <rFont val="Arial"/>
        <family val="0"/>
        <charset val="1"/>
      </rPr>
      <t xml:space="preserve">P-07</t>
    </r>
    <r>
      <rPr>
        <sz val="10"/>
        <rFont val="WenQuanYi Zen Hei"/>
        <family val="2"/>
      </rPr>
      <t xml:space="preserve">）・分納受入判定（</t>
    </r>
    <r>
      <rPr>
        <sz val="10"/>
        <rFont val="Arial"/>
        <family val="0"/>
        <charset val="1"/>
      </rPr>
      <t xml:space="preserve">P-16</t>
    </r>
    <r>
      <rPr>
        <sz val="10"/>
        <rFont val="WenQuanYi Zen Hei"/>
        <family val="2"/>
      </rPr>
      <t xml:space="preserve">）・仕入先返品（</t>
    </r>
    <r>
      <rPr>
        <sz val="10"/>
        <rFont val="Arial"/>
        <family val="0"/>
        <charset val="1"/>
      </rPr>
      <t xml:space="preserve">P-17</t>
    </r>
    <r>
      <rPr>
        <sz val="10"/>
        <rFont val="WenQuanYi Zen Hei"/>
        <family val="2"/>
      </rPr>
      <t xml:space="preserve">）以外で払い出さない。払出しは出所伝票（入荷明細／返品）単位で、その残数を上限とする。</t>
    </r>
  </si>
  <si>
    <t xml:space="preserve">INV-02,INV-03</t>
  </si>
  <si>
    <t xml:space="preserve">BR-16</t>
  </si>
  <si>
    <t xml:space="preserve">アラート</t>
  </si>
  <si>
    <r>
      <rPr>
        <sz val="10"/>
        <rFont val="WenQuanYi Zen Hei"/>
        <family val="2"/>
      </rPr>
      <t xml:space="preserve">使用期限まで</t>
    </r>
    <r>
      <rPr>
        <sz val="10"/>
        <rFont val="Arial"/>
        <family val="0"/>
        <charset val="1"/>
      </rPr>
      <t xml:space="preserve">90</t>
    </r>
    <r>
      <rPr>
        <sz val="10"/>
        <rFont val="WenQuanYi Zen Hei"/>
        <family val="2"/>
      </rPr>
      <t xml:space="preserve">日</t>
    </r>
    <r>
      <rPr>
        <sz val="10"/>
        <rFont val="Arial"/>
        <family val="0"/>
        <charset val="1"/>
      </rPr>
      <t xml:space="preserve">/30</t>
    </r>
    <r>
      <rPr>
        <sz val="10"/>
        <rFont val="WenQuanYi Zen Hei"/>
        <family val="2"/>
      </rPr>
      <t xml:space="preserve">日、在庫が発注点以下、温度逸脱、回収未対応</t>
    </r>
    <r>
      <rPr>
        <sz val="10"/>
        <rFont val="Arial"/>
        <family val="0"/>
        <charset val="1"/>
      </rPr>
      <t xml:space="preserve">7</t>
    </r>
    <r>
      <rPr>
        <sz val="10"/>
        <rFont val="WenQuanYi Zen Hei"/>
        <family val="2"/>
      </rPr>
      <t xml:space="preserve">日超でダッシュボード表示＋メール通知。</t>
    </r>
  </si>
  <si>
    <t xml:space="preserve">対象</t>
  </si>
  <si>
    <t xml:space="preserve">現状態</t>
  </si>
  <si>
    <t xml:space="preserve">イベント</t>
  </si>
  <si>
    <t xml:space="preserve">次状態</t>
  </si>
  <si>
    <t xml:space="preserve">条件・処理</t>
  </si>
  <si>
    <t xml:space="preserve">実行ロール</t>
  </si>
  <si>
    <t xml:space="preserve">（なし）</t>
  </si>
  <si>
    <r>
      <rPr>
        <sz val="10"/>
        <rFont val="Arial"/>
        <family val="0"/>
        <charset val="1"/>
      </rPr>
      <t xml:space="preserve">QUARANTINE</t>
    </r>
    <r>
      <rPr>
        <sz val="10"/>
        <rFont val="WenQuanYi Zen Hei"/>
        <family val="2"/>
      </rPr>
      <t xml:space="preserve">（検品待ち）</t>
    </r>
  </si>
  <si>
    <r>
      <rPr>
        <sz val="10"/>
        <rFont val="Arial"/>
        <family val="0"/>
        <charset val="1"/>
      </rPr>
      <t xml:space="preserve">P-01</t>
    </r>
    <r>
      <rPr>
        <sz val="10"/>
        <rFont val="WenQuanYi Zen Hei"/>
        <family val="2"/>
      </rPr>
      <t xml:space="preserve">。ロット生成・在庫加算。引当不可</t>
    </r>
  </si>
  <si>
    <t xml:space="preserve">WAREHOUSE</t>
  </si>
  <si>
    <t xml:space="preserve">分納入荷</t>
  </si>
  <si>
    <r>
      <rPr>
        <sz val="10"/>
        <rFont val="Arial"/>
        <family val="0"/>
        <charset val="1"/>
      </rPr>
      <t xml:space="preserve">P-01</t>
    </r>
    <r>
      <rPr>
        <sz val="10"/>
        <rFont val="WenQuanYi Zen Hei"/>
        <family val="2"/>
      </rPr>
      <t xml:space="preserve">。数量のみ加算（通常保管場所）</t>
    </r>
  </si>
  <si>
    <r>
      <rPr>
        <sz val="10"/>
        <rFont val="Arial"/>
        <family val="0"/>
        <charset val="1"/>
      </rPr>
      <t xml:space="preserve">RELEASED</t>
    </r>
    <r>
      <rPr>
        <sz val="10"/>
        <rFont val="WenQuanYi Zen Hei"/>
        <family val="2"/>
      </rPr>
      <t xml:space="preserve">（合格）</t>
    </r>
    <r>
      <rPr>
        <sz val="10"/>
        <rFont val="Arial"/>
        <family val="0"/>
        <charset val="1"/>
      </rPr>
      <t xml:space="preserve">/HOLD</t>
    </r>
    <r>
      <rPr>
        <sz val="10"/>
        <rFont val="WenQuanYi Zen Hei"/>
        <family val="2"/>
      </rPr>
      <t xml:space="preserve">（保留）</t>
    </r>
  </si>
  <si>
    <t xml:space="preserve">（状態維持）</t>
  </si>
  <si>
    <r>
      <rPr>
        <sz val="10"/>
        <rFont val="Arial"/>
        <family val="0"/>
        <charset val="1"/>
      </rPr>
      <t xml:space="preserve">P-01</t>
    </r>
    <r>
      <rPr>
        <sz val="10"/>
        <rFont val="WenQuanYi Zen Hei"/>
        <family val="2"/>
      </rPr>
      <t xml:space="preserve">。分納分は隔離保管場所へ入庫し、</t>
    </r>
    <r>
      <rPr>
        <sz val="10"/>
        <rFont val="Arial"/>
        <family val="0"/>
        <charset val="1"/>
      </rPr>
      <t xml:space="preserve">P-16 </t>
    </r>
    <r>
      <rPr>
        <sz val="10"/>
        <rFont val="WenQuanYi Zen Hei"/>
        <family val="2"/>
      </rPr>
      <t xml:space="preserve">の分納受入判定まで引当不可</t>
    </r>
  </si>
  <si>
    <r>
      <rPr>
        <sz val="10"/>
        <rFont val="Arial"/>
        <family val="0"/>
        <charset val="1"/>
      </rPr>
      <t xml:space="preserve">VOID</t>
    </r>
    <r>
      <rPr>
        <sz val="10"/>
        <rFont val="WenQuanYi Zen Hei"/>
        <family val="2"/>
      </rPr>
      <t xml:space="preserve">（無効）</t>
    </r>
  </si>
  <si>
    <t xml:space="preserve">再入荷</t>
  </si>
  <si>
    <r>
      <rPr>
        <sz val="10"/>
        <rFont val="Arial"/>
        <family val="0"/>
        <charset val="1"/>
      </rPr>
      <t xml:space="preserve">P-01</t>
    </r>
    <r>
      <rPr>
        <sz val="10"/>
        <rFont val="WenQuanYi Zen Hei"/>
        <family val="2"/>
      </rPr>
      <t xml:space="preserve">。同一仕入先ロットの再入荷。ステータス履歴に記録</t>
    </r>
  </si>
  <si>
    <t xml:space="preserve">検品合格</t>
  </si>
  <si>
    <r>
      <rPr>
        <sz val="10"/>
        <rFont val="Arial"/>
        <family val="0"/>
        <charset val="1"/>
      </rPr>
      <t xml:space="preserve">RELEASED</t>
    </r>
    <r>
      <rPr>
        <sz val="10"/>
        <rFont val="WenQuanYi Zen Hei"/>
        <family val="2"/>
      </rPr>
      <t xml:space="preserve">（合格）</t>
    </r>
  </si>
  <si>
    <r>
      <rPr>
        <sz val="10"/>
        <rFont val="Arial"/>
        <family val="0"/>
        <charset val="1"/>
      </rPr>
      <t xml:space="preserve">P-02</t>
    </r>
    <r>
      <rPr>
        <sz val="10"/>
        <rFont val="WenQuanYi Zen Hei"/>
        <family val="2"/>
      </rPr>
      <t xml:space="preserve">。</t>
    </r>
    <r>
      <rPr>
        <sz val="10"/>
        <rFont val="Arial"/>
        <family val="0"/>
        <charset val="1"/>
      </rPr>
      <t xml:space="preserve">COA</t>
    </r>
    <r>
      <rPr>
        <sz val="10"/>
        <rFont val="WenQuanYi Zen Hei"/>
        <family val="2"/>
      </rPr>
      <t xml:space="preserve">添付必須（</t>
    </r>
    <r>
      <rPr>
        <sz val="10"/>
        <rFont val="Arial"/>
        <family val="0"/>
        <charset val="1"/>
      </rPr>
      <t xml:space="preserve">BR-08</t>
    </r>
    <r>
      <rPr>
        <sz val="10"/>
        <rFont val="WenQuanYi Zen Hei"/>
        <family val="2"/>
      </rPr>
      <t xml:space="preserve">）。</t>
    </r>
    <r>
      <rPr>
        <sz val="10"/>
        <rFont val="Arial"/>
        <family val="0"/>
        <charset val="1"/>
      </rPr>
      <t xml:space="preserve">inspected_by/at </t>
    </r>
    <r>
      <rPr>
        <sz val="10"/>
        <rFont val="WenQuanYi Zen Hei"/>
        <family val="2"/>
      </rPr>
      <t xml:space="preserve">を記録</t>
    </r>
  </si>
  <si>
    <t xml:space="preserve">検品不合格</t>
  </si>
  <si>
    <r>
      <rPr>
        <sz val="10"/>
        <rFont val="Arial"/>
        <family val="0"/>
        <charset val="1"/>
      </rPr>
      <t xml:space="preserve">REJECTED</t>
    </r>
    <r>
      <rPr>
        <sz val="10"/>
        <rFont val="WenQuanYi Zen Hei"/>
        <family val="2"/>
      </rPr>
      <t xml:space="preserve">（不合格）</t>
    </r>
  </si>
  <si>
    <r>
      <rPr>
        <sz val="10"/>
        <rFont val="Arial"/>
        <family val="0"/>
        <charset val="1"/>
      </rPr>
      <t xml:space="preserve">P-02</t>
    </r>
    <r>
      <rPr>
        <sz val="10"/>
        <rFont val="WenQuanYi Zen Hei"/>
        <family val="2"/>
      </rPr>
      <t xml:space="preserve">。理由必須</t>
    </r>
  </si>
  <si>
    <t xml:space="preserve">検品保留</t>
  </si>
  <si>
    <r>
      <rPr>
        <sz val="10"/>
        <rFont val="Arial"/>
        <family val="0"/>
        <charset val="1"/>
      </rPr>
      <t xml:space="preserve">HOLD</t>
    </r>
    <r>
      <rPr>
        <sz val="10"/>
        <rFont val="WenQuanYi Zen Hei"/>
        <family val="2"/>
      </rPr>
      <t xml:space="preserve">（保留）</t>
    </r>
  </si>
  <si>
    <r>
      <rPr>
        <sz val="10"/>
        <rFont val="Arial"/>
        <family val="0"/>
        <charset val="1"/>
      </rPr>
      <t xml:space="preserve">P-02</t>
    </r>
    <r>
      <rPr>
        <sz val="10"/>
        <rFont val="WenQuanYi Zen Hei"/>
        <family val="2"/>
      </rPr>
      <t xml:space="preserve">。理由必須。追加資料待ち等</t>
    </r>
  </si>
  <si>
    <r>
      <rPr>
        <sz val="10"/>
        <rFont val="Arial"/>
        <family val="0"/>
        <charset val="1"/>
      </rPr>
      <t xml:space="preserve">QUARANTINE</t>
    </r>
    <r>
      <rPr>
        <sz val="10"/>
        <rFont val="WenQuanYi Zen Hei"/>
        <family val="2"/>
      </rPr>
      <t xml:space="preserve">（検品待ち）</t>
    </r>
    <r>
      <rPr>
        <sz val="10"/>
        <rFont val="Arial"/>
        <family val="0"/>
        <charset val="1"/>
      </rPr>
      <t xml:space="preserve">/RELEASED</t>
    </r>
    <r>
      <rPr>
        <sz val="10"/>
        <rFont val="WenQuanYi Zen Hei"/>
        <family val="2"/>
      </rPr>
      <t xml:space="preserve">（合格）</t>
    </r>
  </si>
  <si>
    <r>
      <rPr>
        <sz val="10"/>
        <rFont val="Arial"/>
        <family val="0"/>
        <charset val="1"/>
      </rPr>
      <t xml:space="preserve">P-09 </t>
    </r>
    <r>
      <rPr>
        <sz val="10"/>
        <rFont val="WenQuanYi Zen Hei"/>
        <family val="2"/>
      </rPr>
      <t xml:space="preserve">で自動。理由＝温度記録</t>
    </r>
    <r>
      <rPr>
        <sz val="10"/>
        <rFont val="Arial"/>
        <family val="0"/>
        <charset val="1"/>
      </rPr>
      <t xml:space="preserve">ID</t>
    </r>
    <r>
      <rPr>
        <sz val="10"/>
        <rFont val="WenQuanYi Zen Hei"/>
        <family val="2"/>
      </rPr>
      <t xml:space="preserve">。引当解除（</t>
    </r>
    <r>
      <rPr>
        <sz val="10"/>
        <rFont val="Arial"/>
        <family val="0"/>
        <charset val="1"/>
      </rPr>
      <t xml:space="preserve">P-11</t>
    </r>
    <r>
      <rPr>
        <sz val="10"/>
        <rFont val="WenQuanYi Zen Hei"/>
        <family val="2"/>
      </rPr>
      <t xml:space="preserve">）</t>
    </r>
  </si>
  <si>
    <t xml:space="preserve">システム</t>
  </si>
  <si>
    <t xml:space="preserve">保留</t>
  </si>
  <si>
    <r>
      <rPr>
        <sz val="10"/>
        <rFont val="Arial"/>
        <family val="0"/>
        <charset val="1"/>
      </rPr>
      <t xml:space="preserve">P-15</t>
    </r>
    <r>
      <rPr>
        <sz val="10"/>
        <rFont val="WenQuanYi Zen Hei"/>
        <family val="2"/>
      </rPr>
      <t xml:space="preserve">。理由必須。引当解除（</t>
    </r>
    <r>
      <rPr>
        <sz val="10"/>
        <rFont val="Arial"/>
        <family val="0"/>
        <charset val="1"/>
      </rPr>
      <t xml:space="preserve">P-11</t>
    </r>
    <r>
      <rPr>
        <sz val="10"/>
        <rFont val="WenQuanYi Zen Hei"/>
        <family val="2"/>
      </rPr>
      <t xml:space="preserve">）</t>
    </r>
  </si>
  <si>
    <t xml:space="preserve">保留解除（検品済）</t>
  </si>
  <si>
    <r>
      <rPr>
        <sz val="10"/>
        <rFont val="Arial"/>
        <family val="0"/>
        <charset val="1"/>
      </rPr>
      <t xml:space="preserve">P-15</t>
    </r>
    <r>
      <rPr>
        <sz val="10"/>
        <rFont val="WenQuanYi Zen Hei"/>
        <family val="2"/>
      </rPr>
      <t xml:space="preserve">。理由必須。</t>
    </r>
    <r>
      <rPr>
        <sz val="10"/>
        <rFont val="Arial"/>
        <family val="0"/>
        <charset val="1"/>
      </rPr>
      <t xml:space="preserve">BR-17</t>
    </r>
    <r>
      <rPr>
        <sz val="10"/>
        <rFont val="WenQuanYi Zen Hei"/>
        <family val="2"/>
      </rPr>
      <t xml:space="preserve">（</t>
    </r>
    <r>
      <rPr>
        <sz val="10"/>
        <rFont val="Arial"/>
        <family val="0"/>
        <charset val="1"/>
      </rPr>
      <t xml:space="preserve">COA</t>
    </r>
    <r>
      <rPr>
        <sz val="10"/>
        <rFont val="WenQuanYi Zen Hei"/>
        <family val="2"/>
      </rPr>
      <t xml:space="preserve">添付かつ </t>
    </r>
    <r>
      <rPr>
        <sz val="10"/>
        <rFont val="Arial"/>
        <family val="0"/>
        <charset val="1"/>
      </rPr>
      <t xml:space="preserve">inspected_at </t>
    </r>
    <r>
      <rPr>
        <sz val="10"/>
        <rFont val="WenQuanYi Zen Hei"/>
        <family val="2"/>
      </rPr>
      <t xml:space="preserve">あり）</t>
    </r>
  </si>
  <si>
    <t xml:space="preserve">保留解除（未検品）</t>
  </si>
  <si>
    <r>
      <rPr>
        <sz val="10"/>
        <rFont val="Arial"/>
        <family val="0"/>
        <charset val="1"/>
      </rPr>
      <t xml:space="preserve">P-15</t>
    </r>
    <r>
      <rPr>
        <sz val="10"/>
        <rFont val="WenQuanYi Zen Hei"/>
        <family val="2"/>
      </rPr>
      <t xml:space="preserve">。</t>
    </r>
    <r>
      <rPr>
        <sz val="10"/>
        <rFont val="Arial"/>
        <family val="0"/>
        <charset val="1"/>
      </rPr>
      <t xml:space="preserve">inspected_at </t>
    </r>
    <r>
      <rPr>
        <sz val="10"/>
        <rFont val="WenQuanYi Zen Hei"/>
        <family val="2"/>
      </rPr>
      <t xml:space="preserve">が </t>
    </r>
    <r>
      <rPr>
        <sz val="10"/>
        <rFont val="Arial"/>
        <family val="0"/>
        <charset val="1"/>
      </rPr>
      <t xml:space="preserve">NULL </t>
    </r>
    <r>
      <rPr>
        <sz val="10"/>
        <rFont val="WenQuanYi Zen Hei"/>
        <family val="2"/>
      </rPr>
      <t xml:space="preserve">の場合。以後 </t>
    </r>
    <r>
      <rPr>
        <sz val="10"/>
        <rFont val="Arial"/>
        <family val="0"/>
        <charset val="1"/>
      </rPr>
      <t xml:space="preserve">P-02 </t>
    </r>
    <r>
      <rPr>
        <sz val="10"/>
        <rFont val="WenQuanYi Zen Hei"/>
        <family val="2"/>
      </rPr>
      <t xml:space="preserve">で検品</t>
    </r>
  </si>
  <si>
    <t xml:space="preserve">不合格判定</t>
  </si>
  <si>
    <r>
      <rPr>
        <sz val="10"/>
        <rFont val="Arial"/>
        <family val="0"/>
        <charset val="1"/>
      </rPr>
      <t xml:space="preserve">P-15</t>
    </r>
    <r>
      <rPr>
        <sz val="10"/>
        <rFont val="WenQuanYi Zen Hei"/>
        <family val="2"/>
      </rPr>
      <t xml:space="preserve">。理由必須</t>
    </r>
  </si>
  <si>
    <r>
      <rPr>
        <sz val="10"/>
        <rFont val="Arial"/>
        <family val="0"/>
        <charset val="1"/>
      </rPr>
      <t xml:space="preserve">QUARANTINE</t>
    </r>
    <r>
      <rPr>
        <sz val="10"/>
        <rFont val="WenQuanYi Zen Hei"/>
        <family val="2"/>
      </rPr>
      <t xml:space="preserve">（検品待ち）</t>
    </r>
    <r>
      <rPr>
        <sz val="10"/>
        <rFont val="Arial"/>
        <family val="0"/>
        <charset val="1"/>
      </rPr>
      <t xml:space="preserve">/RELEASED</t>
    </r>
    <r>
      <rPr>
        <sz val="10"/>
        <rFont val="WenQuanYi Zen Hei"/>
        <family val="2"/>
      </rPr>
      <t xml:space="preserve">（合格）</t>
    </r>
    <r>
      <rPr>
        <sz val="10"/>
        <rFont val="Arial"/>
        <family val="0"/>
        <charset val="1"/>
      </rPr>
      <t xml:space="preserve">/HOLD</t>
    </r>
    <r>
      <rPr>
        <sz val="10"/>
        <rFont val="WenQuanYi Zen Hei"/>
        <family val="2"/>
      </rPr>
      <t xml:space="preserve">（保留）</t>
    </r>
    <r>
      <rPr>
        <sz val="10"/>
        <rFont val="Arial"/>
        <family val="0"/>
        <charset val="1"/>
      </rPr>
      <t xml:space="preserve">/REJECTED</t>
    </r>
    <r>
      <rPr>
        <sz val="10"/>
        <rFont val="WenQuanYi Zen Hei"/>
        <family val="2"/>
      </rPr>
      <t xml:space="preserve">（不合格）</t>
    </r>
    <r>
      <rPr>
        <sz val="10"/>
        <rFont val="Arial"/>
        <family val="0"/>
        <charset val="1"/>
      </rPr>
      <t xml:space="preserve">/EXPIRED</t>
    </r>
    <r>
      <rPr>
        <sz val="10"/>
        <rFont val="WenQuanYi Zen Hei"/>
        <family val="2"/>
      </rPr>
      <t xml:space="preserve">（期限切れ）</t>
    </r>
  </si>
  <si>
    <t xml:space="preserve">回収開始</t>
  </si>
  <si>
    <r>
      <rPr>
        <sz val="10"/>
        <rFont val="Arial"/>
        <family val="0"/>
        <charset val="1"/>
      </rPr>
      <t xml:space="preserve">RECALLED</t>
    </r>
    <r>
      <rPr>
        <sz val="10"/>
        <rFont val="WenQuanYi Zen Hei"/>
        <family val="2"/>
      </rPr>
      <t xml:space="preserve">（回収）</t>
    </r>
  </si>
  <si>
    <r>
      <rPr>
        <sz val="10"/>
        <rFont val="Arial"/>
        <family val="0"/>
        <charset val="1"/>
      </rPr>
      <t xml:space="preserve">P-08</t>
    </r>
    <r>
      <rPr>
        <sz val="10"/>
        <rFont val="WenQuanYi Zen Hei"/>
        <family val="2"/>
      </rPr>
      <t xml:space="preserve">。引当解除（</t>
    </r>
    <r>
      <rPr>
        <sz val="10"/>
        <rFont val="Arial"/>
        <family val="0"/>
        <charset val="1"/>
      </rPr>
      <t xml:space="preserve">P-11</t>
    </r>
    <r>
      <rPr>
        <sz val="10"/>
        <rFont val="WenQuanYi Zen Hei"/>
        <family val="2"/>
      </rPr>
      <t xml:space="preserve">）・出荷停止。既に </t>
    </r>
    <r>
      <rPr>
        <sz val="10"/>
        <rFont val="Arial"/>
        <family val="0"/>
        <charset val="1"/>
      </rPr>
      <t xml:space="preserve">RECALLED </t>
    </r>
    <r>
      <rPr>
        <sz val="10"/>
        <rFont val="WenQuanYi Zen Hei"/>
        <family val="2"/>
      </rPr>
      <t xml:space="preserve">のロットは状態変更をスキップ</t>
    </r>
  </si>
  <si>
    <t xml:space="preserve">期限到来</t>
  </si>
  <si>
    <r>
      <rPr>
        <sz val="10"/>
        <rFont val="Arial"/>
        <family val="0"/>
        <charset val="1"/>
      </rPr>
      <t xml:space="preserve">EXPIRED</t>
    </r>
    <r>
      <rPr>
        <sz val="10"/>
        <rFont val="WenQuanYi Zen Hei"/>
        <family val="2"/>
      </rPr>
      <t xml:space="preserve">（期限切れ）</t>
    </r>
  </si>
  <si>
    <r>
      <rPr>
        <sz val="10"/>
        <rFont val="Arial"/>
        <family val="0"/>
        <charset val="1"/>
      </rPr>
      <t xml:space="preserve">B-01 </t>
    </r>
    <r>
      <rPr>
        <sz val="10"/>
        <rFont val="WenQuanYi Zen Hei"/>
        <family val="2"/>
      </rPr>
      <t xml:space="preserve">で自動。引当解除（</t>
    </r>
    <r>
      <rPr>
        <sz val="10"/>
        <rFont val="Arial"/>
        <family val="0"/>
        <charset val="1"/>
      </rPr>
      <t xml:space="preserve">P-11</t>
    </r>
    <r>
      <rPr>
        <sz val="10"/>
        <rFont val="WenQuanYi Zen Hei"/>
        <family val="2"/>
      </rPr>
      <t xml:space="preserve">）</t>
    </r>
  </si>
  <si>
    <r>
      <rPr>
        <sz val="10"/>
        <rFont val="Arial"/>
        <family val="0"/>
        <charset val="1"/>
      </rPr>
      <t xml:space="preserve">P-12</t>
    </r>
    <r>
      <rPr>
        <sz val="10"/>
        <rFont val="WenQuanYi Zen Hei"/>
        <family val="2"/>
      </rPr>
      <t xml:space="preserve">。当該ロットの入荷が全て取消された場合。検品済ロットの入荷は取消不可</t>
    </r>
  </si>
  <si>
    <r>
      <rPr>
        <sz val="10"/>
        <rFont val="Arial"/>
        <family val="0"/>
        <charset val="1"/>
      </rPr>
      <t xml:space="preserve">REJECTED</t>
    </r>
    <r>
      <rPr>
        <sz val="10"/>
        <rFont val="WenQuanYi Zen Hei"/>
        <family val="2"/>
      </rPr>
      <t xml:space="preserve">（不合格）</t>
    </r>
    <r>
      <rPr>
        <sz val="10"/>
        <rFont val="Arial"/>
        <family val="0"/>
        <charset val="1"/>
      </rPr>
      <t xml:space="preserve">/EXPIRED</t>
    </r>
    <r>
      <rPr>
        <sz val="10"/>
        <rFont val="WenQuanYi Zen Hei"/>
        <family val="2"/>
      </rPr>
      <t xml:space="preserve">（期限切れ）</t>
    </r>
    <r>
      <rPr>
        <sz val="10"/>
        <rFont val="Arial"/>
        <family val="0"/>
        <charset val="1"/>
      </rPr>
      <t xml:space="preserve">/RECALLED</t>
    </r>
    <r>
      <rPr>
        <sz val="10"/>
        <rFont val="WenQuanYi Zen Hei"/>
        <family val="2"/>
      </rPr>
      <t xml:space="preserve">（回収）</t>
    </r>
  </si>
  <si>
    <t xml:space="preserve">在庫処分</t>
  </si>
  <si>
    <r>
      <rPr>
        <sz val="10"/>
        <rFont val="WenQuanYi Zen Hei"/>
        <family val="2"/>
      </rPr>
      <t xml:space="preserve">終端状態。残在庫は仕入先返品（</t>
    </r>
    <r>
      <rPr>
        <sz val="10"/>
        <rFont val="Arial"/>
        <family val="0"/>
        <charset val="1"/>
      </rPr>
      <t xml:space="preserve">P-17</t>
    </r>
    <r>
      <rPr>
        <sz val="10"/>
        <rFont val="WenQuanYi Zen Hei"/>
        <family val="2"/>
      </rPr>
      <t xml:space="preserve">）または廃棄（</t>
    </r>
    <r>
      <rPr>
        <sz val="10"/>
        <rFont val="Arial"/>
        <family val="0"/>
        <charset val="1"/>
      </rPr>
      <t xml:space="preserve">P-10</t>
    </r>
    <r>
      <rPr>
        <sz val="10"/>
        <rFont val="WenQuanYi Zen Hei"/>
        <family val="2"/>
      </rPr>
      <t xml:space="preserve">）で</t>
    </r>
    <r>
      <rPr>
        <sz val="10"/>
        <rFont val="Arial"/>
        <family val="0"/>
        <charset val="1"/>
      </rPr>
      <t xml:space="preserve">0</t>
    </r>
    <r>
      <rPr>
        <sz val="10"/>
        <rFont val="WenQuanYi Zen Hei"/>
        <family val="2"/>
      </rPr>
      <t xml:space="preserve">にする。ロット記録は削除しない</t>
    </r>
  </si>
  <si>
    <r>
      <rPr>
        <sz val="10"/>
        <rFont val="Arial"/>
        <family val="0"/>
        <charset val="1"/>
      </rPr>
      <t xml:space="preserve">DRAFT</t>
    </r>
    <r>
      <rPr>
        <sz val="10"/>
        <rFont val="WenQuanYi Zen Hei"/>
        <family val="2"/>
      </rPr>
      <t xml:space="preserve">（作成中）</t>
    </r>
  </si>
  <si>
    <t xml:space="preserve">承認</t>
  </si>
  <si>
    <r>
      <rPr>
        <sz val="10"/>
        <rFont val="Arial"/>
        <family val="0"/>
        <charset val="1"/>
      </rPr>
      <t xml:space="preserve">APPROVED</t>
    </r>
    <r>
      <rPr>
        <sz val="10"/>
        <rFont val="WenQuanYi Zen Hei"/>
        <family val="2"/>
      </rPr>
      <t xml:space="preserve">（承認済）</t>
    </r>
  </si>
  <si>
    <t xml:space="preserve">一部入荷</t>
  </si>
  <si>
    <r>
      <rPr>
        <sz val="10"/>
        <rFont val="Arial"/>
        <family val="0"/>
        <charset val="1"/>
      </rPr>
      <t xml:space="preserve">PARTIAL</t>
    </r>
    <r>
      <rPr>
        <sz val="10"/>
        <rFont val="WenQuanYi Zen Hei"/>
        <family val="2"/>
      </rPr>
      <t xml:space="preserve">（一部入荷）</t>
    </r>
  </si>
  <si>
    <r>
      <rPr>
        <sz val="10"/>
        <rFont val="WenQuanYi Zen Hei"/>
        <family val="2"/>
      </rPr>
      <t xml:space="preserve">入荷済数量 </t>
    </r>
    <r>
      <rPr>
        <sz val="10"/>
        <rFont val="Arial"/>
        <family val="0"/>
        <charset val="1"/>
      </rPr>
      <t xml:space="preserve">&lt; </t>
    </r>
    <r>
      <rPr>
        <sz val="10"/>
        <rFont val="WenQuanYi Zen Hei"/>
        <family val="2"/>
      </rPr>
      <t xml:space="preserve">発注数量</t>
    </r>
  </si>
  <si>
    <r>
      <rPr>
        <sz val="10"/>
        <rFont val="Arial"/>
        <family val="0"/>
        <charset val="1"/>
      </rPr>
      <t xml:space="preserve">APPROVED</t>
    </r>
    <r>
      <rPr>
        <sz val="10"/>
        <rFont val="WenQuanYi Zen Hei"/>
        <family val="2"/>
      </rPr>
      <t xml:space="preserve">（承認済）</t>
    </r>
    <r>
      <rPr>
        <sz val="10"/>
        <rFont val="Arial"/>
        <family val="0"/>
        <charset val="1"/>
      </rPr>
      <t xml:space="preserve">/PARTIAL</t>
    </r>
    <r>
      <rPr>
        <sz val="10"/>
        <rFont val="WenQuanYi Zen Hei"/>
        <family val="2"/>
      </rPr>
      <t xml:space="preserve">（一部入荷）</t>
    </r>
  </si>
  <si>
    <t xml:space="preserve">全量入荷</t>
  </si>
  <si>
    <r>
      <rPr>
        <sz val="10"/>
        <rFont val="Arial"/>
        <family val="0"/>
        <charset val="1"/>
      </rPr>
      <t xml:space="preserve">RECEIVED</t>
    </r>
    <r>
      <rPr>
        <sz val="10"/>
        <rFont val="WenQuanYi Zen Hei"/>
        <family val="2"/>
      </rPr>
      <t xml:space="preserve">（入荷完了）</t>
    </r>
  </si>
  <si>
    <r>
      <rPr>
        <sz val="10"/>
        <rFont val="WenQuanYi Zen Hei"/>
        <family val="2"/>
      </rPr>
      <t xml:space="preserve">全明細で入荷済数量 </t>
    </r>
    <r>
      <rPr>
        <sz val="10"/>
        <rFont val="Arial"/>
        <family val="0"/>
        <charset val="1"/>
      </rPr>
      <t xml:space="preserve">&gt;= </t>
    </r>
    <r>
      <rPr>
        <sz val="10"/>
        <rFont val="WenQuanYi Zen Hei"/>
        <family val="2"/>
      </rPr>
      <t xml:space="preserve">発注数量</t>
    </r>
  </si>
  <si>
    <r>
      <rPr>
        <sz val="10"/>
        <rFont val="Arial"/>
        <family val="0"/>
        <charset val="1"/>
      </rPr>
      <t xml:space="preserve">PARTIAL</t>
    </r>
    <r>
      <rPr>
        <sz val="10"/>
        <rFont val="WenQuanYi Zen Hei"/>
        <family val="2"/>
      </rPr>
      <t xml:space="preserve">（一部入荷）</t>
    </r>
    <r>
      <rPr>
        <sz val="10"/>
        <rFont val="Arial"/>
        <family val="0"/>
        <charset val="1"/>
      </rPr>
      <t xml:space="preserve">/RECEIVED</t>
    </r>
    <r>
      <rPr>
        <sz val="10"/>
        <rFont val="WenQuanYi Zen Hei"/>
        <family val="2"/>
      </rPr>
      <t xml:space="preserve">（入荷完了）</t>
    </r>
  </si>
  <si>
    <r>
      <rPr>
        <sz val="10"/>
        <rFont val="Arial"/>
        <family val="0"/>
        <charset val="1"/>
      </rPr>
      <t xml:space="preserve">P-12 </t>
    </r>
    <r>
      <rPr>
        <sz val="10"/>
        <rFont val="WenQuanYi Zen Hei"/>
        <family val="2"/>
      </rPr>
      <t xml:space="preserve">で入荷済数量を減算し再判定</t>
    </r>
  </si>
  <si>
    <t xml:space="preserve">残数打切り</t>
  </si>
  <si>
    <r>
      <rPr>
        <sz val="10"/>
        <rFont val="Arial"/>
        <family val="0"/>
        <charset val="1"/>
      </rPr>
      <t xml:space="preserve">CLOSED</t>
    </r>
    <r>
      <rPr>
        <sz val="10"/>
        <rFont val="WenQuanYi Zen Hei"/>
        <family val="2"/>
      </rPr>
      <t xml:space="preserve">（打切り）</t>
    </r>
  </si>
  <si>
    <r>
      <rPr>
        <sz val="10"/>
        <rFont val="Arial"/>
        <family val="0"/>
        <charset val="1"/>
      </rPr>
      <t xml:space="preserve">API-024</t>
    </r>
    <r>
      <rPr>
        <sz val="10"/>
        <rFont val="WenQuanYi Zen Hei"/>
        <family val="2"/>
      </rPr>
      <t xml:space="preserve">。以後の入荷対象外。理由を備考に記録</t>
    </r>
  </si>
  <si>
    <t xml:space="preserve">PURCHASE</t>
  </si>
  <si>
    <r>
      <rPr>
        <sz val="10"/>
        <rFont val="Arial"/>
        <family val="0"/>
        <charset val="1"/>
      </rPr>
      <t xml:space="preserve">P-12</t>
    </r>
    <r>
      <rPr>
        <sz val="10"/>
        <rFont val="WenQuanYi Zen Hei"/>
        <family val="2"/>
      </rPr>
      <t xml:space="preserve">。入荷済数量のみ減算し状態は維持</t>
    </r>
  </si>
  <si>
    <r>
      <rPr>
        <sz val="10"/>
        <rFont val="Arial"/>
        <family val="0"/>
        <charset val="1"/>
      </rPr>
      <t xml:space="preserve">DRAFT</t>
    </r>
    <r>
      <rPr>
        <sz val="10"/>
        <rFont val="WenQuanYi Zen Hei"/>
        <family val="2"/>
      </rPr>
      <t xml:space="preserve">（作成中）</t>
    </r>
    <r>
      <rPr>
        <sz val="10"/>
        <rFont val="Arial"/>
        <family val="0"/>
        <charset val="1"/>
      </rPr>
      <t xml:space="preserve">/APPROVED</t>
    </r>
    <r>
      <rPr>
        <sz val="10"/>
        <rFont val="WenQuanYi Zen Hei"/>
        <family val="2"/>
      </rPr>
      <t xml:space="preserve">（承認済）</t>
    </r>
  </si>
  <si>
    <t xml:space="preserve">取消</t>
  </si>
  <si>
    <r>
      <rPr>
        <sz val="10"/>
        <rFont val="Arial"/>
        <family val="0"/>
        <charset val="1"/>
      </rPr>
      <t xml:space="preserve">CANCELLED</t>
    </r>
    <r>
      <rPr>
        <sz val="10"/>
        <rFont val="WenQuanYi Zen Hei"/>
        <family val="2"/>
      </rPr>
      <t xml:space="preserve">（取消）</t>
    </r>
  </si>
  <si>
    <r>
      <rPr>
        <sz val="10"/>
        <rFont val="WenQuanYi Zen Hei"/>
        <family val="2"/>
      </rPr>
      <t xml:space="preserve">入荷実績がない場合のみ（</t>
    </r>
    <r>
      <rPr>
        <sz val="10"/>
        <rFont val="Arial"/>
        <family val="0"/>
        <charset val="1"/>
      </rPr>
      <t xml:space="preserve">MSG-E21</t>
    </r>
    <r>
      <rPr>
        <sz val="10"/>
        <rFont val="WenQuanYi Zen Hei"/>
        <family val="2"/>
      </rPr>
      <t xml:space="preserve">）</t>
    </r>
  </si>
  <si>
    <t xml:space="preserve">登録（与信超過）</t>
  </si>
  <si>
    <r>
      <rPr>
        <sz val="10"/>
        <rFont val="Arial"/>
        <family val="0"/>
        <charset val="1"/>
      </rPr>
      <t xml:space="preserve">CREDIT_PENDING</t>
    </r>
    <r>
      <rPr>
        <sz val="10"/>
        <rFont val="WenQuanYi Zen Hei"/>
        <family val="2"/>
      </rPr>
      <t xml:space="preserve">（与信承認待ち）</t>
    </r>
  </si>
  <si>
    <r>
      <rPr>
        <sz val="10"/>
        <rFont val="Arial"/>
        <family val="0"/>
        <charset val="1"/>
      </rPr>
      <t xml:space="preserve">P-03</t>
    </r>
    <r>
      <rPr>
        <sz val="10"/>
        <rFont val="WenQuanYi Zen Hei"/>
        <family val="2"/>
      </rPr>
      <t xml:space="preserve">。引当不可</t>
    </r>
  </si>
  <si>
    <t xml:space="preserve">SALES</t>
  </si>
  <si>
    <r>
      <rPr>
        <sz val="10"/>
        <rFont val="Arial"/>
        <family val="0"/>
        <charset val="1"/>
      </rPr>
      <t xml:space="preserve">OPEN</t>
    </r>
    <r>
      <rPr>
        <sz val="10"/>
        <rFont val="WenQuanYi Zen Hei"/>
        <family val="2"/>
      </rPr>
      <t xml:space="preserve">（受付）</t>
    </r>
    <r>
      <rPr>
        <sz val="10"/>
        <rFont val="Arial"/>
        <family val="0"/>
        <charset val="1"/>
      </rPr>
      <t xml:space="preserve">/PARTIAL</t>
    </r>
    <r>
      <rPr>
        <sz val="10"/>
        <rFont val="WenQuanYi Zen Hei"/>
        <family val="2"/>
      </rPr>
      <t xml:space="preserve">（一部出荷）</t>
    </r>
  </si>
  <si>
    <t xml:space="preserve">変更で与信超過</t>
  </si>
  <si>
    <r>
      <rPr>
        <sz val="10"/>
        <rFont val="Arial"/>
        <family val="0"/>
        <charset val="1"/>
      </rPr>
      <t xml:space="preserve">P-03</t>
    </r>
    <r>
      <rPr>
        <sz val="10"/>
        <rFont val="WenQuanYi Zen Hei"/>
        <family val="2"/>
      </rPr>
      <t xml:space="preserve">。</t>
    </r>
    <r>
      <rPr>
        <sz val="10"/>
        <rFont val="Arial"/>
        <family val="0"/>
        <charset val="1"/>
      </rPr>
      <t xml:space="preserve">ALLOCATED </t>
    </r>
    <r>
      <rPr>
        <sz val="10"/>
        <rFont val="WenQuanYi Zen Hei"/>
        <family val="2"/>
      </rPr>
      <t xml:space="preserve">の出荷がない場合のみ（あれば </t>
    </r>
    <r>
      <rPr>
        <sz val="10"/>
        <rFont val="Arial"/>
        <family val="0"/>
        <charset val="1"/>
      </rPr>
      <t xml:space="preserve">MSG-E31</t>
    </r>
    <r>
      <rPr>
        <sz val="10"/>
        <rFont val="WenQuanYi Zen Hei"/>
        <family val="2"/>
      </rPr>
      <t xml:space="preserve">）</t>
    </r>
  </si>
  <si>
    <t xml:space="preserve">与信承認</t>
  </si>
  <si>
    <r>
      <rPr>
        <sz val="10"/>
        <rFont val="Arial"/>
        <family val="0"/>
        <charset val="1"/>
      </rPr>
      <t xml:space="preserve">API-063</t>
    </r>
    <r>
      <rPr>
        <sz val="10"/>
        <rFont val="WenQuanYi Zen Hei"/>
        <family val="2"/>
      </rPr>
      <t xml:space="preserve">。</t>
    </r>
    <r>
      <rPr>
        <sz val="10"/>
        <rFont val="Arial"/>
        <family val="0"/>
        <charset val="1"/>
      </rPr>
      <t xml:space="preserve">credit_approved_by/at </t>
    </r>
    <r>
      <rPr>
        <sz val="10"/>
        <rFont val="WenQuanYi Zen Hei"/>
        <family val="2"/>
      </rPr>
      <t xml:space="preserve">を記録。出荷済数量で再判定</t>
    </r>
  </si>
  <si>
    <r>
      <rPr>
        <sz val="10"/>
        <rFont val="Arial"/>
        <family val="0"/>
        <charset val="1"/>
      </rPr>
      <t xml:space="preserve">OPEN</t>
    </r>
    <r>
      <rPr>
        <sz val="10"/>
        <rFont val="WenQuanYi Zen Hei"/>
        <family val="2"/>
      </rPr>
      <t xml:space="preserve">（受付）</t>
    </r>
  </si>
  <si>
    <t xml:space="preserve">一部出荷</t>
  </si>
  <si>
    <r>
      <rPr>
        <sz val="10"/>
        <rFont val="Arial"/>
        <family val="0"/>
        <charset val="1"/>
      </rPr>
      <t xml:space="preserve">PARTIAL</t>
    </r>
    <r>
      <rPr>
        <sz val="10"/>
        <rFont val="WenQuanYi Zen Hei"/>
        <family val="2"/>
      </rPr>
      <t xml:space="preserve">（一部出荷）</t>
    </r>
  </si>
  <si>
    <t xml:space="preserve">全量出荷</t>
  </si>
  <si>
    <r>
      <rPr>
        <sz val="10"/>
        <rFont val="Arial"/>
        <family val="0"/>
        <charset val="1"/>
      </rPr>
      <t xml:space="preserve">SHIPPED</t>
    </r>
    <r>
      <rPr>
        <sz val="10"/>
        <rFont val="WenQuanYi Zen Hei"/>
        <family val="2"/>
      </rPr>
      <t xml:space="preserve">（出荷完了）</t>
    </r>
  </si>
  <si>
    <r>
      <rPr>
        <sz val="10"/>
        <rFont val="Arial"/>
        <family val="0"/>
        <charset val="1"/>
      </rPr>
      <t xml:space="preserve">PARTIAL</t>
    </r>
    <r>
      <rPr>
        <sz val="10"/>
        <rFont val="WenQuanYi Zen Hei"/>
        <family val="2"/>
      </rPr>
      <t xml:space="preserve">（一部出荷）</t>
    </r>
    <r>
      <rPr>
        <sz val="10"/>
        <rFont val="Arial"/>
        <family val="0"/>
        <charset val="1"/>
      </rPr>
      <t xml:space="preserve">/SHIPPED</t>
    </r>
    <r>
      <rPr>
        <sz val="10"/>
        <rFont val="WenQuanYi Zen Hei"/>
        <family val="2"/>
      </rPr>
      <t xml:space="preserve">（出荷完了）</t>
    </r>
  </si>
  <si>
    <r>
      <rPr>
        <sz val="10"/>
        <rFont val="Arial"/>
        <family val="0"/>
        <charset val="1"/>
      </rPr>
      <t xml:space="preserve">P-06 </t>
    </r>
    <r>
      <rPr>
        <sz val="10"/>
        <rFont val="WenQuanYi Zen Hei"/>
        <family val="2"/>
      </rPr>
      <t xml:space="preserve">で出荷済数量を減算し再判定</t>
    </r>
  </si>
  <si>
    <r>
      <rPr>
        <sz val="10"/>
        <rFont val="Arial"/>
        <family val="0"/>
        <charset val="1"/>
      </rPr>
      <t xml:space="preserve">P-06</t>
    </r>
    <r>
      <rPr>
        <sz val="10"/>
        <rFont val="WenQuanYi Zen Hei"/>
        <family val="2"/>
      </rPr>
      <t xml:space="preserve">。出荷済数量のみ減算し状態は維持（再出荷しない）</t>
    </r>
  </si>
  <si>
    <r>
      <rPr>
        <sz val="10"/>
        <rFont val="Arial"/>
        <family val="0"/>
        <charset val="1"/>
      </rPr>
      <t xml:space="preserve">API-062</t>
    </r>
    <r>
      <rPr>
        <sz val="10"/>
        <rFont val="WenQuanYi Zen Hei"/>
        <family val="2"/>
      </rPr>
      <t xml:space="preserve">。</t>
    </r>
    <r>
      <rPr>
        <sz val="10"/>
        <rFont val="Arial"/>
        <family val="0"/>
        <charset val="1"/>
      </rPr>
      <t xml:space="preserve">ALLOCATED </t>
    </r>
    <r>
      <rPr>
        <sz val="10"/>
        <rFont val="WenQuanYi Zen Hei"/>
        <family val="2"/>
      </rPr>
      <t xml:space="preserve">の出荷がないこと（</t>
    </r>
    <r>
      <rPr>
        <sz val="10"/>
        <rFont val="Arial"/>
        <family val="0"/>
        <charset val="1"/>
      </rPr>
      <t xml:space="preserve">MSG-E19</t>
    </r>
    <r>
      <rPr>
        <sz val="10"/>
        <rFont val="WenQuanYi Zen Hei"/>
        <family val="2"/>
      </rPr>
      <t xml:space="preserve">）</t>
    </r>
  </si>
  <si>
    <r>
      <rPr>
        <sz val="10"/>
        <rFont val="WenQuanYi Zen Hei"/>
        <family val="2"/>
      </rPr>
      <t xml:space="preserve">出荷実績・</t>
    </r>
    <r>
      <rPr>
        <sz val="10"/>
        <rFont val="Arial"/>
        <family val="0"/>
        <charset val="1"/>
      </rPr>
      <t xml:space="preserve">ALLOCATED </t>
    </r>
    <r>
      <rPr>
        <sz val="10"/>
        <rFont val="WenQuanYi Zen Hei"/>
        <family val="2"/>
      </rPr>
      <t xml:space="preserve">の出荷がない場合のみ（</t>
    </r>
    <r>
      <rPr>
        <sz val="10"/>
        <rFont val="Arial"/>
        <family val="0"/>
        <charset val="1"/>
      </rPr>
      <t xml:space="preserve">MSG-E19</t>
    </r>
    <r>
      <rPr>
        <sz val="10"/>
        <rFont val="WenQuanYi Zen Hei"/>
        <family val="2"/>
      </rPr>
      <t xml:space="preserve">）</t>
    </r>
  </si>
  <si>
    <t xml:space="preserve">出荷</t>
  </si>
  <si>
    <r>
      <rPr>
        <sz val="10"/>
        <rFont val="Arial"/>
        <family val="0"/>
        <charset val="1"/>
      </rPr>
      <t xml:space="preserve">ALLOCATED</t>
    </r>
    <r>
      <rPr>
        <sz val="10"/>
        <rFont val="WenQuanYi Zen Hei"/>
        <family val="2"/>
      </rPr>
      <t xml:space="preserve">（引当済）</t>
    </r>
  </si>
  <si>
    <r>
      <rPr>
        <sz val="10"/>
        <rFont val="Arial"/>
        <family val="0"/>
        <charset val="1"/>
      </rPr>
      <t xml:space="preserve">SHIPPED</t>
    </r>
    <r>
      <rPr>
        <sz val="10"/>
        <rFont val="WenQuanYi Zen Hei"/>
        <family val="2"/>
      </rPr>
      <t xml:space="preserve">（出荷済）</t>
    </r>
  </si>
  <si>
    <r>
      <rPr>
        <sz val="10"/>
        <rFont val="Arial"/>
        <family val="0"/>
        <charset val="1"/>
      </rPr>
      <t xml:space="preserve">P-05</t>
    </r>
    <r>
      <rPr>
        <sz val="10"/>
        <rFont val="WenQuanYi Zen Hei"/>
        <family val="2"/>
      </rPr>
      <t xml:space="preserve">。</t>
    </r>
    <r>
      <rPr>
        <sz val="10"/>
        <rFont val="Arial"/>
        <family val="0"/>
        <charset val="1"/>
      </rPr>
      <t xml:space="preserve">ALLOCATED </t>
    </r>
    <r>
      <rPr>
        <sz val="10"/>
        <rFont val="WenQuanYi Zen Hei"/>
        <family val="2"/>
      </rPr>
      <t xml:space="preserve">の明細のみ </t>
    </r>
    <r>
      <rPr>
        <sz val="10"/>
        <rFont val="Arial"/>
        <family val="0"/>
        <charset val="1"/>
      </rPr>
      <t xml:space="preserve">SHIPPED </t>
    </r>
    <r>
      <rPr>
        <sz val="10"/>
        <rFont val="WenQuanYi Zen Hei"/>
        <family val="2"/>
      </rPr>
      <t xml:space="preserve">にする</t>
    </r>
  </si>
  <si>
    <t xml:space="preserve">引当解除（全明細）</t>
  </si>
  <si>
    <r>
      <rPr>
        <sz val="10"/>
        <rFont val="Arial"/>
        <family val="0"/>
        <charset val="1"/>
      </rPr>
      <t xml:space="preserve">P-06 / P-11 </t>
    </r>
    <r>
      <rPr>
        <sz val="10"/>
        <rFont val="WenQuanYi Zen Hei"/>
        <family val="2"/>
      </rPr>
      <t xml:space="preserve">で </t>
    </r>
    <r>
      <rPr>
        <sz val="10"/>
        <rFont val="Arial"/>
        <family val="0"/>
        <charset val="1"/>
      </rPr>
      <t xml:space="preserve">ALLOCATED </t>
    </r>
    <r>
      <rPr>
        <sz val="10"/>
        <rFont val="WenQuanYi Zen Hei"/>
        <family val="2"/>
      </rPr>
      <t xml:space="preserve">明細が残らなくなった場合</t>
    </r>
  </si>
  <si>
    <r>
      <rPr>
        <sz val="10"/>
        <rFont val="Arial"/>
        <family val="0"/>
        <charset val="1"/>
      </rPr>
      <t xml:space="preserve">P-06</t>
    </r>
    <r>
      <rPr>
        <sz val="10"/>
        <rFont val="WenQuanYi Zen Hei"/>
        <family val="2"/>
      </rPr>
      <t xml:space="preserve">。赤伝（</t>
    </r>
    <r>
      <rPr>
        <sz val="10"/>
        <rFont val="Arial"/>
        <family val="0"/>
        <charset val="1"/>
      </rPr>
      <t xml:space="preserve">CANCEL</t>
    </r>
    <r>
      <rPr>
        <sz val="10"/>
        <rFont val="WenQuanYi Zen Hei"/>
        <family val="2"/>
      </rPr>
      <t xml:space="preserve">移動）で在庫戻し。返品がある場合は不可</t>
    </r>
  </si>
  <si>
    <t xml:space="preserve">回収案件</t>
  </si>
  <si>
    <t xml:space="preserve">登録</t>
  </si>
  <si>
    <r>
      <rPr>
        <sz val="10"/>
        <rFont val="Arial"/>
        <family val="0"/>
        <charset val="1"/>
      </rPr>
      <t xml:space="preserve">OPEN</t>
    </r>
    <r>
      <rPr>
        <sz val="10"/>
        <rFont val="WenQuanYi Zen Hei"/>
        <family val="2"/>
      </rPr>
      <t xml:space="preserve">（登録）</t>
    </r>
  </si>
  <si>
    <r>
      <rPr>
        <sz val="10"/>
        <rFont val="Arial"/>
        <family val="0"/>
        <charset val="1"/>
      </rPr>
      <t xml:space="preserve">OPEN</t>
    </r>
    <r>
      <rPr>
        <sz val="10"/>
        <rFont val="WenQuanYi Zen Hei"/>
        <family val="2"/>
      </rPr>
      <t xml:space="preserve">（登録）</t>
    </r>
    <r>
      <rPr>
        <sz val="10"/>
        <rFont val="Arial"/>
        <family val="0"/>
        <charset val="1"/>
      </rPr>
      <t xml:space="preserve">/IN_PROGRESS</t>
    </r>
    <r>
      <rPr>
        <sz val="10"/>
        <rFont val="WenQuanYi Zen Hei"/>
        <family val="2"/>
      </rPr>
      <t xml:space="preserve">（対応中）</t>
    </r>
  </si>
  <si>
    <t xml:space="preserve">対象顧客抽出（再抽出）</t>
  </si>
  <si>
    <r>
      <rPr>
        <sz val="10"/>
        <rFont val="Arial"/>
        <family val="0"/>
        <charset val="1"/>
      </rPr>
      <t xml:space="preserve">IN_PROGRESS</t>
    </r>
    <r>
      <rPr>
        <sz val="10"/>
        <rFont val="WenQuanYi Zen Hei"/>
        <family val="2"/>
      </rPr>
      <t xml:space="preserve">（対応中）</t>
    </r>
  </si>
  <si>
    <r>
      <rPr>
        <sz val="10"/>
        <rFont val="Arial"/>
        <family val="0"/>
        <charset val="1"/>
      </rPr>
      <t xml:space="preserve">P-18</t>
    </r>
    <r>
      <rPr>
        <sz val="10"/>
        <rFont val="WenQuanYi Zen Hei"/>
        <family val="2"/>
      </rPr>
      <t xml:space="preserve">。何度実行しても同じ結果</t>
    </r>
  </si>
  <si>
    <t xml:space="preserve">抽出</t>
  </si>
  <si>
    <r>
      <rPr>
        <sz val="10"/>
        <rFont val="Arial"/>
        <family val="0"/>
        <charset val="1"/>
      </rPr>
      <t xml:space="preserve">NOT_CONTACTED</t>
    </r>
    <r>
      <rPr>
        <sz val="10"/>
        <rFont val="WenQuanYi Zen Hei"/>
        <family val="2"/>
      </rPr>
      <t xml:space="preserve">（未連絡）</t>
    </r>
  </si>
  <si>
    <r>
      <rPr>
        <sz val="10"/>
        <rFont val="Arial"/>
        <family val="0"/>
        <charset val="1"/>
      </rPr>
      <t xml:space="preserve">P-18</t>
    </r>
    <r>
      <rPr>
        <sz val="10"/>
        <rFont val="WenQuanYi Zen Hei"/>
        <family val="2"/>
      </rPr>
      <t xml:space="preserve">。出荷正味</t>
    </r>
    <r>
      <rPr>
        <sz val="10"/>
        <rFont val="Arial"/>
        <family val="0"/>
        <charset val="1"/>
      </rPr>
      <t xml:space="preserve">0</t>
    </r>
    <r>
      <rPr>
        <sz val="10"/>
        <rFont val="WenQuanYi Zen Hei"/>
        <family val="2"/>
      </rPr>
      <t xml:space="preserve">の場合は </t>
    </r>
    <r>
      <rPr>
        <sz val="10"/>
        <rFont val="Arial"/>
        <family val="0"/>
        <charset val="1"/>
      </rPr>
      <t xml:space="preserve">CLOSED</t>
    </r>
  </si>
  <si>
    <t xml:space="preserve">連絡</t>
  </si>
  <si>
    <r>
      <rPr>
        <sz val="10"/>
        <rFont val="Arial"/>
        <family val="0"/>
        <charset val="1"/>
      </rPr>
      <t xml:space="preserve">CONTACTED</t>
    </r>
    <r>
      <rPr>
        <sz val="10"/>
        <rFont val="WenQuanYi Zen Hei"/>
        <family val="2"/>
      </rPr>
      <t xml:space="preserve">（連絡済）</t>
    </r>
  </si>
  <si>
    <r>
      <rPr>
        <sz val="10"/>
        <rFont val="Arial"/>
        <family val="0"/>
        <charset val="1"/>
      </rPr>
      <t xml:space="preserve">NOT_CONTACTED</t>
    </r>
    <r>
      <rPr>
        <sz val="10"/>
        <rFont val="WenQuanYi Zen Hei"/>
        <family val="2"/>
      </rPr>
      <t xml:space="preserve">（未連絡）</t>
    </r>
    <r>
      <rPr>
        <sz val="10"/>
        <rFont val="Arial"/>
        <family val="0"/>
        <charset val="1"/>
      </rPr>
      <t xml:space="preserve">/CONTACTED</t>
    </r>
    <r>
      <rPr>
        <sz val="10"/>
        <rFont val="WenQuanYi Zen Hei"/>
        <family val="2"/>
      </rPr>
      <t xml:space="preserve">（連絡済）</t>
    </r>
  </si>
  <si>
    <r>
      <rPr>
        <sz val="10"/>
        <rFont val="Arial"/>
        <family val="0"/>
        <charset val="1"/>
      </rPr>
      <t xml:space="preserve">RECOVERED</t>
    </r>
    <r>
      <rPr>
        <sz val="10"/>
        <rFont val="WenQuanYi Zen Hei"/>
        <family val="2"/>
      </rPr>
      <t xml:space="preserve">（回収済）</t>
    </r>
  </si>
  <si>
    <r>
      <rPr>
        <sz val="10"/>
        <rFont val="Arial"/>
        <family val="0"/>
        <charset val="1"/>
      </rPr>
      <t xml:space="preserve">P-07/P-18/P-19 </t>
    </r>
    <r>
      <rPr>
        <sz val="10"/>
        <rFont val="WenQuanYi Zen Hei"/>
        <family val="2"/>
      </rPr>
      <t xml:space="preserve">で自動。回収数量＋回収不能数量 </t>
    </r>
    <r>
      <rPr>
        <sz val="10"/>
        <rFont val="Arial"/>
        <family val="0"/>
        <charset val="1"/>
      </rPr>
      <t xml:space="preserve">&gt;= </t>
    </r>
    <r>
      <rPr>
        <sz val="10"/>
        <rFont val="WenQuanYi Zen Hei"/>
        <family val="2"/>
      </rPr>
      <t xml:space="preserve">出荷正味数量</t>
    </r>
  </si>
  <si>
    <t xml:space="preserve">クローズ</t>
  </si>
  <si>
    <r>
      <rPr>
        <sz val="10"/>
        <rFont val="Arial"/>
        <family val="0"/>
        <charset val="1"/>
      </rPr>
      <t xml:space="preserve">CLOSED</t>
    </r>
    <r>
      <rPr>
        <sz val="10"/>
        <rFont val="WenQuanYi Zen Hei"/>
        <family val="2"/>
      </rPr>
      <t xml:space="preserve">（対象外・終了）</t>
    </r>
  </si>
  <si>
    <r>
      <rPr>
        <sz val="10"/>
        <rFont val="Arial"/>
        <family val="0"/>
        <charset val="1"/>
      </rPr>
      <t xml:space="preserve">P-19</t>
    </r>
    <r>
      <rPr>
        <sz val="10"/>
        <rFont val="WenQuanYi Zen Hei"/>
        <family val="2"/>
      </rPr>
      <t xml:space="preserve">（</t>
    </r>
    <r>
      <rPr>
        <sz val="10"/>
        <rFont val="Arial"/>
        <family val="0"/>
        <charset val="1"/>
      </rPr>
      <t xml:space="preserve">QA</t>
    </r>
    <r>
      <rPr>
        <sz val="10"/>
        <rFont val="WenQuanYi Zen Hei"/>
        <family val="2"/>
      </rPr>
      <t xml:space="preserve">のみ）。</t>
    </r>
    <r>
      <rPr>
        <sz val="10"/>
        <rFont val="Arial"/>
        <family val="0"/>
        <charset val="1"/>
      </rPr>
      <t xml:space="preserve">close_reason </t>
    </r>
    <r>
      <rPr>
        <sz val="10"/>
        <rFont val="WenQuanYi Zen Hei"/>
        <family val="2"/>
      </rPr>
      <t xml:space="preserve">必須（使用済・全量返品済等）。出荷正味</t>
    </r>
    <r>
      <rPr>
        <sz val="10"/>
        <rFont val="Arial"/>
        <family val="0"/>
        <charset val="1"/>
      </rPr>
      <t xml:space="preserve">0</t>
    </r>
    <r>
      <rPr>
        <sz val="10"/>
        <rFont val="WenQuanYi Zen Hei"/>
        <family val="2"/>
      </rPr>
      <t xml:space="preserve">は自動</t>
    </r>
  </si>
  <si>
    <t xml:space="preserve">完了</t>
  </si>
  <si>
    <r>
      <rPr>
        <sz val="10"/>
        <rFont val="Arial"/>
        <family val="0"/>
        <charset val="1"/>
      </rPr>
      <t xml:space="preserve">CLOSED</t>
    </r>
    <r>
      <rPr>
        <sz val="10"/>
        <rFont val="WenQuanYi Zen Hei"/>
        <family val="2"/>
      </rPr>
      <t xml:space="preserve">（完了）</t>
    </r>
  </si>
  <si>
    <r>
      <rPr>
        <sz val="10"/>
        <rFont val="Arial"/>
        <family val="0"/>
        <charset val="1"/>
      </rPr>
      <t xml:space="preserve">P-14</t>
    </r>
    <r>
      <rPr>
        <sz val="10"/>
        <rFont val="WenQuanYi Zen Hei"/>
        <family val="2"/>
      </rPr>
      <t xml:space="preserve">。全対象が </t>
    </r>
    <r>
      <rPr>
        <sz val="10"/>
        <rFont val="Arial"/>
        <family val="0"/>
        <charset val="1"/>
      </rPr>
      <t xml:space="preserve">RECOVERED/CLOSED</t>
    </r>
  </si>
  <si>
    <r>
      <rPr>
        <i val="true"/>
        <sz val="9"/>
        <color rgb="FF595959"/>
        <rFont val="WenQuanYi Zen Hei"/>
        <family val="2"/>
      </rPr>
      <t xml:space="preserve">カラム数は項目定義シートから </t>
    </r>
    <r>
      <rPr>
        <i val="true"/>
        <sz val="9"/>
        <color rgb="FF595959"/>
        <rFont val="Arial"/>
        <family val="0"/>
        <charset val="1"/>
      </rPr>
      <t xml:space="preserve">COUNTIF </t>
    </r>
    <r>
      <rPr>
        <i val="true"/>
        <sz val="9"/>
        <color rgb="FF595959"/>
        <rFont val="WenQuanYi Zen Hei"/>
        <family val="2"/>
      </rPr>
      <t xml:space="preserve">で自動集計（グループ見出し行を除く）</t>
    </r>
  </si>
  <si>
    <t xml:space="preserve">物理名</t>
  </si>
  <si>
    <t xml:space="preserve">論理名</t>
  </si>
  <si>
    <t xml:space="preserve">カラム数</t>
  </si>
  <si>
    <r>
      <rPr>
        <b val="true"/>
        <sz val="10"/>
        <color rgb="FFFFFFFF"/>
        <rFont val="WenQuanYi Zen Hei"/>
        <family val="2"/>
      </rPr>
      <t xml:space="preserve">主な参照先（</t>
    </r>
    <r>
      <rPr>
        <b val="true"/>
        <sz val="10"/>
        <color rgb="FFFFFFFF"/>
        <rFont val="Arial"/>
        <family val="0"/>
        <charset val="1"/>
      </rPr>
      <t xml:space="preserve">FK</t>
    </r>
    <r>
      <rPr>
        <b val="true"/>
        <sz val="10"/>
        <color rgb="FFFFFFFF"/>
        <rFont val="WenQuanYi Zen Hei"/>
        <family val="2"/>
      </rPr>
      <t xml:space="preserve">）</t>
    </r>
  </si>
  <si>
    <t xml:space="preserve">m_supplier</t>
  </si>
  <si>
    <t xml:space="preserve">仕入先（製造元・輸入元）</t>
  </si>
  <si>
    <t xml:space="preserve">m_product</t>
  </si>
  <si>
    <t xml:space="preserve">エクソソーム製品・原料</t>
  </si>
  <si>
    <t xml:space="preserve">m_customer</t>
  </si>
  <si>
    <t xml:space="preserve">販売先（請求先）</t>
  </si>
  <si>
    <t xml:space="preserve">顧客ごとの納品先</t>
  </si>
  <si>
    <t xml:space="preserve">m_location</t>
  </si>
  <si>
    <t xml:space="preserve">倉庫・冷凍庫・冷蔵庫等</t>
  </si>
  <si>
    <t xml:space="preserve">m_sales_rule</t>
  </si>
  <si>
    <r>
      <rPr>
        <sz val="10"/>
        <rFont val="WenQuanYi Zen Hei"/>
        <family val="2"/>
      </rPr>
      <t xml:space="preserve">規制区分</t>
    </r>
    <r>
      <rPr>
        <sz val="10"/>
        <rFont val="Arial"/>
        <family val="0"/>
        <charset val="1"/>
      </rPr>
      <t xml:space="preserve">×</t>
    </r>
    <r>
      <rPr>
        <sz val="10"/>
        <rFont val="WenQuanYi Zen Hei"/>
        <family val="2"/>
      </rPr>
      <t xml:space="preserve">顧客区分の販売可否</t>
    </r>
  </si>
  <si>
    <t xml:space="preserve">m_user</t>
  </si>
  <si>
    <t xml:space="preserve">ユーザー</t>
  </si>
  <si>
    <t xml:space="preserve">システム利用者</t>
  </si>
  <si>
    <t xml:space="preserve">トランザクション</t>
  </si>
  <si>
    <t xml:space="preserve">発注ヘッダ</t>
  </si>
  <si>
    <t xml:space="preserve">m_supplier, m_user</t>
  </si>
  <si>
    <t xml:space="preserve">t_purchase_order_line</t>
  </si>
  <si>
    <t xml:space="preserve">m_product, t_purchase_order</t>
  </si>
  <si>
    <t xml:space="preserve">t_receipt</t>
  </si>
  <si>
    <t xml:space="preserve">入荷</t>
  </si>
  <si>
    <t xml:space="preserve">入荷ヘッダ</t>
  </si>
  <si>
    <t xml:space="preserve">m_supplier, t_purchase_order</t>
  </si>
  <si>
    <t xml:space="preserve">t_receipt_line</t>
  </si>
  <si>
    <t xml:space="preserve">入荷明細</t>
  </si>
  <si>
    <r>
      <rPr>
        <sz val="10"/>
        <rFont val="WenQuanYi Zen Hei"/>
        <family val="2"/>
      </rPr>
      <t xml:space="preserve">入荷明細（入荷明細</t>
    </r>
    <r>
      <rPr>
        <sz val="10"/>
        <rFont val="Arial"/>
        <family val="0"/>
        <charset val="1"/>
      </rPr>
      <t xml:space="preserve">:</t>
    </r>
    <r>
      <rPr>
        <sz val="10"/>
        <rFont val="WenQuanYi Zen Hei"/>
        <family val="2"/>
      </rPr>
      <t xml:space="preserve">ロット＝多</t>
    </r>
    <r>
      <rPr>
        <sz val="10"/>
        <rFont val="Arial"/>
        <family val="0"/>
        <charset val="1"/>
      </rPr>
      <t xml:space="preserve">:1</t>
    </r>
    <r>
      <rPr>
        <sz val="10"/>
        <rFont val="WenQuanYi Zen Hei"/>
        <family val="2"/>
      </rPr>
      <t xml:space="preserve">。分納は同一ロットに加算）</t>
    </r>
  </si>
  <si>
    <t xml:space="preserve">m_location, m_product, t_lot, t_purchase_order_line, t_receipt</t>
  </si>
  <si>
    <t xml:space="preserve">ロット（トレーサビリティの中核）</t>
  </si>
  <si>
    <t xml:space="preserve">m_product, m_supplier, m_user</t>
  </si>
  <si>
    <t xml:space="preserve">ロットステータス履歴</t>
  </si>
  <si>
    <t xml:space="preserve">ロット判定・状態変更の経緯（追記のみ）</t>
  </si>
  <si>
    <t xml:space="preserve">t_lot, t_recall, t_temperature_log</t>
  </si>
  <si>
    <r>
      <rPr>
        <sz val="10"/>
        <rFont val="WenQuanYi Zen Hei"/>
        <family val="2"/>
      </rPr>
      <t xml:space="preserve">ロット</t>
    </r>
    <r>
      <rPr>
        <sz val="10"/>
        <rFont val="Arial"/>
        <family val="0"/>
        <charset val="1"/>
      </rPr>
      <t xml:space="preserve">×</t>
    </r>
    <r>
      <rPr>
        <sz val="10"/>
        <rFont val="WenQuanYi Zen Hei"/>
        <family val="2"/>
      </rPr>
      <t xml:space="preserve">保管場所の現在庫（移動履歴の集計結果）</t>
    </r>
  </si>
  <si>
    <t xml:space="preserve">m_location, t_lot</t>
  </si>
  <si>
    <t xml:space="preserve">在庫移動履歴</t>
  </si>
  <si>
    <t xml:space="preserve">在庫の全増減の記録（追記のみ）</t>
  </si>
  <si>
    <t xml:space="preserve">受注ヘッダ</t>
  </si>
  <si>
    <t xml:space="preserve">m_customer, m_ship_to, m_user</t>
  </si>
  <si>
    <t xml:space="preserve">受注明細</t>
  </si>
  <si>
    <t xml:space="preserve">m_product, t_sales_order</t>
  </si>
  <si>
    <t xml:space="preserve">t_shipment</t>
  </si>
  <si>
    <t xml:space="preserve">出荷ヘッダ</t>
  </si>
  <si>
    <t xml:space="preserve">m_customer, m_ship_to, t_sales_order</t>
  </si>
  <si>
    <t xml:space="preserve">t_shipment_line</t>
  </si>
  <si>
    <t xml:space="preserve">出荷明細</t>
  </si>
  <si>
    <t xml:space="preserve">出荷明細（ロット紐付け必須）</t>
  </si>
  <si>
    <t xml:space="preserve">m_location, m_product, t_lot, t_sales_order_line, t_shipment</t>
  </si>
  <si>
    <t xml:space="preserve">t_return</t>
  </si>
  <si>
    <t xml:space="preserve">返品（元出荷明細に紐付け）</t>
  </si>
  <si>
    <t xml:space="preserve">m_location, t_recall_target, t_shipment_line</t>
  </si>
  <si>
    <t xml:space="preserve">t_recall</t>
  </si>
  <si>
    <t xml:space="preserve">回収（リコール）案件</t>
  </si>
  <si>
    <t xml:space="preserve">t_recall_lot</t>
  </si>
  <si>
    <t xml:space="preserve">回収対象ロット</t>
  </si>
  <si>
    <r>
      <rPr>
        <sz val="10"/>
        <rFont val="WenQuanYi Zen Hei"/>
        <family val="2"/>
      </rPr>
      <t xml:space="preserve">回収案件</t>
    </r>
    <r>
      <rPr>
        <sz val="10"/>
        <rFont val="Arial"/>
        <family val="0"/>
        <charset val="1"/>
      </rPr>
      <t xml:space="preserve">×</t>
    </r>
    <r>
      <rPr>
        <sz val="10"/>
        <rFont val="WenQuanYi Zen Hei"/>
        <family val="2"/>
      </rPr>
      <t xml:space="preserve">ロット</t>
    </r>
  </si>
  <si>
    <t xml:space="preserve">t_lot, t_recall</t>
  </si>
  <si>
    <t xml:space="preserve">t_recall_target</t>
  </si>
  <si>
    <t xml:space="preserve">回収対象顧客</t>
  </si>
  <si>
    <r>
      <rPr>
        <sz val="10"/>
        <rFont val="WenQuanYi Zen Hei"/>
        <family val="2"/>
      </rPr>
      <t xml:space="preserve">回収案件</t>
    </r>
    <r>
      <rPr>
        <sz val="10"/>
        <rFont val="Arial"/>
        <family val="0"/>
        <charset val="1"/>
      </rPr>
      <t xml:space="preserve">×</t>
    </r>
    <r>
      <rPr>
        <sz val="10"/>
        <rFont val="WenQuanYi Zen Hei"/>
        <family val="2"/>
      </rPr>
      <t xml:space="preserve">顧客の連絡・回収状況</t>
    </r>
  </si>
  <si>
    <t xml:space="preserve">m_customer, m_ship_to, t_lot, t_recall</t>
  </si>
  <si>
    <t xml:space="preserve">t_temperature_log</t>
  </si>
  <si>
    <t xml:space="preserve">保管場所の温度記録</t>
  </si>
  <si>
    <t xml:space="preserve">添付ファイル</t>
  </si>
  <si>
    <r>
      <rPr>
        <sz val="10"/>
        <rFont val="Arial"/>
        <family val="0"/>
        <charset val="1"/>
      </rPr>
      <t xml:space="preserve">COA</t>
    </r>
    <r>
      <rPr>
        <sz val="10"/>
        <rFont val="WenQuanYi Zen Hei"/>
        <family val="2"/>
      </rPr>
      <t xml:space="preserve">・輸入書類等</t>
    </r>
  </si>
  <si>
    <t xml:space="preserve">ログ</t>
  </si>
  <si>
    <t xml:space="preserve">操作履歴（追記のみ）</t>
  </si>
  <si>
    <r>
      <rPr>
        <i val="true"/>
        <sz val="9"/>
        <color rgb="FF595959"/>
        <rFont val="WenQuanYi Zen Hei"/>
        <family val="2"/>
      </rPr>
      <t xml:space="preserve">各テーブル末尾に共通カラム（</t>
    </r>
    <r>
      <rPr>
        <i val="true"/>
        <sz val="9"/>
        <color rgb="FF595959"/>
        <rFont val="Arial"/>
        <family val="0"/>
        <charset val="1"/>
      </rPr>
      <t xml:space="preserve">created_at/by, updated_at/by, version</t>
    </r>
    <r>
      <rPr>
        <i val="true"/>
        <sz val="9"/>
        <color rgb="FF595959"/>
        <rFont val="WenQuanYi Zen Hei"/>
        <family val="2"/>
      </rPr>
      <t xml:space="preserve">）を付与。追記のみのテーブル（</t>
    </r>
    <r>
      <rPr>
        <i val="true"/>
        <sz val="9"/>
        <color rgb="FF595959"/>
        <rFont val="Arial"/>
        <family val="0"/>
        <charset val="1"/>
      </rPr>
      <t xml:space="preserve">t_audit_log, t_lot_status_history, t_stock_movement, t_temperature_log</t>
    </r>
    <r>
      <rPr>
        <i val="true"/>
        <sz val="9"/>
        <color rgb="FF595959"/>
        <rFont val="WenQuanYi Zen Hei"/>
        <family val="2"/>
      </rPr>
      <t xml:space="preserve">）は </t>
    </r>
    <r>
      <rPr>
        <i val="true"/>
        <sz val="9"/>
        <color rgb="FF595959"/>
        <rFont val="Arial"/>
        <family val="0"/>
        <charset val="1"/>
      </rPr>
      <t xml:space="preserve">created_* </t>
    </r>
    <r>
      <rPr>
        <i val="true"/>
        <sz val="9"/>
        <color rgb="FF595959"/>
        <rFont val="WenQuanYi Zen Hei"/>
        <family val="2"/>
      </rPr>
      <t xml:space="preserve">のみ</t>
    </r>
  </si>
  <si>
    <t xml:space="preserve">テーブル</t>
  </si>
  <si>
    <t xml:space="preserve">型</t>
  </si>
  <si>
    <t xml:space="preserve">桁</t>
  </si>
  <si>
    <t xml:space="preserve">PK</t>
  </si>
  <si>
    <r>
      <rPr>
        <b val="true"/>
        <sz val="10"/>
        <color rgb="FFFFFFFF"/>
        <rFont val="Arial"/>
        <family val="0"/>
        <charset val="1"/>
      </rPr>
      <t xml:space="preserve">FK</t>
    </r>
    <r>
      <rPr>
        <b val="true"/>
        <sz val="10"/>
        <color rgb="FFFFFFFF"/>
        <rFont val="WenQuanYi Zen Hei"/>
        <family val="2"/>
      </rPr>
      <t xml:space="preserve">参照</t>
    </r>
  </si>
  <si>
    <t xml:space="preserve">NOT NULL</t>
  </si>
  <si>
    <t xml:space="preserve">備考</t>
  </si>
  <si>
    <t xml:space="preserve">【仕入先】仕入先（製造元・輸入元）</t>
  </si>
  <si>
    <t xml:space="preserve">id</t>
  </si>
  <si>
    <r>
      <rPr>
        <sz val="10"/>
        <rFont val="WenQuanYi Zen Hei"/>
        <family val="2"/>
      </rPr>
      <t xml:space="preserve">仕入先</t>
    </r>
    <r>
      <rPr>
        <sz val="10"/>
        <rFont val="Arial"/>
        <family val="0"/>
        <charset val="1"/>
      </rPr>
      <t xml:space="preserve">ID</t>
    </r>
  </si>
  <si>
    <t xml:space="preserve">BIGINT</t>
  </si>
  <si>
    <t xml:space="preserve">自動採番</t>
  </si>
  <si>
    <t xml:space="preserve">supplier_code</t>
  </si>
  <si>
    <t xml:space="preserve">VARCHAR</t>
  </si>
  <si>
    <t xml:space="preserve">name</t>
  </si>
  <si>
    <t xml:space="preserve">仕入先名</t>
  </si>
  <si>
    <t xml:space="preserve">country</t>
  </si>
  <si>
    <t xml:space="preserve">国</t>
  </si>
  <si>
    <t xml:space="preserve">2</t>
  </si>
  <si>
    <t xml:space="preserve">JP</t>
  </si>
  <si>
    <t xml:space="preserve">ISO 3166-1</t>
  </si>
  <si>
    <t xml:space="preserve">address</t>
  </si>
  <si>
    <t xml:space="preserve">住所</t>
  </si>
  <si>
    <t xml:space="preserve">contact_name</t>
  </si>
  <si>
    <t xml:space="preserve">担当者名</t>
  </si>
  <si>
    <t xml:space="preserve">phone</t>
  </si>
  <si>
    <t xml:space="preserve">電話番号</t>
  </si>
  <si>
    <t xml:space="preserve">email</t>
  </si>
  <si>
    <t xml:space="preserve">メール</t>
  </si>
  <si>
    <t xml:space="preserve">254</t>
  </si>
  <si>
    <t xml:space="preserve">payment_terms</t>
  </si>
  <si>
    <t xml:space="preserve">支払条件</t>
  </si>
  <si>
    <t xml:space="preserve">例：月末締め翌月末払い</t>
  </si>
  <si>
    <t xml:space="preserve">is_active</t>
  </si>
  <si>
    <t xml:space="preserve">BOOLEAN</t>
  </si>
  <si>
    <t xml:space="preserve">true</t>
  </si>
  <si>
    <t xml:space="preserve">created_at</t>
  </si>
  <si>
    <t xml:space="preserve">作成日時</t>
  </si>
  <si>
    <t xml:space="preserve">TIMESTAMPTZ</t>
  </si>
  <si>
    <t xml:space="preserve">現在日時</t>
  </si>
  <si>
    <t xml:space="preserve">created_by</t>
  </si>
  <si>
    <t xml:space="preserve">作成者</t>
  </si>
  <si>
    <t xml:space="preserve">m_user.id</t>
  </si>
  <si>
    <t xml:space="preserve">updated_at</t>
  </si>
  <si>
    <t xml:space="preserve">更新日時</t>
  </si>
  <si>
    <t xml:space="preserve">updated_by</t>
  </si>
  <si>
    <t xml:space="preserve">更新者</t>
  </si>
  <si>
    <t xml:space="preserve">version</t>
  </si>
  <si>
    <t xml:space="preserve">INTEGER</t>
  </si>
  <si>
    <t xml:space="preserve">1</t>
  </si>
  <si>
    <t xml:space="preserve">楽観ロック用</t>
  </si>
  <si>
    <t xml:space="preserve">【商品】エクソソーム製品・原料</t>
  </si>
  <si>
    <r>
      <rPr>
        <sz val="10"/>
        <rFont val="WenQuanYi Zen Hei"/>
        <family val="2"/>
      </rPr>
      <t xml:space="preserve">商品</t>
    </r>
    <r>
      <rPr>
        <sz val="10"/>
        <rFont val="Arial"/>
        <family val="0"/>
        <charset val="1"/>
      </rPr>
      <t xml:space="preserve">ID</t>
    </r>
  </si>
  <si>
    <t xml:space="preserve">product_code</t>
  </si>
  <si>
    <t xml:space="preserve">supplier_id</t>
  </si>
  <si>
    <r>
      <rPr>
        <sz val="10"/>
        <rFont val="WenQuanYi Zen Hei"/>
        <family val="2"/>
      </rPr>
      <t xml:space="preserve">主仕入先</t>
    </r>
    <r>
      <rPr>
        <sz val="10"/>
        <rFont val="Arial"/>
        <family val="0"/>
        <charset val="1"/>
      </rPr>
      <t xml:space="preserve">ID</t>
    </r>
  </si>
  <si>
    <t xml:space="preserve">m_supplier.id</t>
  </si>
  <si>
    <t xml:space="preserve">source_type</t>
  </si>
  <si>
    <t xml:space="preserve">由来</t>
  </si>
  <si>
    <r>
      <rPr>
        <sz val="10"/>
        <rFont val="WenQuanYi Zen Hei"/>
        <family val="2"/>
      </rPr>
      <t xml:space="preserve">コード値：</t>
    </r>
    <r>
      <rPr>
        <sz val="10"/>
        <rFont val="Arial"/>
        <family val="0"/>
        <charset val="1"/>
      </rPr>
      <t xml:space="preserve">ADIPOSE/UMBILICAL/DENTAL_PULP/BONE_MARROW/PLANT/OTHER</t>
    </r>
  </si>
  <si>
    <t xml:space="preserve">form</t>
  </si>
  <si>
    <t xml:space="preserve">形態</t>
  </si>
  <si>
    <r>
      <rPr>
        <sz val="10"/>
        <rFont val="WenQuanYi Zen Hei"/>
        <family val="2"/>
      </rPr>
      <t xml:space="preserve">コード値：</t>
    </r>
    <r>
      <rPr>
        <sz val="10"/>
        <rFont val="Arial"/>
        <family val="0"/>
        <charset val="1"/>
      </rPr>
      <t xml:space="preserve">FROZEN/LYOPHILIZED/LIQUID</t>
    </r>
  </si>
  <si>
    <t xml:space="preserve">particle_conc</t>
  </si>
  <si>
    <r>
      <rPr>
        <sz val="10"/>
        <rFont val="WenQuanYi Zen Hei"/>
        <family val="2"/>
      </rPr>
      <t xml:space="preserve">粒子濃度（個</t>
    </r>
    <r>
      <rPr>
        <sz val="10"/>
        <rFont val="Arial"/>
        <family val="0"/>
        <charset val="1"/>
      </rPr>
      <t xml:space="preserve">/mL</t>
    </r>
    <r>
      <rPr>
        <sz val="10"/>
        <rFont val="WenQuanYi Zen Hei"/>
        <family val="2"/>
      </rPr>
      <t xml:space="preserve">）</t>
    </r>
  </si>
  <si>
    <t xml:space="preserve">NUMERIC</t>
  </si>
  <si>
    <r>
      <rPr>
        <sz val="10"/>
        <rFont val="WenQuanYi Zen Hei"/>
        <family val="2"/>
      </rPr>
      <t xml:space="preserve">仕様値。ロット実測は</t>
    </r>
    <r>
      <rPr>
        <sz val="10"/>
        <rFont val="Arial"/>
        <family val="0"/>
        <charset val="1"/>
      </rPr>
      <t xml:space="preserve">t_lot</t>
    </r>
    <r>
      <rPr>
        <sz val="10"/>
        <rFont val="WenQuanYi Zen Hei"/>
        <family val="2"/>
      </rPr>
      <t xml:space="preserve">に保持</t>
    </r>
  </si>
  <si>
    <t xml:space="preserve">volume_ml</t>
  </si>
  <si>
    <r>
      <rPr>
        <sz val="10"/>
        <rFont val="WenQuanYi Zen Hei"/>
        <family val="2"/>
      </rPr>
      <t xml:space="preserve">内容量（</t>
    </r>
    <r>
      <rPr>
        <sz val="10"/>
        <rFont val="Arial"/>
        <family val="0"/>
        <charset val="1"/>
      </rPr>
      <t xml:space="preserve">mL</t>
    </r>
    <r>
      <rPr>
        <sz val="10"/>
        <rFont val="WenQuanYi Zen Hei"/>
        <family val="2"/>
      </rPr>
      <t xml:space="preserve">）</t>
    </r>
  </si>
  <si>
    <t xml:space="preserve">8,2</t>
  </si>
  <si>
    <t xml:space="preserve">unit</t>
  </si>
  <si>
    <t xml:space="preserve">販売単位</t>
  </si>
  <si>
    <t xml:space="preserve">10</t>
  </si>
  <si>
    <t xml:space="preserve">本</t>
  </si>
  <si>
    <r>
      <rPr>
        <sz val="10"/>
        <rFont val="WenQuanYi Zen Hei"/>
        <family val="2"/>
      </rPr>
      <t xml:space="preserve">本</t>
    </r>
    <r>
      <rPr>
        <sz val="10"/>
        <rFont val="Arial"/>
        <family val="0"/>
        <charset val="1"/>
      </rPr>
      <t xml:space="preserve">/</t>
    </r>
    <r>
      <rPr>
        <sz val="10"/>
        <rFont val="WenQuanYi Zen Hei"/>
        <family val="2"/>
      </rPr>
      <t xml:space="preserve">箱</t>
    </r>
    <r>
      <rPr>
        <sz val="10"/>
        <rFont val="Arial"/>
        <family val="0"/>
        <charset val="1"/>
      </rPr>
      <t xml:space="preserve">/vial </t>
    </r>
    <r>
      <rPr>
        <sz val="10"/>
        <rFont val="WenQuanYi Zen Hei"/>
        <family val="2"/>
      </rPr>
      <t xml:space="preserve">等</t>
    </r>
  </si>
  <si>
    <t xml:space="preserve">storage_class</t>
  </si>
  <si>
    <r>
      <rPr>
        <sz val="10"/>
        <rFont val="WenQuanYi Zen Hei"/>
        <family val="2"/>
      </rPr>
      <t xml:space="preserve">コード値：</t>
    </r>
    <r>
      <rPr>
        <sz val="10"/>
        <rFont val="Arial"/>
        <family val="0"/>
        <charset val="1"/>
      </rPr>
      <t xml:space="preserve">M80/M20/COLD/RT</t>
    </r>
  </si>
  <si>
    <t xml:space="preserve">shelf_life_days</t>
  </si>
  <si>
    <t xml:space="preserve">使用期限未記載時の自動計算用</t>
  </si>
  <si>
    <t xml:space="preserve">min_remaining_days</t>
  </si>
  <si>
    <t xml:space="preserve">残存期間がこれ未満のロットは引当不可</t>
  </si>
  <si>
    <t xml:space="preserve">regulatory_class</t>
  </si>
  <si>
    <r>
      <rPr>
        <sz val="10"/>
        <rFont val="WenQuanYi Zen Hei"/>
        <family val="2"/>
      </rPr>
      <t xml:space="preserve">コード値：</t>
    </r>
    <r>
      <rPr>
        <sz val="10"/>
        <rFont val="Arial"/>
        <family val="0"/>
        <charset val="1"/>
      </rPr>
      <t xml:space="preserve">COSMETIC_RAW/RESEARCH_USE/MEDICAL_USE/OTHER</t>
    </r>
  </si>
  <si>
    <t xml:space="preserve">standard_cost</t>
  </si>
  <si>
    <t xml:space="preserve">標準原価（円）</t>
  </si>
  <si>
    <t xml:space="preserve">list_price</t>
  </si>
  <si>
    <t xml:space="preserve">標準売価（円）</t>
  </si>
  <si>
    <t xml:space="preserve">税抜</t>
  </si>
  <si>
    <t xml:space="preserve">reorder_point</t>
  </si>
  <si>
    <t xml:space="preserve">発注点</t>
  </si>
  <si>
    <t xml:space="preserve">在庫下限アラート閾値</t>
  </si>
  <si>
    <t xml:space="preserve">【顧客】販売先（請求先）</t>
  </si>
  <si>
    <r>
      <rPr>
        <sz val="10"/>
        <rFont val="WenQuanYi Zen Hei"/>
        <family val="2"/>
      </rPr>
      <t xml:space="preserve">顧客</t>
    </r>
    <r>
      <rPr>
        <sz val="10"/>
        <rFont val="Arial"/>
        <family val="0"/>
        <charset val="1"/>
      </rPr>
      <t xml:space="preserve">ID</t>
    </r>
  </si>
  <si>
    <t xml:space="preserve">customer_code</t>
  </si>
  <si>
    <t xml:space="preserve">顧客コード</t>
  </si>
  <si>
    <t xml:space="preserve">顧客名</t>
  </si>
  <si>
    <t xml:space="preserve">customer_type</t>
  </si>
  <si>
    <r>
      <rPr>
        <sz val="10"/>
        <rFont val="WenQuanYi Zen Hei"/>
        <family val="2"/>
      </rPr>
      <t xml:space="preserve">コード値：</t>
    </r>
    <r>
      <rPr>
        <sz val="10"/>
        <rFont val="Arial"/>
        <family val="0"/>
        <charset val="1"/>
      </rPr>
      <t xml:space="preserve">MEDICAL/SALON/DISTRIBUTOR/RESEARCH/OTHER</t>
    </r>
  </si>
  <si>
    <t xml:space="preserve">medical_inst_code</t>
  </si>
  <si>
    <r>
      <rPr>
        <sz val="10"/>
        <rFont val="WenQuanYi Zen Hei"/>
        <family val="2"/>
      </rPr>
      <t xml:space="preserve">顧客区分</t>
    </r>
    <r>
      <rPr>
        <sz val="10"/>
        <rFont val="Arial"/>
        <family val="0"/>
        <charset val="1"/>
      </rPr>
      <t xml:space="preserve">=</t>
    </r>
    <r>
      <rPr>
        <sz val="10"/>
        <rFont val="WenQuanYi Zen Hei"/>
        <family val="2"/>
      </rPr>
      <t xml:space="preserve">医療機関の場合必須</t>
    </r>
  </si>
  <si>
    <t xml:space="preserve">representative</t>
  </si>
  <si>
    <t xml:space="preserve">代表者名</t>
  </si>
  <si>
    <t xml:space="preserve">請求・回収連絡の窓口</t>
  </si>
  <si>
    <t xml:space="preserve">postal_code</t>
  </si>
  <si>
    <t xml:space="preserve">郵便番号</t>
  </si>
  <si>
    <t xml:space="preserve">8</t>
  </si>
  <si>
    <t xml:space="preserve">回収連絡に使用</t>
  </si>
  <si>
    <t xml:space="preserve">credit_limit</t>
  </si>
  <si>
    <t xml:space="preserve">未設定は無制限</t>
  </si>
  <si>
    <t xml:space="preserve">【納品先】顧客ごとの納品先</t>
  </si>
  <si>
    <r>
      <rPr>
        <sz val="10"/>
        <rFont val="WenQuanYi Zen Hei"/>
        <family val="2"/>
      </rPr>
      <t xml:space="preserve">納品先</t>
    </r>
    <r>
      <rPr>
        <sz val="10"/>
        <rFont val="Arial"/>
        <family val="0"/>
        <charset val="1"/>
      </rPr>
      <t xml:space="preserve">ID</t>
    </r>
  </si>
  <si>
    <t xml:space="preserve">customer_id</t>
  </si>
  <si>
    <t xml:space="preserve">納品先名</t>
  </si>
  <si>
    <t xml:space="preserve">現品管理者（回収連絡先）</t>
  </si>
  <si>
    <t xml:space="preserve">is_default</t>
  </si>
  <si>
    <t xml:space="preserve">既定フラグ</t>
  </si>
  <si>
    <t xml:space="preserve">false</t>
  </si>
  <si>
    <r>
      <rPr>
        <sz val="10"/>
        <rFont val="WenQuanYi Zen Hei"/>
        <family val="2"/>
      </rPr>
      <t xml:space="preserve">顧客ごとに</t>
    </r>
    <r>
      <rPr>
        <sz val="10"/>
        <rFont val="Arial"/>
        <family val="0"/>
        <charset val="1"/>
      </rPr>
      <t xml:space="preserve">1</t>
    </r>
    <r>
      <rPr>
        <sz val="10"/>
        <rFont val="WenQuanYi Zen Hei"/>
        <family val="2"/>
      </rPr>
      <t xml:space="preserve">件</t>
    </r>
  </si>
  <si>
    <t xml:space="preserve">【保管場所】倉庫・冷凍庫・冷蔵庫等</t>
  </si>
  <si>
    <r>
      <rPr>
        <sz val="10"/>
        <rFont val="WenQuanYi Zen Hei"/>
        <family val="2"/>
      </rPr>
      <t xml:space="preserve">保管場所</t>
    </r>
    <r>
      <rPr>
        <sz val="10"/>
        <rFont val="Arial"/>
        <family val="0"/>
        <charset val="1"/>
      </rPr>
      <t xml:space="preserve">ID</t>
    </r>
  </si>
  <si>
    <t xml:space="preserve">location_code</t>
  </si>
  <si>
    <t xml:space="preserve">保管場所コード</t>
  </si>
  <si>
    <t xml:space="preserve">保管場所名</t>
  </si>
  <si>
    <r>
      <rPr>
        <sz val="10"/>
        <rFont val="WenQuanYi Zen Hei"/>
        <family val="2"/>
      </rPr>
      <t xml:space="preserve">例：本社 </t>
    </r>
    <r>
      <rPr>
        <sz val="10"/>
        <rFont val="Arial"/>
        <family val="0"/>
        <charset val="1"/>
      </rPr>
      <t xml:space="preserve">-80℃</t>
    </r>
    <r>
      <rPr>
        <sz val="10"/>
        <rFont val="WenQuanYi Zen Hei"/>
        <family val="2"/>
      </rPr>
      <t xml:space="preserve">冷凍庫</t>
    </r>
    <r>
      <rPr>
        <sz val="10"/>
        <rFont val="Arial"/>
        <family val="0"/>
        <charset val="1"/>
      </rPr>
      <t xml:space="preserve">#1</t>
    </r>
  </si>
  <si>
    <t xml:space="preserve">商品の保管温度区分と一致する場所のみ入庫可</t>
  </si>
  <si>
    <t xml:space="preserve">temp_min</t>
  </si>
  <si>
    <t xml:space="preserve">許容温度下限（℃）</t>
  </si>
  <si>
    <t xml:space="preserve">temp_max</t>
  </si>
  <si>
    <t xml:space="preserve">許容温度上限（℃）</t>
  </si>
  <si>
    <t xml:space="preserve">is_quarantine</t>
  </si>
  <si>
    <t xml:space="preserve">返品・保留品の一時保管場所。引当・通常入荷の対象外</t>
  </si>
  <si>
    <r>
      <rPr>
        <b val="true"/>
        <sz val="10"/>
        <rFont val="WenQuanYi Zen Hei"/>
        <family val="2"/>
      </rPr>
      <t xml:space="preserve">【販売可否ルール】規制区分</t>
    </r>
    <r>
      <rPr>
        <b val="true"/>
        <sz val="10"/>
        <rFont val="Arial"/>
        <family val="0"/>
        <charset val="1"/>
      </rPr>
      <t xml:space="preserve">×</t>
    </r>
    <r>
      <rPr>
        <b val="true"/>
        <sz val="10"/>
        <rFont val="WenQuanYi Zen Hei"/>
        <family val="2"/>
      </rPr>
      <t xml:space="preserve">顧客区分の販売可否</t>
    </r>
  </si>
  <si>
    <r>
      <rPr>
        <sz val="10"/>
        <rFont val="WenQuanYi Zen Hei"/>
        <family val="2"/>
      </rPr>
      <t xml:space="preserve">ルール</t>
    </r>
    <r>
      <rPr>
        <sz val="10"/>
        <rFont val="Arial"/>
        <family val="0"/>
        <charset val="1"/>
      </rPr>
      <t xml:space="preserve">ID</t>
    </r>
  </si>
  <si>
    <r>
      <rPr>
        <sz val="10"/>
        <rFont val="Arial"/>
        <family val="0"/>
        <charset val="1"/>
      </rPr>
      <t xml:space="preserve">m_product.regulatory_class </t>
    </r>
    <r>
      <rPr>
        <sz val="10"/>
        <rFont val="WenQuanYi Zen Hei"/>
        <family val="2"/>
      </rPr>
      <t xml:space="preserve">と同じコード値</t>
    </r>
  </si>
  <si>
    <r>
      <rPr>
        <sz val="10"/>
        <rFont val="Arial"/>
        <family val="0"/>
        <charset val="1"/>
      </rPr>
      <t xml:space="preserve">m_customer.customer_type </t>
    </r>
    <r>
      <rPr>
        <sz val="10"/>
        <rFont val="WenQuanYi Zen Hei"/>
        <family val="2"/>
      </rPr>
      <t xml:space="preserve">と同じコード値</t>
    </r>
  </si>
  <si>
    <t xml:space="preserve">allowed</t>
  </si>
  <si>
    <t xml:space="preserve">販売可否</t>
  </si>
  <si>
    <r>
      <rPr>
        <sz val="10"/>
        <rFont val="Arial"/>
        <family val="0"/>
        <charset val="1"/>
      </rPr>
      <t xml:space="preserve">(</t>
    </r>
    <r>
      <rPr>
        <sz val="10"/>
        <rFont val="WenQuanYi Zen Hei"/>
        <family val="2"/>
      </rPr>
      <t xml:space="preserve">規制区分</t>
    </r>
    <r>
      <rPr>
        <sz val="10"/>
        <rFont val="Arial"/>
        <family val="0"/>
        <charset val="1"/>
      </rPr>
      <t xml:space="preserve">,</t>
    </r>
    <r>
      <rPr>
        <sz val="10"/>
        <rFont val="WenQuanYi Zen Hei"/>
        <family val="2"/>
      </rPr>
      <t xml:space="preserve">顧客区分</t>
    </r>
    <r>
      <rPr>
        <sz val="10"/>
        <rFont val="Arial"/>
        <family val="0"/>
        <charset val="1"/>
      </rPr>
      <t xml:space="preserve">)</t>
    </r>
    <r>
      <rPr>
        <sz val="10"/>
        <rFont val="WenQuanYi Zen Hei"/>
        <family val="2"/>
      </rPr>
      <t xml:space="preserve">で一意。未登録は販売不可</t>
    </r>
  </si>
  <si>
    <t xml:space="preserve">【ユーザー】システム利用者</t>
  </si>
  <si>
    <r>
      <rPr>
        <sz val="10"/>
        <rFont val="WenQuanYi Zen Hei"/>
        <family val="2"/>
      </rPr>
      <t xml:space="preserve">ユーザー</t>
    </r>
    <r>
      <rPr>
        <sz val="10"/>
        <rFont val="Arial"/>
        <family val="0"/>
        <charset val="1"/>
      </rPr>
      <t xml:space="preserve">ID</t>
    </r>
  </si>
  <si>
    <r>
      <rPr>
        <sz val="10"/>
        <rFont val="WenQuanYi Zen Hei"/>
        <family val="2"/>
      </rPr>
      <t xml:space="preserve">メール（ログイン</t>
    </r>
    <r>
      <rPr>
        <sz val="10"/>
        <rFont val="Arial"/>
        <family val="0"/>
        <charset val="1"/>
      </rPr>
      <t xml:space="preserve">ID</t>
    </r>
    <r>
      <rPr>
        <sz val="10"/>
        <rFont val="WenQuanYi Zen Hei"/>
        <family val="2"/>
      </rPr>
      <t xml:space="preserve">）</t>
    </r>
  </si>
  <si>
    <t xml:space="preserve">氏名</t>
  </si>
  <si>
    <t xml:space="preserve">role</t>
  </si>
  <si>
    <r>
      <rPr>
        <sz val="10"/>
        <rFont val="WenQuanYi Zen Hei"/>
        <family val="2"/>
      </rPr>
      <t xml:space="preserve">コード値：</t>
    </r>
    <r>
      <rPr>
        <sz val="10"/>
        <rFont val="Arial"/>
        <family val="0"/>
        <charset val="1"/>
      </rPr>
      <t xml:space="preserve">ADMIN/PURCHASE/WAREHOUSE/SALES/QA/VIEWER</t>
    </r>
  </si>
  <si>
    <t xml:space="preserve">password_hash</t>
  </si>
  <si>
    <t xml:space="preserve">パスワードハッシュ</t>
  </si>
  <si>
    <t xml:space="preserve">255</t>
  </si>
  <si>
    <t xml:space="preserve">bcrypt/argon2</t>
  </si>
  <si>
    <t xml:space="preserve">mfa_secret</t>
  </si>
  <si>
    <r>
      <rPr>
        <sz val="10"/>
        <rFont val="Arial"/>
        <family val="0"/>
        <charset val="1"/>
      </rPr>
      <t xml:space="preserve">2</t>
    </r>
    <r>
      <rPr>
        <sz val="10"/>
        <rFont val="WenQuanYi Zen Hei"/>
        <family val="2"/>
      </rPr>
      <t xml:space="preserve">要素認証シークレット</t>
    </r>
  </si>
  <si>
    <t xml:space="preserve">暗号化して保存</t>
  </si>
  <si>
    <t xml:space="preserve">failed_login_count</t>
  </si>
  <si>
    <t xml:space="preserve">ログイン失敗回数</t>
  </si>
  <si>
    <r>
      <rPr>
        <sz val="10"/>
        <rFont val="Arial"/>
        <family val="0"/>
        <charset val="1"/>
      </rPr>
      <t xml:space="preserve">5</t>
    </r>
    <r>
      <rPr>
        <sz val="10"/>
        <rFont val="WenQuanYi Zen Hei"/>
        <family val="2"/>
      </rPr>
      <t xml:space="preserve">回でロック</t>
    </r>
  </si>
  <si>
    <t xml:space="preserve">【発注】発注ヘッダ</t>
  </si>
  <si>
    <r>
      <rPr>
        <sz val="10"/>
        <rFont val="WenQuanYi Zen Hei"/>
        <family val="2"/>
      </rPr>
      <t xml:space="preserve">発注</t>
    </r>
    <r>
      <rPr>
        <sz val="10"/>
        <rFont val="Arial"/>
        <family val="0"/>
        <charset val="1"/>
      </rPr>
      <t xml:space="preserve">ID</t>
    </r>
  </si>
  <si>
    <t xml:space="preserve">po_no</t>
  </si>
  <si>
    <r>
      <rPr>
        <sz val="10"/>
        <rFont val="Arial"/>
        <family val="0"/>
        <charset val="1"/>
      </rPr>
      <t xml:space="preserve">PO-YYYYMM-NNNN </t>
    </r>
    <r>
      <rPr>
        <sz val="10"/>
        <rFont val="WenQuanYi Zen Hei"/>
        <family val="2"/>
      </rPr>
      <t xml:space="preserve">一意</t>
    </r>
  </si>
  <si>
    <t xml:space="preserve">order_date</t>
  </si>
  <si>
    <t xml:space="preserve">発注日</t>
  </si>
  <si>
    <t xml:space="preserve">DATE</t>
  </si>
  <si>
    <t xml:space="preserve">expected_date</t>
  </si>
  <si>
    <t xml:space="preserve">入荷予定日</t>
  </si>
  <si>
    <t xml:space="preserve">status</t>
  </si>
  <si>
    <t xml:space="preserve">DRAFT</t>
  </si>
  <si>
    <r>
      <rPr>
        <sz val="10"/>
        <rFont val="Arial"/>
        <family val="0"/>
        <charset val="1"/>
      </rPr>
      <t xml:space="preserve">DRAFT/APPROVED/PARTIAL/RECEIVED/CLOSED/CANCELLED</t>
    </r>
    <r>
      <rPr>
        <sz val="10"/>
        <rFont val="WenQuanYi Zen Hei"/>
        <family val="2"/>
      </rPr>
      <t xml:space="preserve">（状態遷移 参照）</t>
    </r>
  </si>
  <si>
    <t xml:space="preserve">approved_by</t>
  </si>
  <si>
    <t xml:space="preserve">承認者</t>
  </si>
  <si>
    <t xml:space="preserve">approved_at</t>
  </si>
  <si>
    <t xml:space="preserve">承認日時</t>
  </si>
  <si>
    <t xml:space="preserve">note</t>
  </si>
  <si>
    <t xml:space="preserve">TEXT</t>
  </si>
  <si>
    <t xml:space="preserve">【発注明細】発注明細</t>
  </si>
  <si>
    <r>
      <rPr>
        <sz val="10"/>
        <rFont val="WenQuanYi Zen Hei"/>
        <family val="2"/>
      </rPr>
      <t xml:space="preserve">発注明細</t>
    </r>
    <r>
      <rPr>
        <sz val="10"/>
        <rFont val="Arial"/>
        <family val="0"/>
        <charset val="1"/>
      </rPr>
      <t xml:space="preserve">ID</t>
    </r>
  </si>
  <si>
    <t xml:space="preserve">purchase_order_id</t>
  </si>
  <si>
    <t xml:space="preserve">t_purchase_order.id</t>
  </si>
  <si>
    <t xml:space="preserve">line_no</t>
  </si>
  <si>
    <t xml:space="preserve">行番号</t>
  </si>
  <si>
    <t xml:space="preserve">product_id</t>
  </si>
  <si>
    <t xml:space="preserve">m_product.id</t>
  </si>
  <si>
    <t xml:space="preserve">quantity</t>
  </si>
  <si>
    <t xml:space="preserve">発注数量</t>
  </si>
  <si>
    <t xml:space="preserve">&gt; 0</t>
  </si>
  <si>
    <t xml:space="preserve">unit_price</t>
  </si>
  <si>
    <t xml:space="preserve">received_qty</t>
  </si>
  <si>
    <t xml:space="preserve">入荷済数量</t>
  </si>
  <si>
    <t xml:space="preserve">入荷確定時に加算</t>
  </si>
  <si>
    <t xml:space="preserve">【入荷】入荷ヘッダ</t>
  </si>
  <si>
    <r>
      <rPr>
        <sz val="10"/>
        <rFont val="WenQuanYi Zen Hei"/>
        <family val="2"/>
      </rPr>
      <t xml:space="preserve">入荷</t>
    </r>
    <r>
      <rPr>
        <sz val="10"/>
        <rFont val="Arial"/>
        <family val="0"/>
        <charset val="1"/>
      </rPr>
      <t xml:space="preserve">ID</t>
    </r>
  </si>
  <si>
    <t xml:space="preserve">receipt_no</t>
  </si>
  <si>
    <t xml:space="preserve">入荷番号</t>
  </si>
  <si>
    <r>
      <rPr>
        <sz val="10"/>
        <rFont val="Arial"/>
        <family val="0"/>
        <charset val="1"/>
      </rPr>
      <t xml:space="preserve">RC-YYYYMM-NNNN </t>
    </r>
    <r>
      <rPr>
        <sz val="10"/>
        <rFont val="WenQuanYi Zen Hei"/>
        <family val="2"/>
      </rPr>
      <t xml:space="preserve">一意</t>
    </r>
  </si>
  <si>
    <r>
      <rPr>
        <sz val="10"/>
        <rFont val="WenQuanYi Zen Hei"/>
        <family val="2"/>
      </rPr>
      <t xml:space="preserve">発注なし入荷は</t>
    </r>
    <r>
      <rPr>
        <sz val="10"/>
        <rFont val="Arial"/>
        <family val="0"/>
        <charset val="1"/>
      </rPr>
      <t xml:space="preserve">NULL</t>
    </r>
  </si>
  <si>
    <t xml:space="preserve">receipt_date</t>
  </si>
  <si>
    <t xml:space="preserve">DRAFT/CONFIRMED/CANCELLED</t>
  </si>
  <si>
    <r>
      <rPr>
        <b val="true"/>
        <sz val="10"/>
        <rFont val="WenQuanYi Zen Hei"/>
        <family val="2"/>
      </rPr>
      <t xml:space="preserve">【入荷明細】入荷明細（入荷明細</t>
    </r>
    <r>
      <rPr>
        <b val="true"/>
        <sz val="10"/>
        <rFont val="Arial"/>
        <family val="0"/>
        <charset val="1"/>
      </rPr>
      <t xml:space="preserve">:</t>
    </r>
    <r>
      <rPr>
        <b val="true"/>
        <sz val="10"/>
        <rFont val="WenQuanYi Zen Hei"/>
        <family val="2"/>
      </rPr>
      <t xml:space="preserve">ロット＝多</t>
    </r>
    <r>
      <rPr>
        <b val="true"/>
        <sz val="10"/>
        <rFont val="Arial"/>
        <family val="0"/>
        <charset val="1"/>
      </rPr>
      <t xml:space="preserve">:1</t>
    </r>
    <r>
      <rPr>
        <b val="true"/>
        <sz val="10"/>
        <rFont val="WenQuanYi Zen Hei"/>
        <family val="2"/>
      </rPr>
      <t xml:space="preserve">。分納は同一ロットに加算）</t>
    </r>
  </si>
  <si>
    <r>
      <rPr>
        <sz val="10"/>
        <rFont val="WenQuanYi Zen Hei"/>
        <family val="2"/>
      </rPr>
      <t xml:space="preserve">入荷明細</t>
    </r>
    <r>
      <rPr>
        <sz val="10"/>
        <rFont val="Arial"/>
        <family val="0"/>
        <charset val="1"/>
      </rPr>
      <t xml:space="preserve">ID</t>
    </r>
  </si>
  <si>
    <t xml:space="preserve">receipt_id</t>
  </si>
  <si>
    <t xml:space="preserve">t_receipt.id</t>
  </si>
  <si>
    <t xml:space="preserve">purchase_order_line_id</t>
  </si>
  <si>
    <t xml:space="preserve">t_purchase_order_line.id</t>
  </si>
  <si>
    <t xml:space="preserve">supplier_lot_no</t>
  </si>
  <si>
    <r>
      <rPr>
        <sz val="10"/>
        <rFont val="WenQuanYi Zen Hei"/>
        <family val="2"/>
      </rPr>
      <t xml:space="preserve">下書き時に入力。確定時にロットを特定</t>
    </r>
    <r>
      <rPr>
        <sz val="10"/>
        <rFont val="Arial"/>
        <family val="0"/>
        <charset val="1"/>
      </rPr>
      <t xml:space="preserve">/</t>
    </r>
    <r>
      <rPr>
        <sz val="10"/>
        <rFont val="WenQuanYi Zen Hei"/>
        <family val="2"/>
      </rPr>
      <t xml:space="preserve">生成</t>
    </r>
  </si>
  <si>
    <t xml:space="preserve">manufactured_on</t>
  </si>
  <si>
    <t xml:space="preserve">expires_on</t>
  </si>
  <si>
    <t xml:space="preserve">画面で初期表示。製造日不明時は入力必須</t>
  </si>
  <si>
    <t xml:space="preserve">arrival_temp</t>
  </si>
  <si>
    <t xml:space="preserve">温度ロガー値（明細の温度区分ごと）</t>
  </si>
  <si>
    <t xml:space="preserve">lot_id</t>
  </si>
  <si>
    <r>
      <rPr>
        <sz val="10"/>
        <rFont val="WenQuanYi Zen Hei"/>
        <family val="2"/>
      </rPr>
      <t xml:space="preserve">ロット</t>
    </r>
    <r>
      <rPr>
        <sz val="10"/>
        <rFont val="Arial"/>
        <family val="0"/>
        <charset val="1"/>
      </rPr>
      <t xml:space="preserve">ID</t>
    </r>
  </si>
  <si>
    <t xml:space="preserve">t_lot.id</t>
  </si>
  <si>
    <t xml:space="preserve">入荷確定時に設定（確定後は必須）。分納は既存ロット</t>
  </si>
  <si>
    <t xml:space="preserve">split_status</t>
  </si>
  <si>
    <r>
      <rPr>
        <sz val="10"/>
        <rFont val="WenQuanYi Zen Hei"/>
        <family val="2"/>
      </rPr>
      <t xml:space="preserve">隔離入庫した分納のみ </t>
    </r>
    <r>
      <rPr>
        <sz val="10"/>
        <rFont val="Arial"/>
        <family val="0"/>
        <charset val="1"/>
      </rPr>
      <t xml:space="preserve">PENDING→ACCEPTED/REJECTED</t>
    </r>
    <r>
      <rPr>
        <sz val="10"/>
        <rFont val="WenQuanYi Zen Hei"/>
        <family val="2"/>
      </rPr>
      <t xml:space="preserve">（</t>
    </r>
    <r>
      <rPr>
        <sz val="10"/>
        <rFont val="Arial"/>
        <family val="0"/>
        <charset val="1"/>
      </rPr>
      <t xml:space="preserve">P-16</t>
    </r>
    <r>
      <rPr>
        <sz val="10"/>
        <rFont val="WenQuanYi Zen Hei"/>
        <family val="2"/>
      </rPr>
      <t xml:space="preserve">）。通常入荷は</t>
    </r>
    <r>
      <rPr>
        <sz val="10"/>
        <rFont val="Arial"/>
        <family val="0"/>
        <charset val="1"/>
      </rPr>
      <t xml:space="preserve">NULL</t>
    </r>
  </si>
  <si>
    <t xml:space="preserve">location_id</t>
  </si>
  <si>
    <r>
      <rPr>
        <sz val="10"/>
        <rFont val="WenQuanYi Zen Hei"/>
        <family val="2"/>
      </rPr>
      <t xml:space="preserve">入庫保管場所</t>
    </r>
    <r>
      <rPr>
        <sz val="10"/>
        <rFont val="Arial"/>
        <family val="0"/>
        <charset val="1"/>
      </rPr>
      <t xml:space="preserve">ID</t>
    </r>
  </si>
  <si>
    <t xml:space="preserve">m_location.id</t>
  </si>
  <si>
    <t xml:space="preserve">【ロット】ロット（トレーサビリティの中核）</t>
  </si>
  <si>
    <t xml:space="preserve">lot_no</t>
  </si>
  <si>
    <r>
      <rPr>
        <sz val="10"/>
        <rFont val="WenQuanYi Zen Hei"/>
        <family val="2"/>
      </rPr>
      <t xml:space="preserve">商品コード</t>
    </r>
    <r>
      <rPr>
        <sz val="10"/>
        <rFont val="Arial"/>
        <family val="0"/>
        <charset val="1"/>
      </rPr>
      <t xml:space="preserve">-YYMMDD-</t>
    </r>
    <r>
      <rPr>
        <sz val="10"/>
        <rFont val="WenQuanYi Zen Hei"/>
        <family val="2"/>
      </rPr>
      <t xml:space="preserve">連番 一意</t>
    </r>
  </si>
  <si>
    <r>
      <rPr>
        <sz val="10"/>
        <rFont val="Arial"/>
        <family val="0"/>
        <charset val="1"/>
      </rPr>
      <t xml:space="preserve">(</t>
    </r>
    <r>
      <rPr>
        <sz val="10"/>
        <rFont val="WenQuanYi Zen Hei"/>
        <family val="2"/>
      </rPr>
      <t xml:space="preserve">仕入先</t>
    </r>
    <r>
      <rPr>
        <sz val="10"/>
        <rFont val="Arial"/>
        <family val="0"/>
        <charset val="1"/>
      </rPr>
      <t xml:space="preserve">,</t>
    </r>
    <r>
      <rPr>
        <sz val="10"/>
        <rFont val="WenQuanYi Zen Hei"/>
        <family val="2"/>
      </rPr>
      <t xml:space="preserve">商品</t>
    </r>
    <r>
      <rPr>
        <sz val="10"/>
        <rFont val="Arial"/>
        <family val="0"/>
        <charset val="1"/>
      </rPr>
      <t xml:space="preserve">,</t>
    </r>
    <r>
      <rPr>
        <sz val="10"/>
        <rFont val="WenQuanYi Zen Hei"/>
        <family val="2"/>
      </rPr>
      <t xml:space="preserve">仕入先ロット番号</t>
    </r>
    <r>
      <rPr>
        <sz val="10"/>
        <rFont val="Arial"/>
        <family val="0"/>
        <charset val="1"/>
      </rPr>
      <t xml:space="preserve">)</t>
    </r>
    <r>
      <rPr>
        <sz val="10"/>
        <rFont val="WenQuanYi Zen Hei"/>
        <family val="2"/>
      </rPr>
      <t xml:space="preserve">で一意</t>
    </r>
  </si>
  <si>
    <t xml:space="preserve">入荷明細の使用期限。分納時は一致必須</t>
  </si>
  <si>
    <t xml:space="preserve">received_on</t>
  </si>
  <si>
    <t xml:space="preserve">初回入荷日</t>
  </si>
  <si>
    <r>
      <rPr>
        <sz val="10"/>
        <rFont val="Arial"/>
        <family val="0"/>
        <charset val="1"/>
      </rPr>
      <t xml:space="preserve">FEFO</t>
    </r>
    <r>
      <rPr>
        <sz val="10"/>
        <rFont val="WenQuanYi Zen Hei"/>
        <family val="2"/>
      </rPr>
      <t xml:space="preserve">第</t>
    </r>
    <r>
      <rPr>
        <sz val="10"/>
        <rFont val="Arial"/>
        <family val="0"/>
        <charset val="1"/>
      </rPr>
      <t xml:space="preserve">2</t>
    </r>
    <r>
      <rPr>
        <sz val="10"/>
        <rFont val="WenQuanYi Zen Hei"/>
        <family val="2"/>
      </rPr>
      <t xml:space="preserve">キー</t>
    </r>
  </si>
  <si>
    <t xml:space="preserve">unit_cost</t>
  </si>
  <si>
    <t xml:space="preserve">原価単価（円）</t>
  </si>
  <si>
    <r>
      <rPr>
        <sz val="10"/>
        <rFont val="WenQuanYi Zen Hei"/>
        <family val="2"/>
      </rPr>
      <t xml:space="preserve">入荷の加重平均（</t>
    </r>
    <r>
      <rPr>
        <sz val="10"/>
        <rFont val="Arial"/>
        <family val="0"/>
        <charset val="1"/>
      </rPr>
      <t xml:space="preserve">P-01</t>
    </r>
    <r>
      <rPr>
        <sz val="10"/>
        <rFont val="WenQuanYi Zen Hei"/>
        <family val="2"/>
      </rPr>
      <t xml:space="preserve">）。移行ロットは取込</t>
    </r>
    <r>
      <rPr>
        <sz val="10"/>
        <rFont val="Arial"/>
        <family val="0"/>
        <charset val="1"/>
      </rPr>
      <t xml:space="preserve">CSV</t>
    </r>
    <r>
      <rPr>
        <sz val="10"/>
        <rFont val="WenQuanYi Zen Hei"/>
        <family val="2"/>
      </rPr>
      <t xml:space="preserve">で指定</t>
    </r>
  </si>
  <si>
    <t xml:space="preserve">measured_particle_conc</t>
  </si>
  <si>
    <r>
      <rPr>
        <sz val="10"/>
        <rFont val="Arial"/>
        <family val="0"/>
        <charset val="1"/>
      </rPr>
      <t xml:space="preserve">COA</t>
    </r>
    <r>
      <rPr>
        <sz val="10"/>
        <rFont val="WenQuanYi Zen Hei"/>
        <family val="2"/>
      </rPr>
      <t xml:space="preserve">値</t>
    </r>
  </si>
  <si>
    <t xml:space="preserve">ロットステータス</t>
  </si>
  <si>
    <t xml:space="preserve">QUARANTINE</t>
  </si>
  <si>
    <t xml:space="preserve">状態遷移 参照</t>
  </si>
  <si>
    <t xml:space="preserve">status_reason</t>
  </si>
  <si>
    <t xml:space="preserve">最新ステータス変更理由</t>
  </si>
  <si>
    <r>
      <rPr>
        <sz val="10"/>
        <rFont val="WenQuanYi Zen Hei"/>
        <family val="2"/>
      </rPr>
      <t xml:space="preserve">履歴は </t>
    </r>
    <r>
      <rPr>
        <sz val="10"/>
        <rFont val="Arial"/>
        <family val="0"/>
        <charset val="1"/>
      </rPr>
      <t xml:space="preserve">t_lot_status_history</t>
    </r>
  </si>
  <si>
    <t xml:space="preserve">inspected_by</t>
  </si>
  <si>
    <t xml:space="preserve">検品者</t>
  </si>
  <si>
    <t xml:space="preserve">inspected_at</t>
  </si>
  <si>
    <t xml:space="preserve">検品日時</t>
  </si>
  <si>
    <t xml:space="preserve">【ロットステータス履歴】ロット判定・状態変更の経緯（追記のみ）</t>
  </si>
  <si>
    <t xml:space="preserve">ID</t>
  </si>
  <si>
    <t xml:space="preserve">from_status</t>
  </si>
  <si>
    <t xml:space="preserve">変更前ステータス</t>
  </si>
  <si>
    <r>
      <rPr>
        <sz val="10"/>
        <rFont val="WenQuanYi Zen Hei"/>
        <family val="2"/>
      </rPr>
      <t xml:space="preserve">新規生成時は</t>
    </r>
    <r>
      <rPr>
        <sz val="10"/>
        <rFont val="Arial"/>
        <family val="0"/>
        <charset val="1"/>
      </rPr>
      <t xml:space="preserve">NULL</t>
    </r>
  </si>
  <si>
    <t xml:space="preserve">to_status</t>
  </si>
  <si>
    <t xml:space="preserve">reason</t>
  </si>
  <si>
    <t xml:space="preserve">temperature_log_id</t>
  </si>
  <si>
    <r>
      <rPr>
        <sz val="10"/>
        <rFont val="WenQuanYi Zen Hei"/>
        <family val="2"/>
      </rPr>
      <t xml:space="preserve">関連温度記録</t>
    </r>
    <r>
      <rPr>
        <sz val="10"/>
        <rFont val="Arial"/>
        <family val="0"/>
        <charset val="1"/>
      </rPr>
      <t xml:space="preserve">ID</t>
    </r>
  </si>
  <si>
    <t xml:space="preserve">t_temperature_log.id</t>
  </si>
  <si>
    <t xml:space="preserve">温度逸脱による保留時</t>
  </si>
  <si>
    <t xml:space="preserve">recall_id</t>
  </si>
  <si>
    <r>
      <rPr>
        <sz val="10"/>
        <rFont val="WenQuanYi Zen Hei"/>
        <family val="2"/>
      </rPr>
      <t xml:space="preserve">関連回収案件</t>
    </r>
    <r>
      <rPr>
        <sz val="10"/>
        <rFont val="Arial"/>
        <family val="0"/>
        <charset val="1"/>
      </rPr>
      <t xml:space="preserve">ID</t>
    </r>
  </si>
  <si>
    <t xml:space="preserve">t_recall.id</t>
  </si>
  <si>
    <t xml:space="preserve">回収による変更時</t>
  </si>
  <si>
    <t xml:space="preserve">changed_at</t>
  </si>
  <si>
    <t xml:space="preserve">変更日時</t>
  </si>
  <si>
    <r>
      <rPr>
        <b val="true"/>
        <sz val="10"/>
        <rFont val="WenQuanYi Zen Hei"/>
        <family val="2"/>
      </rPr>
      <t xml:space="preserve">【在庫】ロット</t>
    </r>
    <r>
      <rPr>
        <b val="true"/>
        <sz val="10"/>
        <rFont val="Arial"/>
        <family val="0"/>
        <charset val="1"/>
      </rPr>
      <t xml:space="preserve">×</t>
    </r>
    <r>
      <rPr>
        <b val="true"/>
        <sz val="10"/>
        <rFont val="WenQuanYi Zen Hei"/>
        <family val="2"/>
      </rPr>
      <t xml:space="preserve">保管場所の現在庫（移動履歴の集計結果）</t>
    </r>
  </si>
  <si>
    <r>
      <rPr>
        <sz val="10"/>
        <rFont val="WenQuanYi Zen Hei"/>
        <family val="2"/>
      </rPr>
      <t xml:space="preserve">在庫</t>
    </r>
    <r>
      <rPr>
        <sz val="10"/>
        <rFont val="Arial"/>
        <family val="0"/>
        <charset val="1"/>
      </rPr>
      <t xml:space="preserve">ID</t>
    </r>
  </si>
  <si>
    <r>
      <rPr>
        <sz val="10"/>
        <rFont val="Arial"/>
        <family val="0"/>
        <charset val="1"/>
      </rPr>
      <t xml:space="preserve">(</t>
    </r>
    <r>
      <rPr>
        <sz val="10"/>
        <rFont val="WenQuanYi Zen Hei"/>
        <family val="2"/>
      </rPr>
      <t xml:space="preserve">ロット</t>
    </r>
    <r>
      <rPr>
        <sz val="10"/>
        <rFont val="Arial"/>
        <family val="0"/>
        <charset val="1"/>
      </rPr>
      <t xml:space="preserve">,</t>
    </r>
    <r>
      <rPr>
        <sz val="10"/>
        <rFont val="WenQuanYi Zen Hei"/>
        <family val="2"/>
      </rPr>
      <t xml:space="preserve">保管場所</t>
    </r>
    <r>
      <rPr>
        <sz val="10"/>
        <rFont val="Arial"/>
        <family val="0"/>
        <charset val="1"/>
      </rPr>
      <t xml:space="preserve">)</t>
    </r>
    <r>
      <rPr>
        <sz val="10"/>
        <rFont val="WenQuanYi Zen Hei"/>
        <family val="2"/>
      </rPr>
      <t xml:space="preserve">で一意</t>
    </r>
  </si>
  <si>
    <t xml:space="preserve">on_hand_qty</t>
  </si>
  <si>
    <t xml:space="preserve">現在庫数</t>
  </si>
  <si>
    <r>
      <rPr>
        <sz val="10"/>
        <rFont val="Arial"/>
        <family val="0"/>
        <charset val="1"/>
      </rPr>
      <t xml:space="preserve">&gt;= 0</t>
    </r>
    <r>
      <rPr>
        <sz val="10"/>
        <rFont val="WenQuanYi Zen Hei"/>
        <family val="2"/>
      </rPr>
      <t xml:space="preserve">。在庫移動履歴の合計と一致</t>
    </r>
  </si>
  <si>
    <t xml:space="preserve">allocated_qty</t>
  </si>
  <si>
    <t xml:space="preserve">引当済数</t>
  </si>
  <si>
    <r>
      <rPr>
        <sz val="10"/>
        <rFont val="Arial"/>
        <family val="0"/>
        <charset val="1"/>
      </rPr>
      <t xml:space="preserve">&lt;= </t>
    </r>
    <r>
      <rPr>
        <sz val="10"/>
        <rFont val="WenQuanYi Zen Hei"/>
        <family val="2"/>
      </rPr>
      <t xml:space="preserve">現在庫数</t>
    </r>
  </si>
  <si>
    <t xml:space="preserve">【在庫移動履歴】在庫の全増減の記録（追記のみ）</t>
  </si>
  <si>
    <r>
      <rPr>
        <sz val="10"/>
        <rFont val="WenQuanYi Zen Hei"/>
        <family val="2"/>
      </rPr>
      <t xml:space="preserve">移動履歴</t>
    </r>
    <r>
      <rPr>
        <sz val="10"/>
        <rFont val="Arial"/>
        <family val="0"/>
        <charset val="1"/>
      </rPr>
      <t xml:space="preserve">ID</t>
    </r>
  </si>
  <si>
    <t xml:space="preserve">moved_at</t>
  </si>
  <si>
    <t xml:space="preserve">発生日時</t>
  </si>
  <si>
    <t xml:space="preserve">movement_type</t>
  </si>
  <si>
    <t xml:space="preserve">移動区分</t>
  </si>
  <si>
    <t xml:space="preserve">RECEIPT/SHIPMENT/TRANSFER_IN/TRANSFER_OUT/ADJUST/DISPOSE/RETURN/SUPPLIER_RETURN/CANCEL</t>
  </si>
  <si>
    <t xml:space="preserve">数量（符号付）</t>
  </si>
  <si>
    <t xml:space="preserve">入庫＋／出庫−</t>
  </si>
  <si>
    <t xml:space="preserve">ref_type</t>
  </si>
  <si>
    <t xml:space="preserve">参照伝票種別</t>
  </si>
  <si>
    <r>
      <rPr>
        <sz val="10"/>
        <rFont val="Arial"/>
        <family val="0"/>
        <charset val="1"/>
      </rPr>
      <t xml:space="preserve">receipt_line/shipment_line/return </t>
    </r>
    <r>
      <rPr>
        <sz val="10"/>
        <rFont val="WenQuanYi Zen Hei"/>
        <family val="2"/>
      </rPr>
      <t xml:space="preserve">等</t>
    </r>
  </si>
  <si>
    <t xml:space="preserve">ref_id</t>
  </si>
  <si>
    <r>
      <rPr>
        <sz val="10"/>
        <rFont val="WenQuanYi Zen Hei"/>
        <family val="2"/>
      </rPr>
      <t xml:space="preserve">参照伝票</t>
    </r>
    <r>
      <rPr>
        <sz val="10"/>
        <rFont val="Arial"/>
        <family val="0"/>
        <charset val="1"/>
      </rPr>
      <t xml:space="preserve">ID</t>
    </r>
  </si>
  <si>
    <r>
      <rPr>
        <sz val="10"/>
        <rFont val="Arial"/>
        <family val="0"/>
        <charset val="1"/>
      </rPr>
      <t xml:space="preserve">ADJUST/DISPOSE</t>
    </r>
    <r>
      <rPr>
        <sz val="10"/>
        <rFont val="WenQuanYi Zen Hei"/>
        <family val="2"/>
      </rPr>
      <t xml:space="preserve">時必須</t>
    </r>
  </si>
  <si>
    <t xml:space="preserve">【受注】受注ヘッダ</t>
  </si>
  <si>
    <r>
      <rPr>
        <sz val="10"/>
        <rFont val="WenQuanYi Zen Hei"/>
        <family val="2"/>
      </rPr>
      <t xml:space="preserve">受注</t>
    </r>
    <r>
      <rPr>
        <sz val="10"/>
        <rFont val="Arial"/>
        <family val="0"/>
        <charset val="1"/>
      </rPr>
      <t xml:space="preserve">ID</t>
    </r>
  </si>
  <si>
    <t xml:space="preserve">so_no</t>
  </si>
  <si>
    <r>
      <rPr>
        <sz val="10"/>
        <rFont val="Arial"/>
        <family val="0"/>
        <charset val="1"/>
      </rPr>
      <t xml:space="preserve">SO-YYYYMM-NNNN </t>
    </r>
    <r>
      <rPr>
        <sz val="10"/>
        <rFont val="WenQuanYi Zen Hei"/>
        <family val="2"/>
      </rPr>
      <t xml:space="preserve">一意</t>
    </r>
  </si>
  <si>
    <t xml:space="preserve">ship_to_id</t>
  </si>
  <si>
    <t xml:space="preserve">m_ship_to.id</t>
  </si>
  <si>
    <t xml:space="preserve">顧客に属する納品先のみ</t>
  </si>
  <si>
    <t xml:space="preserve">requested_date</t>
  </si>
  <si>
    <t xml:space="preserve">sales_user_id</t>
  </si>
  <si>
    <t xml:space="preserve">credit_approved_by</t>
  </si>
  <si>
    <t xml:space="preserve">与信超過承認者</t>
  </si>
  <si>
    <r>
      <rPr>
        <sz val="10"/>
        <rFont val="Arial"/>
        <family val="0"/>
        <charset val="1"/>
      </rPr>
      <t xml:space="preserve">BR-11 </t>
    </r>
    <r>
      <rPr>
        <sz val="10"/>
        <rFont val="WenQuanYi Zen Hei"/>
        <family val="2"/>
      </rPr>
      <t xml:space="preserve">超過時の</t>
    </r>
    <r>
      <rPr>
        <sz val="10"/>
        <rFont val="Arial"/>
        <family val="0"/>
        <charset val="1"/>
      </rPr>
      <t xml:space="preserve">ADMIN</t>
    </r>
    <r>
      <rPr>
        <sz val="10"/>
        <rFont val="WenQuanYi Zen Hei"/>
        <family val="2"/>
      </rPr>
      <t xml:space="preserve">承認</t>
    </r>
  </si>
  <si>
    <t xml:space="preserve">credit_approved_at</t>
  </si>
  <si>
    <t xml:space="preserve">与信超過承認日時</t>
  </si>
  <si>
    <t xml:space="preserve">OPEN</t>
  </si>
  <si>
    <t xml:space="preserve">CREDIT_PENDING/OPEN/PARTIAL/SHIPPED/CLOSED/CANCELLED</t>
  </si>
  <si>
    <t xml:space="preserve">【受注明細】受注明細</t>
  </si>
  <si>
    <r>
      <rPr>
        <sz val="10"/>
        <rFont val="WenQuanYi Zen Hei"/>
        <family val="2"/>
      </rPr>
      <t xml:space="preserve">受注明細</t>
    </r>
    <r>
      <rPr>
        <sz val="10"/>
        <rFont val="Arial"/>
        <family val="0"/>
        <charset val="1"/>
      </rPr>
      <t xml:space="preserve">ID</t>
    </r>
  </si>
  <si>
    <t xml:space="preserve">sales_order_id</t>
  </si>
  <si>
    <t xml:space="preserve">t_sales_order.id</t>
  </si>
  <si>
    <t xml:space="preserve">shipped_qty</t>
  </si>
  <si>
    <t xml:space="preserve">出荷済数量</t>
  </si>
  <si>
    <t xml:space="preserve">【出荷】出荷ヘッダ</t>
  </si>
  <si>
    <r>
      <rPr>
        <sz val="10"/>
        <rFont val="WenQuanYi Zen Hei"/>
        <family val="2"/>
      </rPr>
      <t xml:space="preserve">出荷</t>
    </r>
    <r>
      <rPr>
        <sz val="10"/>
        <rFont val="Arial"/>
        <family val="0"/>
        <charset val="1"/>
      </rPr>
      <t xml:space="preserve">ID</t>
    </r>
  </si>
  <si>
    <t xml:space="preserve">shipment_no</t>
  </si>
  <si>
    <t xml:space="preserve">出荷番号</t>
  </si>
  <si>
    <r>
      <rPr>
        <sz val="10"/>
        <rFont val="Arial"/>
        <family val="0"/>
        <charset val="1"/>
      </rPr>
      <t xml:space="preserve">SH-YYYYMM-NNNN </t>
    </r>
    <r>
      <rPr>
        <sz val="10"/>
        <rFont val="WenQuanYi Zen Hei"/>
        <family val="2"/>
      </rPr>
      <t xml:space="preserve">一意（納品書番号）</t>
    </r>
  </si>
  <si>
    <t xml:space="preserve">受注から複写（追跡高速化）</t>
  </si>
  <si>
    <t xml:space="preserve">受注から複写</t>
  </si>
  <si>
    <t xml:space="preserve">shipped_on</t>
  </si>
  <si>
    <t xml:space="preserve">carrier</t>
  </si>
  <si>
    <t xml:space="preserve">クール便区分含む</t>
  </si>
  <si>
    <t xml:space="preserve">tracking_no</t>
  </si>
  <si>
    <t xml:space="preserve">ALLOCATED</t>
  </si>
  <si>
    <t xml:space="preserve">【出荷明細】出荷明細（ロット紐付け必須）</t>
  </si>
  <si>
    <r>
      <rPr>
        <sz val="10"/>
        <rFont val="WenQuanYi Zen Hei"/>
        <family val="2"/>
      </rPr>
      <t xml:space="preserve">出荷明細</t>
    </r>
    <r>
      <rPr>
        <sz val="10"/>
        <rFont val="Arial"/>
        <family val="0"/>
        <charset val="1"/>
      </rPr>
      <t xml:space="preserve">ID</t>
    </r>
  </si>
  <si>
    <t xml:space="preserve">shipment_id</t>
  </si>
  <si>
    <t xml:space="preserve">t_shipment.id</t>
  </si>
  <si>
    <t xml:space="preserve">sales_order_line_id</t>
  </si>
  <si>
    <t xml:space="preserve">t_sales_order_line.id</t>
  </si>
  <si>
    <t xml:space="preserve">ロットの商品と一致</t>
  </si>
  <si>
    <r>
      <rPr>
        <sz val="10"/>
        <rFont val="WenQuanYi Zen Hei"/>
        <family val="2"/>
      </rPr>
      <t xml:space="preserve">★トレーサビリティの要。</t>
    </r>
    <r>
      <rPr>
        <sz val="10"/>
        <rFont val="Arial"/>
        <family val="0"/>
        <charset val="1"/>
      </rPr>
      <t xml:space="preserve">NULL</t>
    </r>
    <r>
      <rPr>
        <sz val="10"/>
        <rFont val="WenQuanYi Zen Hei"/>
        <family val="2"/>
      </rPr>
      <t xml:space="preserve">不可</t>
    </r>
  </si>
  <si>
    <r>
      <rPr>
        <sz val="10"/>
        <rFont val="WenQuanYi Zen Hei"/>
        <family val="2"/>
      </rPr>
      <t xml:space="preserve">出庫保管場所</t>
    </r>
    <r>
      <rPr>
        <sz val="10"/>
        <rFont val="Arial"/>
        <family val="0"/>
        <charset val="1"/>
      </rPr>
      <t xml:space="preserve">ID</t>
    </r>
  </si>
  <si>
    <t xml:space="preserve">受注明細から複写</t>
  </si>
  <si>
    <r>
      <rPr>
        <sz val="10"/>
        <rFont val="WenQuanYi Zen Hei"/>
        <family val="2"/>
      </rPr>
      <t xml:space="preserve">出荷確定時に </t>
    </r>
    <r>
      <rPr>
        <sz val="10"/>
        <rFont val="Arial"/>
        <family val="0"/>
        <charset val="1"/>
      </rPr>
      <t xml:space="preserve">t_lot.unit_cost </t>
    </r>
    <r>
      <rPr>
        <sz val="10"/>
        <rFont val="WenQuanYi Zen Hei"/>
        <family val="2"/>
      </rPr>
      <t xml:space="preserve">を設定（粗利計算用）</t>
    </r>
  </si>
  <si>
    <t xml:space="preserve">明細ステータス</t>
  </si>
  <si>
    <r>
      <rPr>
        <sz val="10"/>
        <rFont val="Arial"/>
        <family val="0"/>
        <charset val="1"/>
      </rPr>
      <t xml:space="preserve">ALLOCATED/SHIPPED/CANCELLED</t>
    </r>
    <r>
      <rPr>
        <sz val="10"/>
        <rFont val="WenQuanYi Zen Hei"/>
        <family val="2"/>
      </rPr>
      <t xml:space="preserve">（ロット単位の引当解除に対応）</t>
    </r>
  </si>
  <si>
    <t xml:space="preserve">【返品】返品（元出荷明細に紐付け）</t>
  </si>
  <si>
    <r>
      <rPr>
        <sz val="10"/>
        <rFont val="WenQuanYi Zen Hei"/>
        <family val="2"/>
      </rPr>
      <t xml:space="preserve">返品</t>
    </r>
    <r>
      <rPr>
        <sz val="10"/>
        <rFont val="Arial"/>
        <family val="0"/>
        <charset val="1"/>
      </rPr>
      <t xml:space="preserve">ID</t>
    </r>
  </si>
  <si>
    <t xml:space="preserve">return_no</t>
  </si>
  <si>
    <t xml:space="preserve">返品番号</t>
  </si>
  <si>
    <r>
      <rPr>
        <sz val="10"/>
        <rFont val="Arial"/>
        <family val="0"/>
        <charset val="1"/>
      </rPr>
      <t xml:space="preserve">RT-YYYYMM-NNNN </t>
    </r>
    <r>
      <rPr>
        <sz val="10"/>
        <rFont val="WenQuanYi Zen Hei"/>
        <family val="2"/>
      </rPr>
      <t xml:space="preserve">一意</t>
    </r>
  </si>
  <si>
    <t xml:space="preserve">shipment_line_id</t>
  </si>
  <si>
    <r>
      <rPr>
        <sz val="10"/>
        <rFont val="WenQuanYi Zen Hei"/>
        <family val="2"/>
      </rPr>
      <t xml:space="preserve">元出荷明細</t>
    </r>
    <r>
      <rPr>
        <sz val="10"/>
        <rFont val="Arial"/>
        <family val="0"/>
        <charset val="1"/>
      </rPr>
      <t xml:space="preserve">ID</t>
    </r>
  </si>
  <si>
    <t xml:space="preserve">t_shipment_line.id</t>
  </si>
  <si>
    <t xml:space="preserve">これによりロット・顧客が確定</t>
  </si>
  <si>
    <t xml:space="preserve">recall_target_id</t>
  </si>
  <si>
    <r>
      <rPr>
        <sz val="10"/>
        <rFont val="WenQuanYi Zen Hei"/>
        <family val="2"/>
      </rPr>
      <t xml:space="preserve">回収対象</t>
    </r>
    <r>
      <rPr>
        <sz val="10"/>
        <rFont val="Arial"/>
        <family val="0"/>
        <charset val="1"/>
      </rPr>
      <t xml:space="preserve">ID</t>
    </r>
  </si>
  <si>
    <t xml:space="preserve">t_recall_target.id</t>
  </si>
  <si>
    <t xml:space="preserve">回収品の受入時に設定</t>
  </si>
  <si>
    <t xml:space="preserve">returned_on</t>
  </si>
  <si>
    <r>
      <rPr>
        <sz val="10"/>
        <rFont val="Arial"/>
        <family val="0"/>
        <charset val="1"/>
      </rPr>
      <t xml:space="preserve">&lt;= </t>
    </r>
    <r>
      <rPr>
        <sz val="10"/>
        <rFont val="WenQuanYi Zen Hei"/>
        <family val="2"/>
      </rPr>
      <t xml:space="preserve">元出荷数量−既返品数量</t>
    </r>
  </si>
  <si>
    <t xml:space="preserve">disposition</t>
  </si>
  <si>
    <t xml:space="preserve">処置</t>
  </si>
  <si>
    <r>
      <rPr>
        <sz val="10"/>
        <rFont val="Arial"/>
        <family val="0"/>
        <charset val="1"/>
      </rPr>
      <t xml:space="preserve">RESTOCK/DISPOSE</t>
    </r>
    <r>
      <rPr>
        <sz val="10"/>
        <rFont val="WenQuanYi Zen Hei"/>
        <family val="2"/>
      </rPr>
      <t xml:space="preserve">（</t>
    </r>
    <r>
      <rPr>
        <sz val="10"/>
        <rFont val="Arial"/>
        <family val="0"/>
        <charset val="1"/>
      </rPr>
      <t xml:space="preserve">QA</t>
    </r>
    <r>
      <rPr>
        <sz val="10"/>
        <rFont val="WenQuanYi Zen Hei"/>
        <family val="2"/>
      </rPr>
      <t xml:space="preserve">判定後に設定）</t>
    </r>
  </si>
  <si>
    <r>
      <rPr>
        <sz val="10"/>
        <rFont val="WenQuanYi Zen Hei"/>
        <family val="2"/>
      </rPr>
      <t xml:space="preserve">受入保管場所</t>
    </r>
    <r>
      <rPr>
        <sz val="10"/>
        <rFont val="Arial"/>
        <family val="0"/>
        <charset val="1"/>
      </rPr>
      <t xml:space="preserve">ID</t>
    </r>
  </si>
  <si>
    <r>
      <rPr>
        <sz val="10"/>
        <rFont val="Arial"/>
        <family val="0"/>
        <charset val="1"/>
      </rPr>
      <t xml:space="preserve">is_quarantine=true </t>
    </r>
    <r>
      <rPr>
        <sz val="10"/>
        <rFont val="WenQuanYi Zen Hei"/>
        <family val="2"/>
      </rPr>
      <t xml:space="preserve">の場所</t>
    </r>
  </si>
  <si>
    <t xml:space="preserve">restock_location_id</t>
  </si>
  <si>
    <r>
      <rPr>
        <sz val="10"/>
        <rFont val="WenQuanYi Zen Hei"/>
        <family val="2"/>
      </rPr>
      <t xml:space="preserve">戻し保管場所</t>
    </r>
    <r>
      <rPr>
        <sz val="10"/>
        <rFont val="Arial"/>
        <family val="0"/>
        <charset val="1"/>
      </rPr>
      <t xml:space="preserve">ID</t>
    </r>
  </si>
  <si>
    <r>
      <rPr>
        <sz val="10"/>
        <rFont val="Arial"/>
        <family val="0"/>
        <charset val="1"/>
      </rPr>
      <t xml:space="preserve">RESTOCK</t>
    </r>
    <r>
      <rPr>
        <sz val="10"/>
        <rFont val="WenQuanYi Zen Hei"/>
        <family val="2"/>
      </rPr>
      <t xml:space="preserve">時必須</t>
    </r>
  </si>
  <si>
    <t xml:space="preserve">RECEIVED</t>
  </si>
  <si>
    <t xml:space="preserve">RECEIVED/CLOSED</t>
  </si>
  <si>
    <t xml:space="preserve">【回収案件】回収（リコール）案件</t>
  </si>
  <si>
    <r>
      <rPr>
        <sz val="10"/>
        <rFont val="WenQuanYi Zen Hei"/>
        <family val="2"/>
      </rPr>
      <t xml:space="preserve">回収案件</t>
    </r>
    <r>
      <rPr>
        <sz val="10"/>
        <rFont val="Arial"/>
        <family val="0"/>
        <charset val="1"/>
      </rPr>
      <t xml:space="preserve">ID</t>
    </r>
  </si>
  <si>
    <t xml:space="preserve">recall_no</t>
  </si>
  <si>
    <r>
      <rPr>
        <sz val="10"/>
        <rFont val="Arial"/>
        <family val="0"/>
        <charset val="1"/>
      </rPr>
      <t xml:space="preserve">RCL-YYYY-NNN </t>
    </r>
    <r>
      <rPr>
        <sz val="10"/>
        <rFont val="WenQuanYi Zen Hei"/>
        <family val="2"/>
      </rPr>
      <t xml:space="preserve">一意</t>
    </r>
  </si>
  <si>
    <t xml:space="preserve">title</t>
  </si>
  <si>
    <t xml:space="preserve">severity</t>
  </si>
  <si>
    <r>
      <rPr>
        <sz val="10"/>
        <rFont val="WenQuanYi Zen Hei"/>
        <family val="2"/>
      </rPr>
      <t xml:space="preserve">クラス</t>
    </r>
    <r>
      <rPr>
        <sz val="10"/>
        <rFont val="Arial"/>
        <family val="0"/>
        <charset val="1"/>
      </rPr>
      <t xml:space="preserve">I/II/III</t>
    </r>
    <r>
      <rPr>
        <sz val="10"/>
        <rFont val="WenQuanYi Zen Hei"/>
        <family val="2"/>
      </rPr>
      <t xml:space="preserve">（行政区分に準拠）</t>
    </r>
  </si>
  <si>
    <t xml:space="preserve">started_on</t>
  </si>
  <si>
    <t xml:space="preserve">開始日</t>
  </si>
  <si>
    <t xml:space="preserve">closed_on</t>
  </si>
  <si>
    <t xml:space="preserve">完了日</t>
  </si>
  <si>
    <t xml:space="preserve">OPEN/IN_PROGRESS/CLOSED</t>
  </si>
  <si>
    <r>
      <rPr>
        <b val="true"/>
        <sz val="10"/>
        <rFont val="WenQuanYi Zen Hei"/>
        <family val="2"/>
      </rPr>
      <t xml:space="preserve">【回収対象ロット】回収案件</t>
    </r>
    <r>
      <rPr>
        <b val="true"/>
        <sz val="10"/>
        <rFont val="Arial"/>
        <family val="0"/>
        <charset val="1"/>
      </rPr>
      <t xml:space="preserve">×</t>
    </r>
    <r>
      <rPr>
        <b val="true"/>
        <sz val="10"/>
        <rFont val="WenQuanYi Zen Hei"/>
        <family val="2"/>
      </rPr>
      <t xml:space="preserve">ロット</t>
    </r>
  </si>
  <si>
    <r>
      <rPr>
        <sz val="10"/>
        <rFont val="Arial"/>
        <family val="0"/>
        <charset val="1"/>
      </rPr>
      <t xml:space="preserve">(</t>
    </r>
    <r>
      <rPr>
        <sz val="10"/>
        <rFont val="WenQuanYi Zen Hei"/>
        <family val="2"/>
      </rPr>
      <t xml:space="preserve">回収案件</t>
    </r>
    <r>
      <rPr>
        <sz val="10"/>
        <rFont val="Arial"/>
        <family val="0"/>
        <charset val="1"/>
      </rPr>
      <t xml:space="preserve">,</t>
    </r>
    <r>
      <rPr>
        <sz val="10"/>
        <rFont val="WenQuanYi Zen Hei"/>
        <family val="2"/>
      </rPr>
      <t xml:space="preserve">ロット</t>
    </r>
    <r>
      <rPr>
        <sz val="10"/>
        <rFont val="Arial"/>
        <family val="0"/>
        <charset val="1"/>
      </rPr>
      <t xml:space="preserve">)</t>
    </r>
    <r>
      <rPr>
        <sz val="10"/>
        <rFont val="WenQuanYi Zen Hei"/>
        <family val="2"/>
      </rPr>
      <t xml:space="preserve">で一意</t>
    </r>
  </si>
  <si>
    <r>
      <rPr>
        <b val="true"/>
        <sz val="10"/>
        <rFont val="WenQuanYi Zen Hei"/>
        <family val="2"/>
      </rPr>
      <t xml:space="preserve">【回収対象顧客】回収案件</t>
    </r>
    <r>
      <rPr>
        <b val="true"/>
        <sz val="10"/>
        <rFont val="Arial"/>
        <family val="0"/>
        <charset val="1"/>
      </rPr>
      <t xml:space="preserve">×</t>
    </r>
    <r>
      <rPr>
        <b val="true"/>
        <sz val="10"/>
        <rFont val="WenQuanYi Zen Hei"/>
        <family val="2"/>
      </rPr>
      <t xml:space="preserve">顧客の連絡・回収状況</t>
    </r>
  </si>
  <si>
    <t xml:space="preserve">出荷から自動抽出</t>
  </si>
  <si>
    <t xml:space="preserve">現品の所在。連絡先は納品先担当者</t>
  </si>
  <si>
    <r>
      <rPr>
        <sz val="10"/>
        <rFont val="Arial"/>
        <family val="0"/>
        <charset val="1"/>
      </rPr>
      <t xml:space="preserve">(</t>
    </r>
    <r>
      <rPr>
        <sz val="10"/>
        <rFont val="WenQuanYi Zen Hei"/>
        <family val="2"/>
      </rPr>
      <t xml:space="preserve">回収案件</t>
    </r>
    <r>
      <rPr>
        <sz val="10"/>
        <rFont val="Arial"/>
        <family val="0"/>
        <charset val="1"/>
      </rPr>
      <t xml:space="preserve">,</t>
    </r>
    <r>
      <rPr>
        <sz val="10"/>
        <rFont val="WenQuanYi Zen Hei"/>
        <family val="2"/>
      </rPr>
      <t xml:space="preserve">納品先</t>
    </r>
    <r>
      <rPr>
        <sz val="10"/>
        <rFont val="Arial"/>
        <family val="0"/>
        <charset val="1"/>
      </rPr>
      <t xml:space="preserve">,</t>
    </r>
    <r>
      <rPr>
        <sz val="10"/>
        <rFont val="WenQuanYi Zen Hei"/>
        <family val="2"/>
      </rPr>
      <t xml:space="preserve">ロット</t>
    </r>
    <r>
      <rPr>
        <sz val="10"/>
        <rFont val="Arial"/>
        <family val="0"/>
        <charset val="1"/>
      </rPr>
      <t xml:space="preserve">)</t>
    </r>
    <r>
      <rPr>
        <sz val="10"/>
        <rFont val="WenQuanYi Zen Hei"/>
        <family val="2"/>
      </rPr>
      <t xml:space="preserve">で一意</t>
    </r>
  </si>
  <si>
    <t xml:space="preserve">出荷正味数量</t>
  </si>
  <si>
    <r>
      <rPr>
        <sz val="10"/>
        <rFont val="WenQuanYi Zen Hei"/>
        <family val="2"/>
      </rPr>
      <t xml:space="preserve">出荷−通常返品。返品・出荷取消時に </t>
    </r>
    <r>
      <rPr>
        <sz val="10"/>
        <rFont val="Arial"/>
        <family val="0"/>
        <charset val="1"/>
      </rPr>
      <t xml:space="preserve">SQL-03 </t>
    </r>
    <r>
      <rPr>
        <sz val="10"/>
        <rFont val="WenQuanYi Zen Hei"/>
        <family val="2"/>
      </rPr>
      <t xml:space="preserve">で再計算</t>
    </r>
  </si>
  <si>
    <t xml:space="preserve">contacted_on</t>
  </si>
  <si>
    <t xml:space="preserve">連絡日</t>
  </si>
  <si>
    <t xml:space="preserve">contact_method</t>
  </si>
  <si>
    <t xml:space="preserve">連絡方法</t>
  </si>
  <si>
    <r>
      <rPr>
        <sz val="10"/>
        <rFont val="WenQuanYi Zen Hei"/>
        <family val="2"/>
      </rPr>
      <t xml:space="preserve">電話</t>
    </r>
    <r>
      <rPr>
        <sz val="10"/>
        <rFont val="Arial"/>
        <family val="0"/>
        <charset val="1"/>
      </rPr>
      <t xml:space="preserve">/</t>
    </r>
    <r>
      <rPr>
        <sz val="10"/>
        <rFont val="WenQuanYi Zen Hei"/>
        <family val="2"/>
      </rPr>
      <t xml:space="preserve">メール</t>
    </r>
    <r>
      <rPr>
        <sz val="10"/>
        <rFont val="Arial"/>
        <family val="0"/>
        <charset val="1"/>
      </rPr>
      <t xml:space="preserve">/</t>
    </r>
    <r>
      <rPr>
        <sz val="10"/>
        <rFont val="WenQuanYi Zen Hei"/>
        <family val="2"/>
      </rPr>
      <t xml:space="preserve">訪問</t>
    </r>
  </si>
  <si>
    <t xml:space="preserve">recovered_qty</t>
  </si>
  <si>
    <t xml:space="preserve">回収数量</t>
  </si>
  <si>
    <r>
      <rPr>
        <sz val="10"/>
        <rFont val="WenQuanYi Zen Hei"/>
        <family val="2"/>
      </rPr>
      <t xml:space="preserve">回収品返品（</t>
    </r>
    <r>
      <rPr>
        <sz val="10"/>
        <rFont val="Arial"/>
        <family val="0"/>
        <charset val="1"/>
      </rPr>
      <t xml:space="preserve">t_return.recall_target_id</t>
    </r>
    <r>
      <rPr>
        <sz val="10"/>
        <rFont val="WenQuanYi Zen Hei"/>
        <family val="2"/>
      </rPr>
      <t xml:space="preserve">）の合計。</t>
    </r>
    <r>
      <rPr>
        <sz val="10"/>
        <rFont val="Arial"/>
        <family val="0"/>
        <charset val="1"/>
      </rPr>
      <t xml:space="preserve">P-07</t>
    </r>
    <r>
      <rPr>
        <sz val="10"/>
        <rFont val="WenQuanYi Zen Hei"/>
        <family val="2"/>
      </rPr>
      <t xml:space="preserve">で更新</t>
    </r>
  </si>
  <si>
    <t xml:space="preserve">unrecoverable_qty</t>
  </si>
  <si>
    <t xml:space="preserve">回収不能数量</t>
  </si>
  <si>
    <r>
      <rPr>
        <sz val="10"/>
        <rFont val="WenQuanYi Zen Hei"/>
        <family val="2"/>
      </rPr>
      <t xml:space="preserve">使用済・消費済等で回収できない数量（顧客回答に基づき</t>
    </r>
    <r>
      <rPr>
        <sz val="10"/>
        <rFont val="Arial"/>
        <family val="0"/>
        <charset val="1"/>
      </rPr>
      <t xml:space="preserve">QA</t>
    </r>
    <r>
      <rPr>
        <sz val="10"/>
        <rFont val="WenQuanYi Zen Hei"/>
        <family val="2"/>
      </rPr>
      <t xml:space="preserve">が入力）</t>
    </r>
  </si>
  <si>
    <t xml:space="preserve">close_reason</t>
  </si>
  <si>
    <t xml:space="preserve">クローズ理由</t>
  </si>
  <si>
    <r>
      <rPr>
        <sz val="10"/>
        <rFont val="Arial"/>
        <family val="0"/>
        <charset val="1"/>
      </rPr>
      <t xml:space="preserve">CLOSED </t>
    </r>
    <r>
      <rPr>
        <sz val="10"/>
        <rFont val="WenQuanYi Zen Hei"/>
        <family val="2"/>
      </rPr>
      <t xml:space="preserve">時必須（手動）。自動クローズは『自動：…』</t>
    </r>
  </si>
  <si>
    <t xml:space="preserve">NOT_CONTACTED</t>
  </si>
  <si>
    <t xml:space="preserve">NOT_CONTACTED/CONTACTED/RECOVERED/CLOSED</t>
  </si>
  <si>
    <t xml:space="preserve">【温度記録】保管場所の温度記録</t>
  </si>
  <si>
    <t xml:space="preserve">measured_at</t>
  </si>
  <si>
    <t xml:space="preserve">測定日時</t>
  </si>
  <si>
    <t xml:space="preserve">temperature</t>
  </si>
  <si>
    <t xml:space="preserve">温度（℃）</t>
  </si>
  <si>
    <t xml:space="preserve">is_excursion</t>
  </si>
  <si>
    <t xml:space="preserve">逸脱フラグ</t>
  </si>
  <si>
    <t xml:space="preserve">許容範囲外で自動設定</t>
  </si>
  <si>
    <t xml:space="preserve">source</t>
  </si>
  <si>
    <t xml:space="preserve">入力元</t>
  </si>
  <si>
    <t xml:space="preserve">MANUAL</t>
  </si>
  <si>
    <t xml:space="preserve">MANUAL/CSV</t>
  </si>
  <si>
    <r>
      <rPr>
        <b val="true"/>
        <sz val="10"/>
        <rFont val="WenQuanYi Zen Hei"/>
        <family val="2"/>
      </rPr>
      <t xml:space="preserve">【添付ファイル】</t>
    </r>
    <r>
      <rPr>
        <b val="true"/>
        <sz val="10"/>
        <rFont val="Arial"/>
        <family val="0"/>
        <charset val="1"/>
      </rPr>
      <t xml:space="preserve">COA</t>
    </r>
    <r>
      <rPr>
        <b val="true"/>
        <sz val="10"/>
        <rFont val="WenQuanYi Zen Hei"/>
        <family val="2"/>
      </rPr>
      <t xml:space="preserve">・輸入書類等</t>
    </r>
  </si>
  <si>
    <r>
      <rPr>
        <sz val="10"/>
        <rFont val="WenQuanYi Zen Hei"/>
        <family val="2"/>
      </rPr>
      <t xml:space="preserve">添付</t>
    </r>
    <r>
      <rPr>
        <sz val="10"/>
        <rFont val="Arial"/>
        <family val="0"/>
        <charset val="1"/>
      </rPr>
      <t xml:space="preserve">ID</t>
    </r>
  </si>
  <si>
    <t xml:space="preserve">owner_type</t>
  </si>
  <si>
    <t xml:space="preserve">所属種別</t>
  </si>
  <si>
    <t xml:space="preserve">lot/receipt/recall/supplier</t>
  </si>
  <si>
    <t xml:space="preserve">owner_id</t>
  </si>
  <si>
    <r>
      <rPr>
        <sz val="10"/>
        <rFont val="WenQuanYi Zen Hei"/>
        <family val="2"/>
      </rPr>
      <t xml:space="preserve">所属</t>
    </r>
    <r>
      <rPr>
        <sz val="10"/>
        <rFont val="Arial"/>
        <family val="0"/>
        <charset val="1"/>
      </rPr>
      <t xml:space="preserve">ID</t>
    </r>
  </si>
  <si>
    <t xml:space="preserve">doc_type</t>
  </si>
  <si>
    <t xml:space="preserve">書類種別</t>
  </si>
  <si>
    <r>
      <rPr>
        <sz val="10"/>
        <rFont val="Arial"/>
        <family val="0"/>
        <charset val="1"/>
      </rPr>
      <t xml:space="preserve">COA/</t>
    </r>
    <r>
      <rPr>
        <sz val="10"/>
        <rFont val="WenQuanYi Zen Hei"/>
        <family val="2"/>
      </rPr>
      <t xml:space="preserve">輸入書類</t>
    </r>
    <r>
      <rPr>
        <sz val="10"/>
        <rFont val="Arial"/>
        <family val="0"/>
        <charset val="1"/>
      </rPr>
      <t xml:space="preserve">/</t>
    </r>
    <r>
      <rPr>
        <sz val="10"/>
        <rFont val="WenQuanYi Zen Hei"/>
        <family val="2"/>
      </rPr>
      <t xml:space="preserve">契約書</t>
    </r>
    <r>
      <rPr>
        <sz val="10"/>
        <rFont val="Arial"/>
        <family val="0"/>
        <charset val="1"/>
      </rPr>
      <t xml:space="preserve">/</t>
    </r>
    <r>
      <rPr>
        <sz val="10"/>
        <rFont val="WenQuanYi Zen Hei"/>
        <family val="2"/>
      </rPr>
      <t xml:space="preserve">その他</t>
    </r>
  </si>
  <si>
    <t xml:space="preserve">file_name</t>
  </si>
  <si>
    <t xml:space="preserve">ファイル名</t>
  </si>
  <si>
    <t xml:space="preserve">storage_key</t>
  </si>
  <si>
    <t xml:space="preserve">保存先キー</t>
  </si>
  <si>
    <t xml:space="preserve">500</t>
  </si>
  <si>
    <t xml:space="preserve">オブジェクトストレージのキー</t>
  </si>
  <si>
    <t xml:space="preserve">sha256</t>
  </si>
  <si>
    <t xml:space="preserve">ハッシュ値</t>
  </si>
  <si>
    <t xml:space="preserve">CHAR</t>
  </si>
  <si>
    <t xml:space="preserve">64</t>
  </si>
  <si>
    <t xml:space="preserve">改ざん検知</t>
  </si>
  <si>
    <t xml:space="preserve">【監査ログ】操作履歴（追記のみ）</t>
  </si>
  <si>
    <t xml:space="preserve">occurred_at</t>
  </si>
  <si>
    <t xml:space="preserve">user_id</t>
  </si>
  <si>
    <r>
      <rPr>
        <sz val="10"/>
        <rFont val="WenQuanYi Zen Hei"/>
        <family val="2"/>
      </rPr>
      <t xml:space="preserve">ログイン失敗時は</t>
    </r>
    <r>
      <rPr>
        <sz val="10"/>
        <rFont val="Arial"/>
        <family val="0"/>
        <charset val="1"/>
      </rPr>
      <t xml:space="preserve">NULL</t>
    </r>
  </si>
  <si>
    <t xml:space="preserve">action</t>
  </si>
  <si>
    <t xml:space="preserve">操作</t>
  </si>
  <si>
    <t xml:space="preserve">LOGIN/CREATE/UPDATE/CANCEL/STATUS/EXPORT</t>
  </si>
  <si>
    <t xml:space="preserve">target_table</t>
  </si>
  <si>
    <t xml:space="preserve">対象テーブル</t>
  </si>
  <si>
    <t xml:space="preserve">target_id</t>
  </si>
  <si>
    <r>
      <rPr>
        <sz val="10"/>
        <rFont val="WenQuanYi Zen Hei"/>
        <family val="2"/>
      </rPr>
      <t xml:space="preserve">対象</t>
    </r>
    <r>
      <rPr>
        <sz val="10"/>
        <rFont val="Arial"/>
        <family val="0"/>
        <charset val="1"/>
      </rPr>
      <t xml:space="preserve">ID</t>
    </r>
  </si>
  <si>
    <t xml:space="preserve">before_json</t>
  </si>
  <si>
    <t xml:space="preserve">変更前</t>
  </si>
  <si>
    <t xml:space="preserve">JSONB</t>
  </si>
  <si>
    <t xml:space="preserve">after_json</t>
  </si>
  <si>
    <t xml:space="preserve">変更後</t>
  </si>
  <si>
    <t xml:space="preserve">ip_address</t>
  </si>
  <si>
    <r>
      <rPr>
        <sz val="10"/>
        <rFont val="Arial"/>
        <family val="0"/>
        <charset val="1"/>
      </rPr>
      <t xml:space="preserve">IP</t>
    </r>
    <r>
      <rPr>
        <sz val="10"/>
        <rFont val="WenQuanYi Zen Hei"/>
        <family val="2"/>
      </rPr>
      <t xml:space="preserve">アドレス</t>
    </r>
  </si>
  <si>
    <t xml:space="preserve">45</t>
  </si>
  <si>
    <t xml:space="preserve">インデックス・制約定義</t>
  </si>
  <si>
    <r>
      <rPr>
        <i val="true"/>
        <sz val="9"/>
        <color rgb="FF595959"/>
        <rFont val="Arial"/>
        <family val="0"/>
        <charset val="1"/>
      </rPr>
      <t xml:space="preserve">PK</t>
    </r>
    <r>
      <rPr>
        <i val="true"/>
        <sz val="9"/>
        <color rgb="FF595959"/>
        <rFont val="WenQuanYi Zen Hei"/>
        <family val="2"/>
      </rPr>
      <t xml:space="preserve">・</t>
    </r>
    <r>
      <rPr>
        <i val="true"/>
        <sz val="9"/>
        <color rgb="FF595959"/>
        <rFont val="Arial"/>
        <family val="0"/>
        <charset val="1"/>
      </rPr>
      <t xml:space="preserve">FK</t>
    </r>
    <r>
      <rPr>
        <i val="true"/>
        <sz val="9"/>
        <color rgb="FF595959"/>
        <rFont val="WenQuanYi Zen Hei"/>
        <family val="2"/>
      </rPr>
      <t xml:space="preserve">制約は項目定義に従い全て作成する（</t>
    </r>
    <r>
      <rPr>
        <i val="true"/>
        <sz val="9"/>
        <color rgb="FF595959"/>
        <rFont val="Arial"/>
        <family val="0"/>
        <charset val="1"/>
      </rPr>
      <t xml:space="preserve">FK</t>
    </r>
    <r>
      <rPr>
        <i val="true"/>
        <sz val="9"/>
        <color rgb="FF595959"/>
        <rFont val="WenQuanYi Zen Hei"/>
        <family val="2"/>
      </rPr>
      <t xml:space="preserve">列には別途インデックスを作成）</t>
    </r>
  </si>
  <si>
    <t xml:space="preserve">名前</t>
  </si>
  <si>
    <t xml:space="preserve">対象カラム</t>
  </si>
  <si>
    <t xml:space="preserve">UNIQUE</t>
  </si>
  <si>
    <t xml:space="preserve">uq_supplier_code</t>
  </si>
  <si>
    <t xml:space="preserve">コード一意</t>
  </si>
  <si>
    <t xml:space="preserve">uq_product_code</t>
  </si>
  <si>
    <t xml:space="preserve">uq_customer_code</t>
  </si>
  <si>
    <t xml:space="preserve">CHECK</t>
  </si>
  <si>
    <t xml:space="preserve">ck_customer_medical_code</t>
  </si>
  <si>
    <t xml:space="preserve">customer_type, medical_inst_code</t>
  </si>
  <si>
    <r>
      <rPr>
        <sz val="10"/>
        <rFont val="Arial"/>
        <family val="0"/>
        <charset val="1"/>
      </rPr>
      <t xml:space="preserve">BR-10</t>
    </r>
    <r>
      <rPr>
        <sz val="10"/>
        <rFont val="WenQuanYi Zen Hei"/>
        <family val="2"/>
      </rPr>
      <t xml:space="preserve">：</t>
    </r>
    <r>
      <rPr>
        <sz val="10"/>
        <rFont val="Arial"/>
        <family val="0"/>
        <charset val="1"/>
      </rPr>
      <t xml:space="preserve">customer_type&lt;&gt;'MEDICAL' OR medical_inst_code IS NOT NULL</t>
    </r>
  </si>
  <si>
    <r>
      <rPr>
        <sz val="10"/>
        <rFont val="Arial"/>
        <family val="0"/>
        <charset val="1"/>
      </rPr>
      <t xml:space="preserve">UNIQUE(</t>
    </r>
    <r>
      <rPr>
        <sz val="10"/>
        <rFont val="WenQuanYi Zen Hei"/>
        <family val="2"/>
      </rPr>
      <t xml:space="preserve">部分</t>
    </r>
    <r>
      <rPr>
        <sz val="10"/>
        <rFont val="Arial"/>
        <family val="0"/>
        <charset val="1"/>
      </rPr>
      <t xml:space="preserve">)</t>
    </r>
  </si>
  <si>
    <t xml:space="preserve">uq_ship_to_default</t>
  </si>
  <si>
    <t xml:space="preserve">customer_id WHERE is_default</t>
  </si>
  <si>
    <r>
      <rPr>
        <sz val="10"/>
        <rFont val="WenQuanYi Zen Hei"/>
        <family val="2"/>
      </rPr>
      <t xml:space="preserve">既定納品先は顧客ごとに</t>
    </r>
    <r>
      <rPr>
        <sz val="10"/>
        <rFont val="Arial"/>
        <family val="0"/>
        <charset val="1"/>
      </rPr>
      <t xml:space="preserve">1</t>
    </r>
    <r>
      <rPr>
        <sz val="10"/>
        <rFont val="WenQuanYi Zen Hei"/>
        <family val="2"/>
      </rPr>
      <t xml:space="preserve">件</t>
    </r>
  </si>
  <si>
    <t xml:space="preserve">uq_location_code</t>
  </si>
  <si>
    <t xml:space="preserve">ck_location_temp</t>
  </si>
  <si>
    <t xml:space="preserve">temp_min, temp_max</t>
  </si>
  <si>
    <t xml:space="preserve">temp_min &lt; temp_max</t>
  </si>
  <si>
    <t xml:space="preserve">uq_sales_rule</t>
  </si>
  <si>
    <t xml:space="preserve">regulatory_class, customer_type</t>
  </si>
  <si>
    <t xml:space="preserve">組合せ一意</t>
  </si>
  <si>
    <t xml:space="preserve">uq_user_email</t>
  </si>
  <si>
    <r>
      <rPr>
        <sz val="10"/>
        <rFont val="WenQuanYi Zen Hei"/>
        <family val="2"/>
      </rPr>
      <t xml:space="preserve">ログイン</t>
    </r>
    <r>
      <rPr>
        <sz val="10"/>
        <rFont val="Arial"/>
        <family val="0"/>
        <charset val="1"/>
      </rPr>
      <t xml:space="preserve">ID</t>
    </r>
    <r>
      <rPr>
        <sz val="10"/>
        <rFont val="WenQuanYi Zen Hei"/>
        <family val="2"/>
      </rPr>
      <t xml:space="preserve">一意</t>
    </r>
  </si>
  <si>
    <t xml:space="preserve">uq_po_no</t>
  </si>
  <si>
    <t xml:space="preserve">番号一意</t>
  </si>
  <si>
    <t xml:space="preserve">uq_po_line</t>
  </si>
  <si>
    <t xml:space="preserve">purchase_order_id, line_no</t>
  </si>
  <si>
    <t xml:space="preserve">行番号一意</t>
  </si>
  <si>
    <t xml:space="preserve">uq_receipt_no</t>
  </si>
  <si>
    <t xml:space="preserve">uq_lot_no</t>
  </si>
  <si>
    <t xml:space="preserve">社内ロット番号一意</t>
  </si>
  <si>
    <t xml:space="preserve">uq_lot_supplier_lot</t>
  </si>
  <si>
    <t xml:space="preserve">supplier_id, product_id, supplier_lot_no</t>
  </si>
  <si>
    <r>
      <rPr>
        <sz val="10"/>
        <rFont val="Arial"/>
        <family val="0"/>
        <charset val="1"/>
      </rPr>
      <t xml:space="preserve">BR-15 </t>
    </r>
    <r>
      <rPr>
        <sz val="10"/>
        <rFont val="WenQuanYi Zen Hei"/>
        <family val="2"/>
      </rPr>
      <t xml:space="preserve">重複入荷防止</t>
    </r>
  </si>
  <si>
    <t xml:space="preserve">INDEX</t>
  </si>
  <si>
    <t xml:space="preserve">ix_lot_product_status_exp</t>
  </si>
  <si>
    <t xml:space="preserve">product_id, status, expires_on, received_on</t>
  </si>
  <si>
    <r>
      <rPr>
        <sz val="10"/>
        <rFont val="Arial"/>
        <family val="0"/>
        <charset val="1"/>
      </rPr>
      <t xml:space="preserve">FEFO</t>
    </r>
    <r>
      <rPr>
        <sz val="10"/>
        <rFont val="WenQuanYi Zen Hei"/>
        <family val="2"/>
      </rPr>
      <t xml:space="preserve">引当候補抽出（</t>
    </r>
    <r>
      <rPr>
        <sz val="10"/>
        <rFont val="Arial"/>
        <family val="0"/>
        <charset val="1"/>
      </rPr>
      <t xml:space="preserve">P-04</t>
    </r>
    <r>
      <rPr>
        <sz val="10"/>
        <rFont val="WenQuanYi Zen Hei"/>
        <family val="2"/>
      </rPr>
      <t xml:space="preserve">）</t>
    </r>
  </si>
  <si>
    <t xml:space="preserve">ix_lot_status_history</t>
  </si>
  <si>
    <t xml:space="preserve">lot_id, changed_at</t>
  </si>
  <si>
    <t xml:space="preserve">ロット詳細のステータス履歴</t>
  </si>
  <si>
    <t xml:space="preserve">ck_receipt_line_qty</t>
  </si>
  <si>
    <t xml:space="preserve">quantity &gt; 0</t>
  </si>
  <si>
    <t xml:space="preserve">uq_inventory_lot_loc</t>
  </si>
  <si>
    <t xml:space="preserve">lot_id, location_id</t>
  </si>
  <si>
    <r>
      <rPr>
        <sz val="10"/>
        <rFont val="WenQuanYi Zen Hei"/>
        <family val="2"/>
      </rPr>
      <t xml:space="preserve">ロット</t>
    </r>
    <r>
      <rPr>
        <sz val="10"/>
        <rFont val="Arial"/>
        <family val="0"/>
        <charset val="1"/>
      </rPr>
      <t xml:space="preserve">×</t>
    </r>
    <r>
      <rPr>
        <sz val="10"/>
        <rFont val="WenQuanYi Zen Hei"/>
        <family val="2"/>
      </rPr>
      <t xml:space="preserve">保管場所一意</t>
    </r>
  </si>
  <si>
    <t xml:space="preserve">ck_inventory_qty</t>
  </si>
  <si>
    <t xml:space="preserve">on_hand_qty, allocated_qty</t>
  </si>
  <si>
    <t xml:space="preserve">on_hand_qty &gt;= 0 AND 0 &lt;= allocated_qty AND allocated_qty &lt;= on_hand_qty</t>
  </si>
  <si>
    <t xml:space="preserve">ix_movement_lot_loc</t>
  </si>
  <si>
    <t xml:space="preserve">lot_id, location_id, moved_at</t>
  </si>
  <si>
    <r>
      <rPr>
        <sz val="10"/>
        <rFont val="WenQuanYi Zen Hei"/>
        <family val="2"/>
      </rPr>
      <t xml:space="preserve">受払・整合性チェック・温度逸脱時点の在庫特定（</t>
    </r>
    <r>
      <rPr>
        <sz val="10"/>
        <rFont val="Arial"/>
        <family val="0"/>
        <charset val="1"/>
      </rPr>
      <t xml:space="preserve">P-09</t>
    </r>
    <r>
      <rPr>
        <sz val="10"/>
        <rFont val="WenQuanYi Zen Hei"/>
        <family val="2"/>
      </rPr>
      <t xml:space="preserve">）</t>
    </r>
  </si>
  <si>
    <t xml:space="preserve">ix_movement_ref</t>
  </si>
  <si>
    <t xml:space="preserve">ref_type, ref_id</t>
  </si>
  <si>
    <t xml:space="preserve">伝票からの逆引き</t>
  </si>
  <si>
    <t xml:space="preserve">uq_so_no</t>
  </si>
  <si>
    <t xml:space="preserve">ix_so_customer_date</t>
  </si>
  <si>
    <t xml:space="preserve">customer_id, order_date</t>
  </si>
  <si>
    <t xml:space="preserve">顧客別受注検索</t>
  </si>
  <si>
    <t xml:space="preserve">uq_so_line</t>
  </si>
  <si>
    <t xml:space="preserve">sales_order_id, line_no</t>
  </si>
  <si>
    <t xml:space="preserve">uq_shipment_no</t>
  </si>
  <si>
    <t xml:space="preserve">ix_shipment_customer_date</t>
  </si>
  <si>
    <t xml:space="preserve">customer_id, shipped_on</t>
  </si>
  <si>
    <r>
      <rPr>
        <sz val="10"/>
        <rFont val="WenQuanYi Zen Hei"/>
        <family val="2"/>
      </rPr>
      <t xml:space="preserve">後方追跡（</t>
    </r>
    <r>
      <rPr>
        <sz val="10"/>
        <rFont val="Arial"/>
        <family val="0"/>
        <charset val="1"/>
      </rPr>
      <t xml:space="preserve">SQL-02</t>
    </r>
    <r>
      <rPr>
        <sz val="10"/>
        <rFont val="WenQuanYi Zen Hei"/>
        <family val="2"/>
      </rPr>
      <t xml:space="preserve">）</t>
    </r>
  </si>
  <si>
    <t xml:space="preserve">ix_shipment_line_lot</t>
  </si>
  <si>
    <t xml:space="preserve">lot_id, status</t>
  </si>
  <si>
    <r>
      <rPr>
        <sz val="10"/>
        <rFont val="WenQuanYi Zen Hei"/>
        <family val="2"/>
      </rPr>
      <t xml:space="preserve">前方追跡・回収抽出・引当解除（</t>
    </r>
    <r>
      <rPr>
        <sz val="10"/>
        <rFont val="Arial"/>
        <family val="0"/>
        <charset val="1"/>
      </rPr>
      <t xml:space="preserve">SQL-01/03, P-11</t>
    </r>
    <r>
      <rPr>
        <sz val="10"/>
        <rFont val="WenQuanYi Zen Hei"/>
        <family val="2"/>
      </rPr>
      <t xml:space="preserve">）</t>
    </r>
  </si>
  <si>
    <t xml:space="preserve">ix_shipment_line_so_line</t>
  </si>
  <si>
    <t xml:space="preserve">sales_order_line_id, status</t>
  </si>
  <si>
    <r>
      <rPr>
        <sz val="10"/>
        <rFont val="WenQuanYi Zen Hei"/>
        <family val="2"/>
      </rPr>
      <t xml:space="preserve">引当中数量の算出（</t>
    </r>
    <r>
      <rPr>
        <sz val="10"/>
        <rFont val="Arial"/>
        <family val="0"/>
        <charset val="1"/>
      </rPr>
      <t xml:space="preserve">P-04</t>
    </r>
    <r>
      <rPr>
        <sz val="10"/>
        <rFont val="WenQuanYi Zen Hei"/>
        <family val="2"/>
      </rPr>
      <t xml:space="preserve">）</t>
    </r>
  </si>
  <si>
    <t xml:space="preserve">ck_shipment_line_qty</t>
  </si>
  <si>
    <t xml:space="preserve">uq_return_no</t>
  </si>
  <si>
    <t xml:space="preserve">ix_return_shipment_line</t>
  </si>
  <si>
    <t xml:space="preserve">返品数量集計</t>
  </si>
  <si>
    <t xml:space="preserve">ix_return_recall_target</t>
  </si>
  <si>
    <t xml:space="preserve">回収数量集計</t>
  </si>
  <si>
    <t xml:space="preserve">uq_recall_no</t>
  </si>
  <si>
    <t xml:space="preserve">uq_recall_lot</t>
  </si>
  <si>
    <t xml:space="preserve">recall_id, lot_id</t>
  </si>
  <si>
    <t xml:space="preserve">重複防止</t>
  </si>
  <si>
    <t xml:space="preserve">uq_recall_target</t>
  </si>
  <si>
    <t xml:space="preserve">recall_id, ship_to_id, lot_id</t>
  </si>
  <si>
    <r>
      <rPr>
        <sz val="10"/>
        <rFont val="Arial"/>
        <family val="0"/>
        <charset val="1"/>
      </rPr>
      <t xml:space="preserve">SQL-03 </t>
    </r>
    <r>
      <rPr>
        <sz val="10"/>
        <rFont val="WenQuanYi Zen Hei"/>
        <family val="2"/>
      </rPr>
      <t xml:space="preserve">の </t>
    </r>
    <r>
      <rPr>
        <sz val="10"/>
        <rFont val="Arial"/>
        <family val="0"/>
        <charset val="1"/>
      </rPr>
      <t xml:space="preserve">ON CONFLICT </t>
    </r>
    <r>
      <rPr>
        <sz val="10"/>
        <rFont val="WenQuanYi Zen Hei"/>
        <family val="2"/>
      </rPr>
      <t xml:space="preserve">対象</t>
    </r>
  </si>
  <si>
    <t xml:space="preserve">ix_temp_location_time</t>
  </si>
  <si>
    <t xml:space="preserve">location_id, measured_at</t>
  </si>
  <si>
    <t xml:space="preserve">温度推移照会</t>
  </si>
  <si>
    <t xml:space="preserve">ix_attachment_owner</t>
  </si>
  <si>
    <t xml:space="preserve">owner_type, owner_id</t>
  </si>
  <si>
    <t xml:space="preserve">所属別取得</t>
  </si>
  <si>
    <t xml:space="preserve">ix_audit_target</t>
  </si>
  <si>
    <t xml:space="preserve">target_table, target_id, occurred_at</t>
  </si>
  <si>
    <t xml:space="preserve">対象別履歴</t>
  </si>
  <si>
    <t xml:space="preserve">ix_audit_user_time</t>
  </si>
  <si>
    <t xml:space="preserve">user_id, occurred_at</t>
  </si>
  <si>
    <t xml:space="preserve">ユーザー別履歴</t>
  </si>
  <si>
    <r>
      <rPr>
        <b val="true"/>
        <sz val="11"/>
        <color rgb="FF1F4E5F"/>
        <rFont val="Arial"/>
        <family val="0"/>
        <charset val="1"/>
      </rPr>
      <t xml:space="preserve">DDL</t>
    </r>
    <r>
      <rPr>
        <b val="true"/>
        <sz val="11"/>
        <color rgb="FF1F4E5F"/>
        <rFont val="WenQuanYi Zen Hei"/>
        <family val="2"/>
      </rPr>
      <t xml:space="preserve">（</t>
    </r>
    <r>
      <rPr>
        <b val="true"/>
        <sz val="11"/>
        <color rgb="FF1F4E5F"/>
        <rFont val="Arial"/>
        <family val="0"/>
        <charset val="1"/>
      </rPr>
      <t xml:space="preserve">PostgreSQL</t>
    </r>
    <r>
      <rPr>
        <b val="true"/>
        <sz val="11"/>
        <color rgb="FF1F4E5F"/>
        <rFont val="WenQuanYi Zen Hei"/>
        <family val="2"/>
      </rPr>
      <t xml:space="preserve">）— 項目定義・インデックス定義から自動生成</t>
    </r>
  </si>
  <si>
    <r>
      <rPr>
        <sz val="9"/>
        <rFont val="Courier New"/>
        <family val="0"/>
        <charset val="1"/>
      </rPr>
      <t xml:space="preserve">-- </t>
    </r>
    <r>
      <rPr>
        <sz val="9"/>
        <rFont val="WenQuanYi Zen Hei"/>
        <family val="2"/>
      </rPr>
      <t xml:space="preserve">生成元</t>
    </r>
    <r>
      <rPr>
        <sz val="9"/>
        <rFont val="Courier New"/>
        <family val="0"/>
        <charset val="1"/>
      </rPr>
      <t xml:space="preserve">: docs/design/tools/spec.py</t>
    </r>
    <r>
      <rPr>
        <sz val="9"/>
        <rFont val="WenQuanYi Zen Hei"/>
        <family val="2"/>
      </rPr>
      <t xml:space="preserve">（手修正しないこと）</t>
    </r>
  </si>
  <si>
    <r>
      <rPr>
        <sz val="9"/>
        <rFont val="Courier New"/>
        <family val="0"/>
        <charset val="1"/>
      </rPr>
      <t xml:space="preserve">-- </t>
    </r>
    <r>
      <rPr>
        <sz val="9"/>
        <rFont val="WenQuanYi Zen Hei"/>
        <family val="2"/>
      </rPr>
      <t xml:space="preserve">作成順は外部キーの依存順</t>
    </r>
  </si>
  <si>
    <r>
      <rPr>
        <sz val="9"/>
        <rFont val="Courier New"/>
        <family val="0"/>
        <charset val="1"/>
      </rPr>
      <t xml:space="preserve">-- </t>
    </r>
    <r>
      <rPr>
        <sz val="9"/>
        <rFont val="WenQuanYi Zen Hei"/>
        <family val="2"/>
      </rPr>
      <t xml:space="preserve">ユーザー：システム利用者</t>
    </r>
  </si>
  <si>
    <t xml:space="preserve">CREATE TABLE m_user (</t>
  </si>
  <si>
    <t xml:space="preserve">  id BIGINT GENERATED ALWAYS AS IDENTITY PRIMARY KEY,</t>
  </si>
  <si>
    <t xml:space="preserve">  email VARCHAR(254) NOT NULL,</t>
  </si>
  <si>
    <t xml:space="preserve">  name VARCHAR(50) NOT NULL,</t>
  </si>
  <si>
    <t xml:space="preserve">  role VARCHAR(20) NOT NULL,</t>
  </si>
  <si>
    <t xml:space="preserve">  password_hash VARCHAR(255) NOT NULL,</t>
  </si>
  <si>
    <t xml:space="preserve">  mfa_secret VARCHAR(255),</t>
  </si>
  <si>
    <t xml:space="preserve">  failed_login_count INTEGER NOT NULL DEFAULT 0,</t>
  </si>
  <si>
    <t xml:space="preserve">  is_active BOOLEAN NOT NULL DEFAULT true,</t>
  </si>
  <si>
    <t xml:space="preserve">  created_at TIMESTAMPTZ NOT NULL DEFAULT now(),</t>
  </si>
  <si>
    <t xml:space="preserve">  created_by BIGINT NOT NULL REFERENCES m_user(id),</t>
  </si>
  <si>
    <t xml:space="preserve">  updated_at TIMESTAMPTZ NOT NULL DEFAULT now(),</t>
  </si>
  <si>
    <t xml:space="preserve">  updated_by BIGINT NOT NULL REFERENCES m_user(id),</t>
  </si>
  <si>
    <t xml:space="preserve">  version INTEGER NOT NULL DEFAULT 1</t>
  </si>
  <si>
    <t xml:space="preserve">);</t>
  </si>
  <si>
    <r>
      <rPr>
        <sz val="9"/>
        <rFont val="Courier New"/>
        <family val="0"/>
        <charset val="1"/>
      </rPr>
      <t xml:space="preserve">COMMENT ON TABLE m_user IS '</t>
    </r>
    <r>
      <rPr>
        <sz val="9"/>
        <rFont val="WenQuanYi Zen Hei"/>
        <family val="2"/>
      </rPr>
      <t xml:space="preserve">ユーザー</t>
    </r>
    <r>
      <rPr>
        <sz val="9"/>
        <rFont val="Courier New"/>
        <family val="0"/>
        <charset val="1"/>
      </rPr>
      <t xml:space="preserve">';</t>
    </r>
  </si>
  <si>
    <r>
      <rPr>
        <sz val="9"/>
        <rFont val="Courier New"/>
        <family val="0"/>
        <charset val="1"/>
      </rPr>
      <t xml:space="preserve">COMMENT ON COLUMN m_user.id IS '</t>
    </r>
    <r>
      <rPr>
        <sz val="9"/>
        <rFont val="WenQuanYi Zen Hei"/>
        <family val="2"/>
      </rPr>
      <t xml:space="preserve">ユーザー</t>
    </r>
    <r>
      <rPr>
        <sz val="9"/>
        <rFont val="Courier New"/>
        <family val="0"/>
        <charset val="1"/>
      </rPr>
      <t xml:space="preserve">ID';</t>
    </r>
  </si>
  <si>
    <r>
      <rPr>
        <sz val="9"/>
        <rFont val="Courier New"/>
        <family val="0"/>
        <charset val="1"/>
      </rPr>
      <t xml:space="preserve">COMMENT ON COLUMN m_user.email IS '</t>
    </r>
    <r>
      <rPr>
        <sz val="9"/>
        <rFont val="WenQuanYi Zen Hei"/>
        <family val="2"/>
      </rPr>
      <t xml:space="preserve">メール（ログイン</t>
    </r>
    <r>
      <rPr>
        <sz val="9"/>
        <rFont val="Courier New"/>
        <family val="0"/>
        <charset val="1"/>
      </rPr>
      <t xml:space="preserve">ID</t>
    </r>
    <r>
      <rPr>
        <sz val="9"/>
        <rFont val="WenQuanYi Zen Hei"/>
        <family val="2"/>
      </rPr>
      <t xml:space="preserve">）</t>
    </r>
    <r>
      <rPr>
        <sz val="9"/>
        <rFont val="Courier New"/>
        <family val="0"/>
        <charset val="1"/>
      </rPr>
      <t xml:space="preserve">';</t>
    </r>
  </si>
  <si>
    <r>
      <rPr>
        <sz val="9"/>
        <rFont val="Courier New"/>
        <family val="0"/>
        <charset val="1"/>
      </rPr>
      <t xml:space="preserve">COMMENT ON COLUMN m_user.name IS '</t>
    </r>
    <r>
      <rPr>
        <sz val="9"/>
        <rFont val="WenQuanYi Zen Hei"/>
        <family val="2"/>
      </rPr>
      <t xml:space="preserve">氏名</t>
    </r>
    <r>
      <rPr>
        <sz val="9"/>
        <rFont val="Courier New"/>
        <family val="0"/>
        <charset val="1"/>
      </rPr>
      <t xml:space="preserve">';</t>
    </r>
  </si>
  <si>
    <r>
      <rPr>
        <sz val="9"/>
        <rFont val="Courier New"/>
        <family val="0"/>
        <charset val="1"/>
      </rPr>
      <t xml:space="preserve">COMMENT ON COLUMN m_user.role IS '</t>
    </r>
    <r>
      <rPr>
        <sz val="9"/>
        <rFont val="WenQuanYi Zen Hei"/>
        <family val="2"/>
      </rPr>
      <t xml:space="preserve">ロール</t>
    </r>
    <r>
      <rPr>
        <sz val="9"/>
        <rFont val="Courier New"/>
        <family val="0"/>
        <charset val="1"/>
      </rPr>
      <t xml:space="preserve">';</t>
    </r>
  </si>
  <si>
    <r>
      <rPr>
        <sz val="9"/>
        <rFont val="Courier New"/>
        <family val="0"/>
        <charset val="1"/>
      </rPr>
      <t xml:space="preserve">COMMENT ON COLUMN m_user.password_hash IS '</t>
    </r>
    <r>
      <rPr>
        <sz val="9"/>
        <rFont val="WenQuanYi Zen Hei"/>
        <family val="2"/>
      </rPr>
      <t xml:space="preserve">パスワードハッシュ</t>
    </r>
    <r>
      <rPr>
        <sz val="9"/>
        <rFont val="Courier New"/>
        <family val="0"/>
        <charset val="1"/>
      </rPr>
      <t xml:space="preserve">';</t>
    </r>
  </si>
  <si>
    <r>
      <rPr>
        <sz val="9"/>
        <rFont val="Courier New"/>
        <family val="0"/>
        <charset val="1"/>
      </rPr>
      <t xml:space="preserve">COMMENT ON COLUMN m_user.mfa_secret IS '2</t>
    </r>
    <r>
      <rPr>
        <sz val="9"/>
        <rFont val="WenQuanYi Zen Hei"/>
        <family val="2"/>
      </rPr>
      <t xml:space="preserve">要素認証シークレット</t>
    </r>
    <r>
      <rPr>
        <sz val="9"/>
        <rFont val="Courier New"/>
        <family val="0"/>
        <charset val="1"/>
      </rPr>
      <t xml:space="preserve">';</t>
    </r>
  </si>
  <si>
    <r>
      <rPr>
        <sz val="9"/>
        <rFont val="Courier New"/>
        <family val="0"/>
        <charset val="1"/>
      </rPr>
      <t xml:space="preserve">COMMENT ON COLUMN m_user.failed_login_count IS '</t>
    </r>
    <r>
      <rPr>
        <sz val="9"/>
        <rFont val="WenQuanYi Zen Hei"/>
        <family val="2"/>
      </rPr>
      <t xml:space="preserve">ログイン失敗回数</t>
    </r>
    <r>
      <rPr>
        <sz val="9"/>
        <rFont val="Courier New"/>
        <family val="0"/>
        <charset val="1"/>
      </rPr>
      <t xml:space="preserve">';</t>
    </r>
  </si>
  <si>
    <r>
      <rPr>
        <sz val="9"/>
        <rFont val="Courier New"/>
        <family val="0"/>
        <charset val="1"/>
      </rPr>
      <t xml:space="preserve">COMMENT ON COLUMN m_user.is_active IS '</t>
    </r>
    <r>
      <rPr>
        <sz val="9"/>
        <rFont val="WenQuanYi Zen Hei"/>
        <family val="2"/>
      </rPr>
      <t xml:space="preserve">有効フラグ</t>
    </r>
    <r>
      <rPr>
        <sz val="9"/>
        <rFont val="Courier New"/>
        <family val="0"/>
        <charset val="1"/>
      </rPr>
      <t xml:space="preserve">';</t>
    </r>
  </si>
  <si>
    <r>
      <rPr>
        <sz val="9"/>
        <rFont val="Courier New"/>
        <family val="0"/>
        <charset val="1"/>
      </rPr>
      <t xml:space="preserve">COMMENT ON COLUMN m_user.created_at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</si>
  <si>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m_user.created_by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</si>
  <si>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m_user.updated_at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</si>
  <si>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m_user.updated_by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</si>
  <si>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m_user.version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</si>
  <si>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仕入先：仕入先（製造元・輸入元）</t>
    </r>
  </si>
  <si>
    <t xml:space="preserve">CREATE TABLE m_supplier (</t>
  </si>
  <si>
    <t xml:space="preserve">  supplier_code VARCHAR(20) NOT NULL,</t>
  </si>
  <si>
    <t xml:space="preserve">  name VARCHAR(100) NOT NULL,</t>
  </si>
  <si>
    <t xml:space="preserve">  country VARCHAR(2) NOT NULL DEFAULT 'JP',</t>
  </si>
  <si>
    <t xml:space="preserve">  address VARCHAR(200),</t>
  </si>
  <si>
    <t xml:space="preserve">  contact_name VARCHAR(50),</t>
  </si>
  <si>
    <t xml:space="preserve">  phone VARCHAR(20),</t>
  </si>
  <si>
    <t xml:space="preserve">  email VARCHAR(254),</t>
  </si>
  <si>
    <t xml:space="preserve">  payment_terms VARCHAR(100),</t>
  </si>
  <si>
    <r>
      <rPr>
        <sz val="9"/>
        <rFont val="Courier New"/>
        <family val="0"/>
        <charset val="1"/>
      </rPr>
      <t xml:space="preserve">COMMENT ON TABLE m_supplier IS '</t>
    </r>
    <r>
      <rPr>
        <sz val="9"/>
        <rFont val="WenQuanYi Zen Hei"/>
        <family val="2"/>
      </rPr>
      <t xml:space="preserve">仕入先</t>
    </r>
    <r>
      <rPr>
        <sz val="9"/>
        <rFont val="Courier New"/>
        <family val="0"/>
        <charset val="1"/>
      </rPr>
      <t xml:space="preserve">';</t>
    </r>
  </si>
  <si>
    <r>
      <rPr>
        <sz val="9"/>
        <rFont val="Courier New"/>
        <family val="0"/>
        <charset val="1"/>
      </rPr>
      <t xml:space="preserve">COMMENT ON COLUMN m_supplier.id IS '</t>
    </r>
    <r>
      <rPr>
        <sz val="9"/>
        <rFont val="WenQuanYi Zen Hei"/>
        <family val="2"/>
      </rPr>
      <t xml:space="preserve">仕入先</t>
    </r>
    <r>
      <rPr>
        <sz val="9"/>
        <rFont val="Courier New"/>
        <family val="0"/>
        <charset val="1"/>
      </rPr>
      <t xml:space="preserve">ID';</t>
    </r>
  </si>
  <si>
    <r>
      <rPr>
        <sz val="9"/>
        <rFont val="Courier New"/>
        <family val="0"/>
        <charset val="1"/>
      </rPr>
      <t xml:space="preserve">COMMENT ON COLUMN m_supplier.supplier_code IS '</t>
    </r>
    <r>
      <rPr>
        <sz val="9"/>
        <rFont val="WenQuanYi Zen Hei"/>
        <family val="2"/>
      </rPr>
      <t xml:space="preserve">仕入先コード</t>
    </r>
    <r>
      <rPr>
        <sz val="9"/>
        <rFont val="Courier New"/>
        <family val="0"/>
        <charset val="1"/>
      </rPr>
      <t xml:space="preserve">';</t>
    </r>
  </si>
  <si>
    <r>
      <rPr>
        <sz val="9"/>
        <rFont val="Courier New"/>
        <family val="0"/>
        <charset val="1"/>
      </rPr>
      <t xml:space="preserve">COMMENT ON COLUMN m_supplier.name IS '</t>
    </r>
    <r>
      <rPr>
        <sz val="9"/>
        <rFont val="WenQuanYi Zen Hei"/>
        <family val="2"/>
      </rPr>
      <t xml:space="preserve">仕入先名</t>
    </r>
    <r>
      <rPr>
        <sz val="9"/>
        <rFont val="Courier New"/>
        <family val="0"/>
        <charset val="1"/>
      </rPr>
      <t xml:space="preserve">';</t>
    </r>
  </si>
  <si>
    <r>
      <rPr>
        <sz val="9"/>
        <rFont val="Courier New"/>
        <family val="0"/>
        <charset val="1"/>
      </rPr>
      <t xml:space="preserve">COMMENT ON COLUMN m_supplier.country IS '</t>
    </r>
    <r>
      <rPr>
        <sz val="9"/>
        <rFont val="WenQuanYi Zen Hei"/>
        <family val="2"/>
      </rPr>
      <t xml:space="preserve">国</t>
    </r>
    <r>
      <rPr>
        <sz val="9"/>
        <rFont val="Courier New"/>
        <family val="0"/>
        <charset val="1"/>
      </rPr>
      <t xml:space="preserve">';</t>
    </r>
  </si>
  <si>
    <r>
      <rPr>
        <sz val="9"/>
        <rFont val="Courier New"/>
        <family val="0"/>
        <charset val="1"/>
      </rPr>
      <t xml:space="preserve">COMMENT ON COLUMN m_supplier.address IS '</t>
    </r>
    <r>
      <rPr>
        <sz val="9"/>
        <rFont val="WenQuanYi Zen Hei"/>
        <family val="2"/>
      </rPr>
      <t xml:space="preserve">住所</t>
    </r>
    <r>
      <rPr>
        <sz val="9"/>
        <rFont val="Courier New"/>
        <family val="0"/>
        <charset val="1"/>
      </rPr>
      <t xml:space="preserve">';</t>
    </r>
  </si>
  <si>
    <r>
      <rPr>
        <sz val="9"/>
        <rFont val="Courier New"/>
        <family val="0"/>
        <charset val="1"/>
      </rPr>
      <t xml:space="preserve">COMMENT ON COLUMN m_supplier.contact_name IS '</t>
    </r>
    <r>
      <rPr>
        <sz val="9"/>
        <rFont val="WenQuanYi Zen Hei"/>
        <family val="2"/>
      </rPr>
      <t xml:space="preserve">担当者名</t>
    </r>
    <r>
      <rPr>
        <sz val="9"/>
        <rFont val="Courier New"/>
        <family val="0"/>
        <charset val="1"/>
      </rPr>
      <t xml:space="preserve">';</t>
    </r>
  </si>
  <si>
    <r>
      <rPr>
        <sz val="9"/>
        <rFont val="Courier New"/>
        <family val="0"/>
        <charset val="1"/>
      </rPr>
      <t xml:space="preserve">COMMENT ON COLUMN m_supplier.phone IS '</t>
    </r>
    <r>
      <rPr>
        <sz val="9"/>
        <rFont val="WenQuanYi Zen Hei"/>
        <family val="2"/>
      </rPr>
      <t xml:space="preserve">電話番号</t>
    </r>
    <r>
      <rPr>
        <sz val="9"/>
        <rFont val="Courier New"/>
        <family val="0"/>
        <charset val="1"/>
      </rPr>
      <t xml:space="preserve">';</t>
    </r>
  </si>
  <si>
    <r>
      <rPr>
        <sz val="9"/>
        <rFont val="Courier New"/>
        <family val="0"/>
        <charset val="1"/>
      </rPr>
      <t xml:space="preserve">COMMENT ON COLUMN m_supplier.email IS '</t>
    </r>
    <r>
      <rPr>
        <sz val="9"/>
        <rFont val="WenQuanYi Zen Hei"/>
        <family val="2"/>
      </rPr>
      <t xml:space="preserve">メール</t>
    </r>
    <r>
      <rPr>
        <sz val="9"/>
        <rFont val="Courier New"/>
        <family val="0"/>
        <charset val="1"/>
      </rPr>
      <t xml:space="preserve">';</t>
    </r>
  </si>
  <si>
    <r>
      <rPr>
        <sz val="9"/>
        <rFont val="Courier New"/>
        <family val="0"/>
        <charset val="1"/>
      </rPr>
      <t xml:space="preserve">COMMENT ON COLUMN m_supplier.payment_terms IS '</t>
    </r>
    <r>
      <rPr>
        <sz val="9"/>
        <rFont val="WenQuanYi Zen Hei"/>
        <family val="2"/>
      </rPr>
      <t xml:space="preserve">支払条件</t>
    </r>
    <r>
      <rPr>
        <sz val="9"/>
        <rFont val="Courier New"/>
        <family val="0"/>
        <charset val="1"/>
      </rPr>
      <t xml:space="preserve">';</t>
    </r>
  </si>
  <si>
    <r>
      <rPr>
        <sz val="9"/>
        <rFont val="Courier New"/>
        <family val="0"/>
        <charset val="1"/>
      </rPr>
      <t xml:space="preserve">COMMENT ON COLUMN m_supplier.is_active IS '</t>
    </r>
    <r>
      <rPr>
        <sz val="9"/>
        <rFont val="WenQuanYi Zen Hei"/>
        <family val="2"/>
      </rPr>
      <t xml:space="preserve">有効フラグ</t>
    </r>
    <r>
      <rPr>
        <sz val="9"/>
        <rFont val="Courier New"/>
        <family val="0"/>
        <charset val="1"/>
      </rPr>
      <t xml:space="preserve">';</t>
    </r>
  </si>
  <si>
    <r>
      <rPr>
        <sz val="9"/>
        <rFont val="Courier New"/>
        <family val="0"/>
        <charset val="1"/>
      </rPr>
      <t xml:space="preserve">COMMENT ON COLUMN m_supplier.created_at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</si>
  <si>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m_supplier.created_by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</si>
  <si>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m_supplier.updated_at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</si>
  <si>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m_supplier.updated_by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</si>
  <si>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m_supplier.version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</si>
  <si>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顧客：販売先（請求先）</t>
    </r>
  </si>
  <si>
    <t xml:space="preserve">CREATE TABLE m_customer (</t>
  </si>
  <si>
    <t xml:space="preserve">  customer_code VARCHAR(20) NOT NULL,</t>
  </si>
  <si>
    <t xml:space="preserve">  customer_type VARCHAR(20) NOT NULL,</t>
  </si>
  <si>
    <t xml:space="preserve">  medical_inst_code VARCHAR(20),</t>
  </si>
  <si>
    <t xml:space="preserve">  representative VARCHAR(50),</t>
  </si>
  <si>
    <t xml:space="preserve">  postal_code VARCHAR(8),</t>
  </si>
  <si>
    <t xml:space="preserve">  address VARCHAR(200) NOT NULL,</t>
  </si>
  <si>
    <t xml:space="preserve">  credit_limit NUMERIC(12,0),</t>
  </si>
  <si>
    <r>
      <rPr>
        <sz val="9"/>
        <rFont val="Courier New"/>
        <family val="0"/>
        <charset val="1"/>
      </rPr>
      <t xml:space="preserve">COMMENT ON TABLE m_customer IS '</t>
    </r>
    <r>
      <rPr>
        <sz val="9"/>
        <rFont val="WenQuanYi Zen Hei"/>
        <family val="2"/>
      </rPr>
      <t xml:space="preserve">顧客</t>
    </r>
    <r>
      <rPr>
        <sz val="9"/>
        <rFont val="Courier New"/>
        <family val="0"/>
        <charset val="1"/>
      </rPr>
      <t xml:space="preserve">';</t>
    </r>
  </si>
  <si>
    <r>
      <rPr>
        <sz val="9"/>
        <rFont val="Courier New"/>
        <family val="0"/>
        <charset val="1"/>
      </rPr>
      <t xml:space="preserve">COMMENT ON COLUMN m_customer.id IS '</t>
    </r>
    <r>
      <rPr>
        <sz val="9"/>
        <rFont val="WenQuanYi Zen Hei"/>
        <family val="2"/>
      </rPr>
      <t xml:space="preserve">顧客</t>
    </r>
    <r>
      <rPr>
        <sz val="9"/>
        <rFont val="Courier New"/>
        <family val="0"/>
        <charset val="1"/>
      </rPr>
      <t xml:space="preserve">ID';</t>
    </r>
  </si>
  <si>
    <r>
      <rPr>
        <sz val="9"/>
        <rFont val="Courier New"/>
        <family val="0"/>
        <charset val="1"/>
      </rPr>
      <t xml:space="preserve">COMMENT ON COLUMN m_customer.customer_code IS '</t>
    </r>
    <r>
      <rPr>
        <sz val="9"/>
        <rFont val="WenQuanYi Zen Hei"/>
        <family val="2"/>
      </rPr>
      <t xml:space="preserve">顧客コード</t>
    </r>
    <r>
      <rPr>
        <sz val="9"/>
        <rFont val="Courier New"/>
        <family val="0"/>
        <charset val="1"/>
      </rPr>
      <t xml:space="preserve">';</t>
    </r>
  </si>
  <si>
    <r>
      <rPr>
        <sz val="9"/>
        <rFont val="Courier New"/>
        <family val="0"/>
        <charset val="1"/>
      </rPr>
      <t xml:space="preserve">COMMENT ON COLUMN m_customer.name IS '</t>
    </r>
    <r>
      <rPr>
        <sz val="9"/>
        <rFont val="WenQuanYi Zen Hei"/>
        <family val="2"/>
      </rPr>
      <t xml:space="preserve">顧客名</t>
    </r>
    <r>
      <rPr>
        <sz val="9"/>
        <rFont val="Courier New"/>
        <family val="0"/>
        <charset val="1"/>
      </rPr>
      <t xml:space="preserve">';</t>
    </r>
  </si>
  <si>
    <r>
      <rPr>
        <sz val="9"/>
        <rFont val="Courier New"/>
        <family val="0"/>
        <charset val="1"/>
      </rPr>
      <t xml:space="preserve">COMMENT ON COLUMN m_customer.customer_type IS '</t>
    </r>
    <r>
      <rPr>
        <sz val="9"/>
        <rFont val="WenQuanYi Zen Hei"/>
        <family val="2"/>
      </rPr>
      <t xml:space="preserve">顧客区分</t>
    </r>
    <r>
      <rPr>
        <sz val="9"/>
        <rFont val="Courier New"/>
        <family val="0"/>
        <charset val="1"/>
      </rPr>
      <t xml:space="preserve">';</t>
    </r>
  </si>
  <si>
    <r>
      <rPr>
        <sz val="9"/>
        <rFont val="Courier New"/>
        <family val="0"/>
        <charset val="1"/>
      </rPr>
      <t xml:space="preserve">COMMENT ON COLUMN m_customer.medical_inst_code IS '</t>
    </r>
    <r>
      <rPr>
        <sz val="9"/>
        <rFont val="WenQuanYi Zen Hei"/>
        <family val="2"/>
      </rPr>
      <t xml:space="preserve">医療機関コード</t>
    </r>
    <r>
      <rPr>
        <sz val="9"/>
        <rFont val="Courier New"/>
        <family val="0"/>
        <charset val="1"/>
      </rPr>
      <t xml:space="preserve">';</t>
    </r>
  </si>
  <si>
    <r>
      <rPr>
        <sz val="9"/>
        <rFont val="Courier New"/>
        <family val="0"/>
        <charset val="1"/>
      </rPr>
      <t xml:space="preserve">COMMENT ON COLUMN m_customer.representative IS '</t>
    </r>
    <r>
      <rPr>
        <sz val="9"/>
        <rFont val="WenQuanYi Zen Hei"/>
        <family val="2"/>
      </rPr>
      <t xml:space="preserve">代表者名</t>
    </r>
    <r>
      <rPr>
        <sz val="9"/>
        <rFont val="Courier New"/>
        <family val="0"/>
        <charset val="1"/>
      </rPr>
      <t xml:space="preserve">';</t>
    </r>
  </si>
  <si>
    <r>
      <rPr>
        <sz val="9"/>
        <rFont val="Courier New"/>
        <family val="0"/>
        <charset val="1"/>
      </rPr>
      <t xml:space="preserve">COMMENT ON COLUMN m_customer.contact_name IS '</t>
    </r>
    <r>
      <rPr>
        <sz val="9"/>
        <rFont val="WenQuanYi Zen Hei"/>
        <family val="2"/>
      </rPr>
      <t xml:space="preserve">担当者名</t>
    </r>
    <r>
      <rPr>
        <sz val="9"/>
        <rFont val="Courier New"/>
        <family val="0"/>
        <charset val="1"/>
      </rPr>
      <t xml:space="preserve">';</t>
    </r>
  </si>
  <si>
    <r>
      <rPr>
        <sz val="9"/>
        <rFont val="Courier New"/>
        <family val="0"/>
        <charset val="1"/>
      </rPr>
      <t xml:space="preserve">COMMENT ON COLUMN m_customer.postal_code IS '</t>
    </r>
    <r>
      <rPr>
        <sz val="9"/>
        <rFont val="WenQuanYi Zen Hei"/>
        <family val="2"/>
      </rPr>
      <t xml:space="preserve">郵便番号</t>
    </r>
    <r>
      <rPr>
        <sz val="9"/>
        <rFont val="Courier New"/>
        <family val="0"/>
        <charset val="1"/>
      </rPr>
      <t xml:space="preserve">';</t>
    </r>
  </si>
  <si>
    <r>
      <rPr>
        <sz val="9"/>
        <rFont val="Courier New"/>
        <family val="0"/>
        <charset val="1"/>
      </rPr>
      <t xml:space="preserve">COMMENT ON COLUMN m_customer.address IS '</t>
    </r>
    <r>
      <rPr>
        <sz val="9"/>
        <rFont val="WenQuanYi Zen Hei"/>
        <family val="2"/>
      </rPr>
      <t xml:space="preserve">住所</t>
    </r>
    <r>
      <rPr>
        <sz val="9"/>
        <rFont val="Courier New"/>
        <family val="0"/>
        <charset val="1"/>
      </rPr>
      <t xml:space="preserve">';</t>
    </r>
  </si>
  <si>
    <r>
      <rPr>
        <sz val="9"/>
        <rFont val="Courier New"/>
        <family val="0"/>
        <charset val="1"/>
      </rPr>
      <t xml:space="preserve">COMMENT ON COLUMN m_customer.phone IS '</t>
    </r>
    <r>
      <rPr>
        <sz val="9"/>
        <rFont val="WenQuanYi Zen Hei"/>
        <family val="2"/>
      </rPr>
      <t xml:space="preserve">電話番号</t>
    </r>
    <r>
      <rPr>
        <sz val="9"/>
        <rFont val="Courier New"/>
        <family val="0"/>
        <charset val="1"/>
      </rPr>
      <t xml:space="preserve">';</t>
    </r>
  </si>
  <si>
    <r>
      <rPr>
        <sz val="9"/>
        <rFont val="Courier New"/>
        <family val="0"/>
        <charset val="1"/>
      </rPr>
      <t xml:space="preserve">COMMENT ON COLUMN m_customer.email IS '</t>
    </r>
    <r>
      <rPr>
        <sz val="9"/>
        <rFont val="WenQuanYi Zen Hei"/>
        <family val="2"/>
      </rPr>
      <t xml:space="preserve">メール</t>
    </r>
    <r>
      <rPr>
        <sz val="9"/>
        <rFont val="Courier New"/>
        <family val="0"/>
        <charset val="1"/>
      </rPr>
      <t xml:space="preserve">';</t>
    </r>
  </si>
  <si>
    <r>
      <rPr>
        <sz val="9"/>
        <rFont val="Courier New"/>
        <family val="0"/>
        <charset val="1"/>
      </rPr>
      <t xml:space="preserve">COMMENT ON COLUMN m_customer.credit_limit IS '</t>
    </r>
    <r>
      <rPr>
        <sz val="9"/>
        <rFont val="WenQuanYi Zen Hei"/>
        <family val="2"/>
      </rPr>
      <t xml:space="preserve">与信限度額（円）</t>
    </r>
    <r>
      <rPr>
        <sz val="9"/>
        <rFont val="Courier New"/>
        <family val="0"/>
        <charset val="1"/>
      </rPr>
      <t xml:space="preserve">';</t>
    </r>
  </si>
  <si>
    <r>
      <rPr>
        <sz val="9"/>
        <rFont val="Courier New"/>
        <family val="0"/>
        <charset val="1"/>
      </rPr>
      <t xml:space="preserve">COMMENT ON COLUMN m_customer.is_active IS '</t>
    </r>
    <r>
      <rPr>
        <sz val="9"/>
        <rFont val="WenQuanYi Zen Hei"/>
        <family val="2"/>
      </rPr>
      <t xml:space="preserve">有効フラグ</t>
    </r>
    <r>
      <rPr>
        <sz val="9"/>
        <rFont val="Courier New"/>
        <family val="0"/>
        <charset val="1"/>
      </rPr>
      <t xml:space="preserve">';</t>
    </r>
  </si>
  <si>
    <r>
      <rPr>
        <sz val="9"/>
        <rFont val="Courier New"/>
        <family val="0"/>
        <charset val="1"/>
      </rPr>
      <t xml:space="preserve">COMMENT ON COLUMN m_customer.created_at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</si>
  <si>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m_customer.created_by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</si>
  <si>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m_customer.updated_at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</si>
  <si>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m_customer.updated_by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</si>
  <si>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m_customer.version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</si>
  <si>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保管場所：倉庫・冷凍庫・冷蔵庫等</t>
    </r>
  </si>
  <si>
    <t xml:space="preserve">CREATE TABLE m_location (</t>
  </si>
  <si>
    <t xml:space="preserve">  location_code VARCHAR(20) NOT NULL,</t>
  </si>
  <si>
    <t xml:space="preserve">  storage_class VARCHAR(10) NOT NULL,</t>
  </si>
  <si>
    <t xml:space="preserve">  temp_min NUMERIC(5,1) NOT NULL,</t>
  </si>
  <si>
    <t xml:space="preserve">  temp_max NUMERIC(5,1) NOT NULL,</t>
  </si>
  <si>
    <t xml:space="preserve">  is_quarantine BOOLEAN NOT NULL DEFAULT false,</t>
  </si>
  <si>
    <r>
      <rPr>
        <sz val="9"/>
        <rFont val="Courier New"/>
        <family val="0"/>
        <charset val="1"/>
      </rPr>
      <t xml:space="preserve">COMMENT ON TABLE m_location IS '</t>
    </r>
    <r>
      <rPr>
        <sz val="9"/>
        <rFont val="WenQuanYi Zen Hei"/>
        <family val="2"/>
      </rPr>
      <t xml:space="preserve">保管場所</t>
    </r>
    <r>
      <rPr>
        <sz val="9"/>
        <rFont val="Courier New"/>
        <family val="0"/>
        <charset val="1"/>
      </rPr>
      <t xml:space="preserve">';</t>
    </r>
  </si>
  <si>
    <r>
      <rPr>
        <sz val="9"/>
        <rFont val="Courier New"/>
        <family val="0"/>
        <charset val="1"/>
      </rPr>
      <t xml:space="preserve">COMMENT ON COLUMN m_location.id IS '</t>
    </r>
    <r>
      <rPr>
        <sz val="9"/>
        <rFont val="WenQuanYi Zen Hei"/>
        <family val="2"/>
      </rPr>
      <t xml:space="preserve">保管場所</t>
    </r>
    <r>
      <rPr>
        <sz val="9"/>
        <rFont val="Courier New"/>
        <family val="0"/>
        <charset val="1"/>
      </rPr>
      <t xml:space="preserve">ID';</t>
    </r>
  </si>
  <si>
    <r>
      <rPr>
        <sz val="9"/>
        <rFont val="Courier New"/>
        <family val="0"/>
        <charset val="1"/>
      </rPr>
      <t xml:space="preserve">COMMENT ON COLUMN m_location.location_code IS '</t>
    </r>
    <r>
      <rPr>
        <sz val="9"/>
        <rFont val="WenQuanYi Zen Hei"/>
        <family val="2"/>
      </rPr>
      <t xml:space="preserve">保管場所コード</t>
    </r>
    <r>
      <rPr>
        <sz val="9"/>
        <rFont val="Courier New"/>
        <family val="0"/>
        <charset val="1"/>
      </rPr>
      <t xml:space="preserve">';</t>
    </r>
  </si>
  <si>
    <r>
      <rPr>
        <sz val="9"/>
        <rFont val="Courier New"/>
        <family val="0"/>
        <charset val="1"/>
      </rPr>
      <t xml:space="preserve">COMMENT ON COLUMN m_location.name IS '</t>
    </r>
    <r>
      <rPr>
        <sz val="9"/>
        <rFont val="WenQuanYi Zen Hei"/>
        <family val="2"/>
      </rPr>
      <t xml:space="preserve">保管場所名</t>
    </r>
    <r>
      <rPr>
        <sz val="9"/>
        <rFont val="Courier New"/>
        <family val="0"/>
        <charset val="1"/>
      </rPr>
      <t xml:space="preserve">';</t>
    </r>
  </si>
  <si>
    <r>
      <rPr>
        <sz val="9"/>
        <rFont val="Courier New"/>
        <family val="0"/>
        <charset val="1"/>
      </rPr>
      <t xml:space="preserve">COMMENT ON COLUMN m_location.storage_class IS '</t>
    </r>
    <r>
      <rPr>
        <sz val="9"/>
        <rFont val="WenQuanYi Zen Hei"/>
        <family val="2"/>
      </rPr>
      <t xml:space="preserve">保管温度区分</t>
    </r>
    <r>
      <rPr>
        <sz val="9"/>
        <rFont val="Courier New"/>
        <family val="0"/>
        <charset val="1"/>
      </rPr>
      <t xml:space="preserve">';</t>
    </r>
  </si>
  <si>
    <r>
      <rPr>
        <sz val="9"/>
        <rFont val="Courier New"/>
        <family val="0"/>
        <charset val="1"/>
      </rPr>
      <t xml:space="preserve">COMMENT ON COLUMN m_location.temp_min IS '</t>
    </r>
    <r>
      <rPr>
        <sz val="9"/>
        <rFont val="WenQuanYi Zen Hei"/>
        <family val="2"/>
      </rPr>
      <t xml:space="preserve">許容温度下限（℃）</t>
    </r>
    <r>
      <rPr>
        <sz val="9"/>
        <rFont val="Courier New"/>
        <family val="0"/>
        <charset val="1"/>
      </rPr>
      <t xml:space="preserve">';</t>
    </r>
  </si>
  <si>
    <r>
      <rPr>
        <sz val="9"/>
        <rFont val="Courier New"/>
        <family val="0"/>
        <charset val="1"/>
      </rPr>
      <t xml:space="preserve">COMMENT ON COLUMN m_location.temp_max IS '</t>
    </r>
    <r>
      <rPr>
        <sz val="9"/>
        <rFont val="WenQuanYi Zen Hei"/>
        <family val="2"/>
      </rPr>
      <t xml:space="preserve">許容温度上限（℃）</t>
    </r>
    <r>
      <rPr>
        <sz val="9"/>
        <rFont val="Courier New"/>
        <family val="0"/>
        <charset val="1"/>
      </rPr>
      <t xml:space="preserve">';</t>
    </r>
  </si>
  <si>
    <r>
      <rPr>
        <sz val="9"/>
        <rFont val="Courier New"/>
        <family val="0"/>
        <charset val="1"/>
      </rPr>
      <t xml:space="preserve">COMMENT ON COLUMN m_location.is_quarantine IS '</t>
    </r>
    <r>
      <rPr>
        <sz val="9"/>
        <rFont val="WenQuanYi Zen Hei"/>
        <family val="2"/>
      </rPr>
      <t xml:space="preserve">隔離保管フラグ</t>
    </r>
    <r>
      <rPr>
        <sz val="9"/>
        <rFont val="Courier New"/>
        <family val="0"/>
        <charset val="1"/>
      </rPr>
      <t xml:space="preserve">';</t>
    </r>
  </si>
  <si>
    <r>
      <rPr>
        <sz val="9"/>
        <rFont val="Courier New"/>
        <family val="0"/>
        <charset val="1"/>
      </rPr>
      <t xml:space="preserve">COMMENT ON COLUMN m_location.is_active IS '</t>
    </r>
    <r>
      <rPr>
        <sz val="9"/>
        <rFont val="WenQuanYi Zen Hei"/>
        <family val="2"/>
      </rPr>
      <t xml:space="preserve">有効フラグ</t>
    </r>
    <r>
      <rPr>
        <sz val="9"/>
        <rFont val="Courier New"/>
        <family val="0"/>
        <charset val="1"/>
      </rPr>
      <t xml:space="preserve">';</t>
    </r>
  </si>
  <si>
    <r>
      <rPr>
        <sz val="9"/>
        <rFont val="Courier New"/>
        <family val="0"/>
        <charset val="1"/>
      </rPr>
      <t xml:space="preserve">COMMENT ON COLUMN m_location.created_at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</si>
  <si>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m_location.created_by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</si>
  <si>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m_location.updated_at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</si>
  <si>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m_location.updated_by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</si>
  <si>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m_location.version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</si>
  <si>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販売可否ルール：規制区分</t>
    </r>
    <r>
      <rPr>
        <sz val="9"/>
        <rFont val="Courier New"/>
        <family val="0"/>
        <charset val="1"/>
      </rPr>
      <t xml:space="preserve">×</t>
    </r>
    <r>
      <rPr>
        <sz val="9"/>
        <rFont val="WenQuanYi Zen Hei"/>
        <family val="2"/>
      </rPr>
      <t xml:space="preserve">顧客区分の販売可否</t>
    </r>
  </si>
  <si>
    <t xml:space="preserve">CREATE TABLE m_sales_rule (</t>
  </si>
  <si>
    <t xml:space="preserve">  regulatory_class VARCHAR(20) NOT NULL,</t>
  </si>
  <si>
    <t xml:space="preserve">  allowed BOOLEAN NOT NULL DEFAULT false,</t>
  </si>
  <si>
    <r>
      <rPr>
        <sz val="9"/>
        <rFont val="Courier New"/>
        <family val="0"/>
        <charset val="1"/>
      </rPr>
      <t xml:space="preserve">COMMENT ON TABLE m_sales_rule IS '</t>
    </r>
    <r>
      <rPr>
        <sz val="9"/>
        <rFont val="WenQuanYi Zen Hei"/>
        <family val="2"/>
      </rPr>
      <t xml:space="preserve">販売可否ルール</t>
    </r>
    <r>
      <rPr>
        <sz val="9"/>
        <rFont val="Courier New"/>
        <family val="0"/>
        <charset val="1"/>
      </rPr>
      <t xml:space="preserve">';</t>
    </r>
  </si>
  <si>
    <r>
      <rPr>
        <sz val="9"/>
        <rFont val="Courier New"/>
        <family val="0"/>
        <charset val="1"/>
      </rPr>
      <t xml:space="preserve">COMMENT ON COLUMN m_sales_rule.id IS '</t>
    </r>
    <r>
      <rPr>
        <sz val="9"/>
        <rFont val="WenQuanYi Zen Hei"/>
        <family val="2"/>
      </rPr>
      <t xml:space="preserve">ルール</t>
    </r>
    <r>
      <rPr>
        <sz val="9"/>
        <rFont val="Courier New"/>
        <family val="0"/>
        <charset val="1"/>
      </rPr>
      <t xml:space="preserve">ID';</t>
    </r>
  </si>
  <si>
    <r>
      <rPr>
        <sz val="9"/>
        <rFont val="Courier New"/>
        <family val="0"/>
        <charset val="1"/>
      </rPr>
      <t xml:space="preserve">COMMENT ON COLUMN m_sales_rule.regulatory_class IS '</t>
    </r>
    <r>
      <rPr>
        <sz val="9"/>
        <rFont val="WenQuanYi Zen Hei"/>
        <family val="2"/>
      </rPr>
      <t xml:space="preserve">規制区分</t>
    </r>
    <r>
      <rPr>
        <sz val="9"/>
        <rFont val="Courier New"/>
        <family val="0"/>
        <charset val="1"/>
      </rPr>
      <t xml:space="preserve">';</t>
    </r>
  </si>
  <si>
    <r>
      <rPr>
        <sz val="9"/>
        <rFont val="Courier New"/>
        <family val="0"/>
        <charset val="1"/>
      </rPr>
      <t xml:space="preserve">COMMENT ON COLUMN m_sales_rule.customer_type IS '</t>
    </r>
    <r>
      <rPr>
        <sz val="9"/>
        <rFont val="WenQuanYi Zen Hei"/>
        <family val="2"/>
      </rPr>
      <t xml:space="preserve">顧客区分</t>
    </r>
    <r>
      <rPr>
        <sz val="9"/>
        <rFont val="Courier New"/>
        <family val="0"/>
        <charset val="1"/>
      </rPr>
      <t xml:space="preserve">';</t>
    </r>
  </si>
  <si>
    <r>
      <rPr>
        <sz val="9"/>
        <rFont val="Courier New"/>
        <family val="0"/>
        <charset val="1"/>
      </rPr>
      <t xml:space="preserve">COMMENT ON COLUMN m_sales_rule.allowed IS '</t>
    </r>
    <r>
      <rPr>
        <sz val="9"/>
        <rFont val="WenQuanYi Zen Hei"/>
        <family val="2"/>
      </rPr>
      <t xml:space="preserve">販売可否</t>
    </r>
    <r>
      <rPr>
        <sz val="9"/>
        <rFont val="Courier New"/>
        <family val="0"/>
        <charset val="1"/>
      </rPr>
      <t xml:space="preserve">';</t>
    </r>
  </si>
  <si>
    <r>
      <rPr>
        <sz val="9"/>
        <rFont val="Courier New"/>
        <family val="0"/>
        <charset val="1"/>
      </rPr>
      <t xml:space="preserve">COMMENT ON COLUMN m_sales_rule.created_at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</si>
  <si>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m_sales_rule.created_by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</si>
  <si>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m_sales_rule.updated_at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</si>
  <si>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m_sales_rule.updated_by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</si>
  <si>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m_sales_rule.version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</si>
  <si>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回収案件：回収（リコール）案件</t>
    </r>
  </si>
  <si>
    <t xml:space="preserve">CREATE TABLE t_recall (</t>
  </si>
  <si>
    <t xml:space="preserve">  recall_no VARCHAR(20) NOT NULL,</t>
  </si>
  <si>
    <t xml:space="preserve">  title VARCHAR(100) NOT NULL,</t>
  </si>
  <si>
    <t xml:space="preserve">  reason TEXT NOT NULL,</t>
  </si>
  <si>
    <t xml:space="preserve">  severity VARCHAR(10) NOT NULL,</t>
  </si>
  <si>
    <t xml:space="preserve">  started_on DATE NOT NULL,</t>
  </si>
  <si>
    <t xml:space="preserve">  closed_on DATE,</t>
  </si>
  <si>
    <t xml:space="preserve">  status VARCHAR(20) NOT NULL DEFAULT 'OPEN',</t>
  </si>
  <si>
    <r>
      <rPr>
        <sz val="9"/>
        <rFont val="Courier New"/>
        <family val="0"/>
        <charset val="1"/>
      </rPr>
      <t xml:space="preserve">COMMENT ON TABLE t_recall IS '</t>
    </r>
    <r>
      <rPr>
        <sz val="9"/>
        <rFont val="WenQuanYi Zen Hei"/>
        <family val="2"/>
      </rPr>
      <t xml:space="preserve">回収案件</t>
    </r>
    <r>
      <rPr>
        <sz val="9"/>
        <rFont val="Courier New"/>
        <family val="0"/>
        <charset val="1"/>
      </rPr>
      <t xml:space="preserve">';</t>
    </r>
  </si>
  <si>
    <r>
      <rPr>
        <sz val="9"/>
        <rFont val="Courier New"/>
        <family val="0"/>
        <charset val="1"/>
      </rPr>
      <t xml:space="preserve">COMMENT ON COLUMN t_recall.id IS '</t>
    </r>
    <r>
      <rPr>
        <sz val="9"/>
        <rFont val="WenQuanYi Zen Hei"/>
        <family val="2"/>
      </rPr>
      <t xml:space="preserve">回収案件</t>
    </r>
    <r>
      <rPr>
        <sz val="9"/>
        <rFont val="Courier New"/>
        <family val="0"/>
        <charset val="1"/>
      </rPr>
      <t xml:space="preserve">ID';</t>
    </r>
  </si>
  <si>
    <r>
      <rPr>
        <sz val="9"/>
        <rFont val="Courier New"/>
        <family val="0"/>
        <charset val="1"/>
      </rPr>
      <t xml:space="preserve">COMMENT ON COLUMN t_recall.recall_no IS '</t>
    </r>
    <r>
      <rPr>
        <sz val="9"/>
        <rFont val="WenQuanYi Zen Hei"/>
        <family val="2"/>
      </rPr>
      <t xml:space="preserve">回収番号</t>
    </r>
    <r>
      <rPr>
        <sz val="9"/>
        <rFont val="Courier New"/>
        <family val="0"/>
        <charset val="1"/>
      </rPr>
      <t xml:space="preserve">';</t>
    </r>
  </si>
  <si>
    <r>
      <rPr>
        <sz val="9"/>
        <rFont val="Courier New"/>
        <family val="0"/>
        <charset val="1"/>
      </rPr>
      <t xml:space="preserve">COMMENT ON COLUMN t_recall.title IS '</t>
    </r>
    <r>
      <rPr>
        <sz val="9"/>
        <rFont val="WenQuanYi Zen Hei"/>
        <family val="2"/>
      </rPr>
      <t xml:space="preserve">件名</t>
    </r>
    <r>
      <rPr>
        <sz val="9"/>
        <rFont val="Courier New"/>
        <family val="0"/>
        <charset val="1"/>
      </rPr>
      <t xml:space="preserve">';</t>
    </r>
  </si>
  <si>
    <r>
      <rPr>
        <sz val="9"/>
        <rFont val="Courier New"/>
        <family val="0"/>
        <charset val="1"/>
      </rPr>
      <t xml:space="preserve">COMMENT ON COLUMN t_recall.reason IS '</t>
    </r>
    <r>
      <rPr>
        <sz val="9"/>
        <rFont val="WenQuanYi Zen Hei"/>
        <family val="2"/>
      </rPr>
      <t xml:space="preserve">回収理由</t>
    </r>
    <r>
      <rPr>
        <sz val="9"/>
        <rFont val="Courier New"/>
        <family val="0"/>
        <charset val="1"/>
      </rPr>
      <t xml:space="preserve">';</t>
    </r>
  </si>
  <si>
    <r>
      <rPr>
        <sz val="9"/>
        <rFont val="Courier New"/>
        <family val="0"/>
        <charset val="1"/>
      </rPr>
      <t xml:space="preserve">COMMENT ON COLUMN t_recall.severity IS '</t>
    </r>
    <r>
      <rPr>
        <sz val="9"/>
        <rFont val="WenQuanYi Zen Hei"/>
        <family val="2"/>
      </rPr>
      <t xml:space="preserve">重大度</t>
    </r>
    <r>
      <rPr>
        <sz val="9"/>
        <rFont val="Courier New"/>
        <family val="0"/>
        <charset val="1"/>
      </rPr>
      <t xml:space="preserve">';</t>
    </r>
  </si>
  <si>
    <r>
      <rPr>
        <sz val="9"/>
        <rFont val="Courier New"/>
        <family val="0"/>
        <charset val="1"/>
      </rPr>
      <t xml:space="preserve">COMMENT ON COLUMN t_recall.started_on IS '</t>
    </r>
    <r>
      <rPr>
        <sz val="9"/>
        <rFont val="WenQuanYi Zen Hei"/>
        <family val="2"/>
      </rPr>
      <t xml:space="preserve">開始日</t>
    </r>
    <r>
      <rPr>
        <sz val="9"/>
        <rFont val="Courier New"/>
        <family val="0"/>
        <charset val="1"/>
      </rPr>
      <t xml:space="preserve">';</t>
    </r>
  </si>
  <si>
    <r>
      <rPr>
        <sz val="9"/>
        <rFont val="Courier New"/>
        <family val="0"/>
        <charset val="1"/>
      </rPr>
      <t xml:space="preserve">COMMENT ON COLUMN t_recall.closed_on IS '</t>
    </r>
    <r>
      <rPr>
        <sz val="9"/>
        <rFont val="WenQuanYi Zen Hei"/>
        <family val="2"/>
      </rPr>
      <t xml:space="preserve">完了日</t>
    </r>
    <r>
      <rPr>
        <sz val="9"/>
        <rFont val="Courier New"/>
        <family val="0"/>
        <charset val="1"/>
      </rPr>
      <t xml:space="preserve">';</t>
    </r>
  </si>
  <si>
    <r>
      <rPr>
        <sz val="9"/>
        <rFont val="Courier New"/>
        <family val="0"/>
        <charset val="1"/>
      </rPr>
      <t xml:space="preserve">COMMENT ON COLUMN t_recall.status IS '</t>
    </r>
    <r>
      <rPr>
        <sz val="9"/>
        <rFont val="WenQuanYi Zen Hei"/>
        <family val="2"/>
      </rPr>
      <t xml:space="preserve">ステータス</t>
    </r>
    <r>
      <rPr>
        <sz val="9"/>
        <rFont val="Courier New"/>
        <family val="0"/>
        <charset val="1"/>
      </rPr>
      <t xml:space="preserve">';</t>
    </r>
  </si>
  <si>
    <r>
      <rPr>
        <sz val="9"/>
        <rFont val="Courier New"/>
        <family val="0"/>
        <charset val="1"/>
      </rPr>
      <t xml:space="preserve">COMMENT ON COLUMN t_recall.created_at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</si>
  <si>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t_recall.created_by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</si>
  <si>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t_recall.updated_at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</si>
  <si>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t_recall.updated_by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</si>
  <si>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t_recall.version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</si>
  <si>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添付ファイル：</t>
    </r>
    <r>
      <rPr>
        <sz val="9"/>
        <rFont val="Courier New"/>
        <family val="0"/>
        <charset val="1"/>
      </rPr>
      <t xml:space="preserve">COA</t>
    </r>
    <r>
      <rPr>
        <sz val="9"/>
        <rFont val="WenQuanYi Zen Hei"/>
        <family val="2"/>
      </rPr>
      <t xml:space="preserve">・輸入書類等</t>
    </r>
  </si>
  <si>
    <t xml:space="preserve">CREATE TABLE t_attachment (</t>
  </si>
  <si>
    <t xml:space="preserve">  owner_type VARCHAR(30) NOT NULL,</t>
  </si>
  <si>
    <t xml:space="preserve">  owner_id BIGINT NOT NULL,</t>
  </si>
  <si>
    <t xml:space="preserve">  doc_type VARCHAR(20) NOT NULL,</t>
  </si>
  <si>
    <t xml:space="preserve">  file_name VARCHAR(255) NOT NULL,</t>
  </si>
  <si>
    <t xml:space="preserve">  storage_key VARCHAR(500) NOT NULL,</t>
  </si>
  <si>
    <t xml:space="preserve">  sha256 CHAR(64) NOT NULL,</t>
  </si>
  <si>
    <r>
      <rPr>
        <sz val="9"/>
        <rFont val="Courier New"/>
        <family val="0"/>
        <charset val="1"/>
      </rPr>
      <t xml:space="preserve">COMMENT ON TABLE t_attachment IS '</t>
    </r>
    <r>
      <rPr>
        <sz val="9"/>
        <rFont val="WenQuanYi Zen Hei"/>
        <family val="2"/>
      </rPr>
      <t xml:space="preserve">添付ファイル</t>
    </r>
    <r>
      <rPr>
        <sz val="9"/>
        <rFont val="Courier New"/>
        <family val="0"/>
        <charset val="1"/>
      </rPr>
      <t xml:space="preserve">';</t>
    </r>
  </si>
  <si>
    <r>
      <rPr>
        <sz val="9"/>
        <rFont val="Courier New"/>
        <family val="0"/>
        <charset val="1"/>
      </rPr>
      <t xml:space="preserve">COMMENT ON COLUMN t_attachment.id IS '</t>
    </r>
    <r>
      <rPr>
        <sz val="9"/>
        <rFont val="WenQuanYi Zen Hei"/>
        <family val="2"/>
      </rPr>
      <t xml:space="preserve">添付</t>
    </r>
    <r>
      <rPr>
        <sz val="9"/>
        <rFont val="Courier New"/>
        <family val="0"/>
        <charset val="1"/>
      </rPr>
      <t xml:space="preserve">ID';</t>
    </r>
  </si>
  <si>
    <r>
      <rPr>
        <sz val="9"/>
        <rFont val="Courier New"/>
        <family val="0"/>
        <charset val="1"/>
      </rPr>
      <t xml:space="preserve">COMMENT ON COLUMN t_attachment.owner_type IS '</t>
    </r>
    <r>
      <rPr>
        <sz val="9"/>
        <rFont val="WenQuanYi Zen Hei"/>
        <family val="2"/>
      </rPr>
      <t xml:space="preserve">所属種別</t>
    </r>
    <r>
      <rPr>
        <sz val="9"/>
        <rFont val="Courier New"/>
        <family val="0"/>
        <charset val="1"/>
      </rPr>
      <t xml:space="preserve">';</t>
    </r>
  </si>
  <si>
    <r>
      <rPr>
        <sz val="9"/>
        <rFont val="Courier New"/>
        <family val="0"/>
        <charset val="1"/>
      </rPr>
      <t xml:space="preserve">COMMENT ON COLUMN t_attachment.owner_id IS '</t>
    </r>
    <r>
      <rPr>
        <sz val="9"/>
        <rFont val="WenQuanYi Zen Hei"/>
        <family val="2"/>
      </rPr>
      <t xml:space="preserve">所属</t>
    </r>
    <r>
      <rPr>
        <sz val="9"/>
        <rFont val="Courier New"/>
        <family val="0"/>
        <charset val="1"/>
      </rPr>
      <t xml:space="preserve">ID';</t>
    </r>
  </si>
  <si>
    <r>
      <rPr>
        <sz val="9"/>
        <rFont val="Courier New"/>
        <family val="0"/>
        <charset val="1"/>
      </rPr>
      <t xml:space="preserve">COMMENT ON COLUMN t_attachment.doc_type IS '</t>
    </r>
    <r>
      <rPr>
        <sz val="9"/>
        <rFont val="WenQuanYi Zen Hei"/>
        <family val="2"/>
      </rPr>
      <t xml:space="preserve">書類種別</t>
    </r>
    <r>
      <rPr>
        <sz val="9"/>
        <rFont val="Courier New"/>
        <family val="0"/>
        <charset val="1"/>
      </rPr>
      <t xml:space="preserve">';</t>
    </r>
  </si>
  <si>
    <r>
      <rPr>
        <sz val="9"/>
        <rFont val="Courier New"/>
        <family val="0"/>
        <charset val="1"/>
      </rPr>
      <t xml:space="preserve">COMMENT ON COLUMN t_attachment.file_name IS '</t>
    </r>
    <r>
      <rPr>
        <sz val="9"/>
        <rFont val="WenQuanYi Zen Hei"/>
        <family val="2"/>
      </rPr>
      <t xml:space="preserve">ファイル名</t>
    </r>
    <r>
      <rPr>
        <sz val="9"/>
        <rFont val="Courier New"/>
        <family val="0"/>
        <charset val="1"/>
      </rPr>
      <t xml:space="preserve">';</t>
    </r>
  </si>
  <si>
    <r>
      <rPr>
        <sz val="9"/>
        <rFont val="Courier New"/>
        <family val="0"/>
        <charset val="1"/>
      </rPr>
      <t xml:space="preserve">COMMENT ON COLUMN t_attachment.storage_key IS '</t>
    </r>
    <r>
      <rPr>
        <sz val="9"/>
        <rFont val="WenQuanYi Zen Hei"/>
        <family val="2"/>
      </rPr>
      <t xml:space="preserve">保存先キー</t>
    </r>
    <r>
      <rPr>
        <sz val="9"/>
        <rFont val="Courier New"/>
        <family val="0"/>
        <charset val="1"/>
      </rPr>
      <t xml:space="preserve">';</t>
    </r>
  </si>
  <si>
    <r>
      <rPr>
        <sz val="9"/>
        <rFont val="Courier New"/>
        <family val="0"/>
        <charset val="1"/>
      </rPr>
      <t xml:space="preserve">COMMENT ON COLUMN t_attachment.sha256 IS '</t>
    </r>
    <r>
      <rPr>
        <sz val="9"/>
        <rFont val="WenQuanYi Zen Hei"/>
        <family val="2"/>
      </rPr>
      <t xml:space="preserve">ハッシュ値</t>
    </r>
    <r>
      <rPr>
        <sz val="9"/>
        <rFont val="Courier New"/>
        <family val="0"/>
        <charset val="1"/>
      </rPr>
      <t xml:space="preserve">';</t>
    </r>
  </si>
  <si>
    <r>
      <rPr>
        <sz val="9"/>
        <rFont val="Courier New"/>
        <family val="0"/>
        <charset val="1"/>
      </rPr>
      <t xml:space="preserve">COMMENT ON COLUMN t_attachment.created_at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</si>
  <si>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t_attachment.created_by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</si>
  <si>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t_attachment.updated_at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</si>
  <si>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t_attachment.updated_by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</si>
  <si>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t_attachment.version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</si>
  <si>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監査ログ：操作履歴（追記のみ）</t>
    </r>
  </si>
  <si>
    <t xml:space="preserve">CREATE TABLE t_audit_log (</t>
  </si>
  <si>
    <t xml:space="preserve">  occurred_at TIMESTAMPTZ NOT NULL,</t>
  </si>
  <si>
    <t xml:space="preserve">  user_id BIGINT REFERENCES m_user(id),</t>
  </si>
  <si>
    <t xml:space="preserve">  action VARCHAR(20) NOT NULL,</t>
  </si>
  <si>
    <t xml:space="preserve">  target_table VARCHAR(50),</t>
  </si>
  <si>
    <t xml:space="preserve">  target_id BIGINT,</t>
  </si>
  <si>
    <t xml:space="preserve">  before_json JSONB,</t>
  </si>
  <si>
    <t xml:space="preserve">  after_json JSONB,</t>
  </si>
  <si>
    <t xml:space="preserve">  ip_address VARCHAR(45),</t>
  </si>
  <si>
    <t xml:space="preserve">  created_by BIGINT NOT NULL REFERENCES m_user(id)</t>
  </si>
  <si>
    <r>
      <rPr>
        <sz val="9"/>
        <rFont val="Courier New"/>
        <family val="0"/>
        <charset val="1"/>
      </rPr>
      <t xml:space="preserve">COMMENT ON TABLE t_audit_log IS '</t>
    </r>
    <r>
      <rPr>
        <sz val="9"/>
        <rFont val="WenQuanYi Zen Hei"/>
        <family val="2"/>
      </rPr>
      <t xml:space="preserve">監査ログ</t>
    </r>
    <r>
      <rPr>
        <sz val="9"/>
        <rFont val="Courier New"/>
        <family val="0"/>
        <charset val="1"/>
      </rPr>
      <t xml:space="preserve">';</t>
    </r>
  </si>
  <si>
    <t xml:space="preserve">COMMENT ON COLUMN t_audit_log.id IS 'ID';</t>
  </si>
  <si>
    <r>
      <rPr>
        <sz val="9"/>
        <rFont val="Courier New"/>
        <family val="0"/>
        <charset val="1"/>
      </rPr>
      <t xml:space="preserve">COMMENT ON COLUMN t_audit_log.occurred_at IS '</t>
    </r>
    <r>
      <rPr>
        <sz val="9"/>
        <rFont val="WenQuanYi Zen Hei"/>
        <family val="2"/>
      </rPr>
      <t xml:space="preserve">発生日時</t>
    </r>
    <r>
      <rPr>
        <sz val="9"/>
        <rFont val="Courier New"/>
        <family val="0"/>
        <charset val="1"/>
      </rPr>
      <t xml:space="preserve">';</t>
    </r>
  </si>
  <si>
    <r>
      <rPr>
        <sz val="9"/>
        <rFont val="Courier New"/>
        <family val="0"/>
        <charset val="1"/>
      </rPr>
      <t xml:space="preserve">COMMENT ON COLUMN t_audit_log.user_id IS '</t>
    </r>
    <r>
      <rPr>
        <sz val="9"/>
        <rFont val="WenQuanYi Zen Hei"/>
        <family val="2"/>
      </rPr>
      <t xml:space="preserve">ユーザー</t>
    </r>
    <r>
      <rPr>
        <sz val="9"/>
        <rFont val="Courier New"/>
        <family val="0"/>
        <charset val="1"/>
      </rPr>
      <t xml:space="preserve">ID';</t>
    </r>
  </si>
  <si>
    <r>
      <rPr>
        <sz val="9"/>
        <rFont val="Courier New"/>
        <family val="0"/>
        <charset val="1"/>
      </rPr>
      <t xml:space="preserve">COMMENT ON COLUMN t_audit_log.action IS '</t>
    </r>
    <r>
      <rPr>
        <sz val="9"/>
        <rFont val="WenQuanYi Zen Hei"/>
        <family val="2"/>
      </rPr>
      <t xml:space="preserve">操作</t>
    </r>
    <r>
      <rPr>
        <sz val="9"/>
        <rFont val="Courier New"/>
        <family val="0"/>
        <charset val="1"/>
      </rPr>
      <t xml:space="preserve">';</t>
    </r>
  </si>
  <si>
    <r>
      <rPr>
        <sz val="9"/>
        <rFont val="Courier New"/>
        <family val="0"/>
        <charset val="1"/>
      </rPr>
      <t xml:space="preserve">COMMENT ON COLUMN t_audit_log.target_table IS '</t>
    </r>
    <r>
      <rPr>
        <sz val="9"/>
        <rFont val="WenQuanYi Zen Hei"/>
        <family val="2"/>
      </rPr>
      <t xml:space="preserve">対象テーブル</t>
    </r>
    <r>
      <rPr>
        <sz val="9"/>
        <rFont val="Courier New"/>
        <family val="0"/>
        <charset val="1"/>
      </rPr>
      <t xml:space="preserve">';</t>
    </r>
  </si>
  <si>
    <r>
      <rPr>
        <sz val="9"/>
        <rFont val="Courier New"/>
        <family val="0"/>
        <charset val="1"/>
      </rPr>
      <t xml:space="preserve">COMMENT ON COLUMN t_audit_log.target_id IS '</t>
    </r>
    <r>
      <rPr>
        <sz val="9"/>
        <rFont val="WenQuanYi Zen Hei"/>
        <family val="2"/>
      </rPr>
      <t xml:space="preserve">対象</t>
    </r>
    <r>
      <rPr>
        <sz val="9"/>
        <rFont val="Courier New"/>
        <family val="0"/>
        <charset val="1"/>
      </rPr>
      <t xml:space="preserve">ID';</t>
    </r>
  </si>
  <si>
    <r>
      <rPr>
        <sz val="9"/>
        <rFont val="Courier New"/>
        <family val="0"/>
        <charset val="1"/>
      </rPr>
      <t xml:space="preserve">COMMENT ON COLUMN t_audit_log.before_json IS '</t>
    </r>
    <r>
      <rPr>
        <sz val="9"/>
        <rFont val="WenQuanYi Zen Hei"/>
        <family val="2"/>
      </rPr>
      <t xml:space="preserve">変更前</t>
    </r>
    <r>
      <rPr>
        <sz val="9"/>
        <rFont val="Courier New"/>
        <family val="0"/>
        <charset val="1"/>
      </rPr>
      <t xml:space="preserve">';</t>
    </r>
  </si>
  <si>
    <r>
      <rPr>
        <sz val="9"/>
        <rFont val="Courier New"/>
        <family val="0"/>
        <charset val="1"/>
      </rPr>
      <t xml:space="preserve">COMMENT ON COLUMN t_audit_log.after_json IS '</t>
    </r>
    <r>
      <rPr>
        <sz val="9"/>
        <rFont val="WenQuanYi Zen Hei"/>
        <family val="2"/>
      </rPr>
      <t xml:space="preserve">変更後</t>
    </r>
    <r>
      <rPr>
        <sz val="9"/>
        <rFont val="Courier New"/>
        <family val="0"/>
        <charset val="1"/>
      </rPr>
      <t xml:space="preserve">';</t>
    </r>
  </si>
  <si>
    <r>
      <rPr>
        <sz val="9"/>
        <rFont val="Courier New"/>
        <family val="0"/>
        <charset val="1"/>
      </rPr>
      <t xml:space="preserve">COMMENT ON COLUMN t_audit_log.ip_address IS 'IP</t>
    </r>
    <r>
      <rPr>
        <sz val="9"/>
        <rFont val="WenQuanYi Zen Hei"/>
        <family val="2"/>
      </rPr>
      <t xml:space="preserve">アドレス</t>
    </r>
    <r>
      <rPr>
        <sz val="9"/>
        <rFont val="Courier New"/>
        <family val="0"/>
        <charset val="1"/>
      </rPr>
      <t xml:space="preserve">';</t>
    </r>
  </si>
  <si>
    <r>
      <rPr>
        <sz val="9"/>
        <rFont val="Courier New"/>
        <family val="0"/>
        <charset val="1"/>
      </rPr>
      <t xml:space="preserve">COMMENT ON COLUMN t_audit_log.created_at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</si>
  <si>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t_audit_log.created_by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</si>
  <si>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 </t>
    </r>
    <r>
      <rPr>
        <sz val="9"/>
        <rFont val="WenQuanYi Zen Hei"/>
        <family val="2"/>
      </rPr>
      <t xml:space="preserve">商品：エクソソーム製品・原料</t>
    </r>
  </si>
  <si>
    <t xml:space="preserve">CREATE TABLE m_product (</t>
  </si>
  <si>
    <t xml:space="preserve">  product_code VARCHAR(20) NOT NULL,</t>
  </si>
  <si>
    <t xml:space="preserve">  supplier_id BIGINT REFERENCES m_supplier(id),</t>
  </si>
  <si>
    <t xml:space="preserve">  source_type VARCHAR(20) NOT NULL,</t>
  </si>
  <si>
    <t xml:space="preserve">  form VARCHAR(20) NOT NULL,</t>
  </si>
  <si>
    <t xml:space="preserve">  particle_conc NUMERIC(20,0),</t>
  </si>
  <si>
    <t xml:space="preserve">  volume_ml NUMERIC(8,2),</t>
  </si>
  <si>
    <r>
      <rPr>
        <sz val="9"/>
        <rFont val="Courier New"/>
        <family val="0"/>
        <charset val="1"/>
      </rPr>
      <t xml:space="preserve">  unit VARCHAR(10) NOT NULL DEFAULT '</t>
    </r>
    <r>
      <rPr>
        <sz val="9"/>
        <rFont val="WenQuanYi Zen Hei"/>
        <family val="2"/>
      </rPr>
      <t xml:space="preserve">本</t>
    </r>
    <r>
      <rPr>
        <sz val="9"/>
        <rFont val="Courier New"/>
        <family val="0"/>
        <charset val="1"/>
      </rPr>
      <t xml:space="preserve">',</t>
    </r>
  </si>
  <si>
    <t xml:space="preserve">  shelf_life_days INTEGER NOT NULL,</t>
  </si>
  <si>
    <t xml:space="preserve">  min_remaining_days INTEGER NOT NULL DEFAULT 90,</t>
  </si>
  <si>
    <t xml:space="preserve">  standard_cost NUMERIC(12,2),</t>
  </si>
  <si>
    <t xml:space="preserve">  list_price NUMERIC(12,2),</t>
  </si>
  <si>
    <t xml:space="preserve">  reorder_point INTEGER DEFAULT 0,</t>
  </si>
  <si>
    <r>
      <rPr>
        <sz val="9"/>
        <rFont val="Courier New"/>
        <family val="0"/>
        <charset val="1"/>
      </rPr>
      <t xml:space="preserve">COMMENT ON TABLE m_product IS '</t>
    </r>
    <r>
      <rPr>
        <sz val="9"/>
        <rFont val="WenQuanYi Zen Hei"/>
        <family val="2"/>
      </rPr>
      <t xml:space="preserve">商品</t>
    </r>
    <r>
      <rPr>
        <sz val="9"/>
        <rFont val="Courier New"/>
        <family val="0"/>
        <charset val="1"/>
      </rPr>
      <t xml:space="preserve">';</t>
    </r>
  </si>
  <si>
    <r>
      <rPr>
        <sz val="9"/>
        <rFont val="Courier New"/>
        <family val="0"/>
        <charset val="1"/>
      </rPr>
      <t xml:space="preserve">COMMENT ON COLUMN m_product.id IS '</t>
    </r>
    <r>
      <rPr>
        <sz val="9"/>
        <rFont val="WenQuanYi Zen Hei"/>
        <family val="2"/>
      </rPr>
      <t xml:space="preserve">商品</t>
    </r>
    <r>
      <rPr>
        <sz val="9"/>
        <rFont val="Courier New"/>
        <family val="0"/>
        <charset val="1"/>
      </rPr>
      <t xml:space="preserve">ID';</t>
    </r>
  </si>
  <si>
    <r>
      <rPr>
        <sz val="9"/>
        <rFont val="Courier New"/>
        <family val="0"/>
        <charset val="1"/>
      </rPr>
      <t xml:space="preserve">COMMENT ON COLUMN m_product.product_code IS '</t>
    </r>
    <r>
      <rPr>
        <sz val="9"/>
        <rFont val="WenQuanYi Zen Hei"/>
        <family val="2"/>
      </rPr>
      <t xml:space="preserve">商品コード</t>
    </r>
    <r>
      <rPr>
        <sz val="9"/>
        <rFont val="Courier New"/>
        <family val="0"/>
        <charset val="1"/>
      </rPr>
      <t xml:space="preserve">';</t>
    </r>
  </si>
  <si>
    <r>
      <rPr>
        <sz val="9"/>
        <rFont val="Courier New"/>
        <family val="0"/>
        <charset val="1"/>
      </rPr>
      <t xml:space="preserve">COMMENT ON COLUMN m_product.name IS '</t>
    </r>
    <r>
      <rPr>
        <sz val="9"/>
        <rFont val="WenQuanYi Zen Hei"/>
        <family val="2"/>
      </rPr>
      <t xml:space="preserve">商品名</t>
    </r>
    <r>
      <rPr>
        <sz val="9"/>
        <rFont val="Courier New"/>
        <family val="0"/>
        <charset val="1"/>
      </rPr>
      <t xml:space="preserve">';</t>
    </r>
  </si>
  <si>
    <r>
      <rPr>
        <sz val="9"/>
        <rFont val="Courier New"/>
        <family val="0"/>
        <charset val="1"/>
      </rPr>
      <t xml:space="preserve">COMMENT ON COLUMN m_product.supplier_id IS '</t>
    </r>
    <r>
      <rPr>
        <sz val="9"/>
        <rFont val="WenQuanYi Zen Hei"/>
        <family val="2"/>
      </rPr>
      <t xml:space="preserve">主仕入先</t>
    </r>
    <r>
      <rPr>
        <sz val="9"/>
        <rFont val="Courier New"/>
        <family val="0"/>
        <charset val="1"/>
      </rPr>
      <t xml:space="preserve">ID';</t>
    </r>
  </si>
  <si>
    <r>
      <rPr>
        <sz val="9"/>
        <rFont val="Courier New"/>
        <family val="0"/>
        <charset val="1"/>
      </rPr>
      <t xml:space="preserve">COMMENT ON COLUMN m_product.source_type IS '</t>
    </r>
    <r>
      <rPr>
        <sz val="9"/>
        <rFont val="WenQuanYi Zen Hei"/>
        <family val="2"/>
      </rPr>
      <t xml:space="preserve">由来</t>
    </r>
    <r>
      <rPr>
        <sz val="9"/>
        <rFont val="Courier New"/>
        <family val="0"/>
        <charset val="1"/>
      </rPr>
      <t xml:space="preserve">';</t>
    </r>
  </si>
  <si>
    <r>
      <rPr>
        <sz val="9"/>
        <rFont val="Courier New"/>
        <family val="0"/>
        <charset val="1"/>
      </rPr>
      <t xml:space="preserve">COMMENT ON COLUMN m_product.form IS '</t>
    </r>
    <r>
      <rPr>
        <sz val="9"/>
        <rFont val="WenQuanYi Zen Hei"/>
        <family val="2"/>
      </rPr>
      <t xml:space="preserve">形態</t>
    </r>
    <r>
      <rPr>
        <sz val="9"/>
        <rFont val="Courier New"/>
        <family val="0"/>
        <charset val="1"/>
      </rPr>
      <t xml:space="preserve">';</t>
    </r>
  </si>
  <si>
    <r>
      <rPr>
        <sz val="9"/>
        <rFont val="Courier New"/>
        <family val="0"/>
        <charset val="1"/>
      </rPr>
      <t xml:space="preserve">COMMENT ON COLUMN m_product.particle_conc IS '</t>
    </r>
    <r>
      <rPr>
        <sz val="9"/>
        <rFont val="WenQuanYi Zen Hei"/>
        <family val="2"/>
      </rPr>
      <t xml:space="preserve">粒子濃度（個</t>
    </r>
    <r>
      <rPr>
        <sz val="9"/>
        <rFont val="Courier New"/>
        <family val="0"/>
        <charset val="1"/>
      </rPr>
      <t xml:space="preserve">/mL</t>
    </r>
    <r>
      <rPr>
        <sz val="9"/>
        <rFont val="WenQuanYi Zen Hei"/>
        <family val="2"/>
      </rPr>
      <t xml:space="preserve">）</t>
    </r>
    <r>
      <rPr>
        <sz val="9"/>
        <rFont val="Courier New"/>
        <family val="0"/>
        <charset val="1"/>
      </rPr>
      <t xml:space="preserve">';</t>
    </r>
  </si>
  <si>
    <r>
      <rPr>
        <sz val="9"/>
        <rFont val="Courier New"/>
        <family val="0"/>
        <charset val="1"/>
      </rPr>
      <t xml:space="preserve">COMMENT ON COLUMN m_product.volume_ml IS '</t>
    </r>
    <r>
      <rPr>
        <sz val="9"/>
        <rFont val="WenQuanYi Zen Hei"/>
        <family val="2"/>
      </rPr>
      <t xml:space="preserve">内容量（</t>
    </r>
    <r>
      <rPr>
        <sz val="9"/>
        <rFont val="Courier New"/>
        <family val="0"/>
        <charset val="1"/>
      </rPr>
      <t xml:space="preserve">mL</t>
    </r>
    <r>
      <rPr>
        <sz val="9"/>
        <rFont val="WenQuanYi Zen Hei"/>
        <family val="2"/>
      </rPr>
      <t xml:space="preserve">）</t>
    </r>
    <r>
      <rPr>
        <sz val="9"/>
        <rFont val="Courier New"/>
        <family val="0"/>
        <charset val="1"/>
      </rPr>
      <t xml:space="preserve">';</t>
    </r>
  </si>
  <si>
    <r>
      <rPr>
        <sz val="9"/>
        <rFont val="Courier New"/>
        <family val="0"/>
        <charset val="1"/>
      </rPr>
      <t xml:space="preserve">COMMENT ON COLUMN m_product.unit IS '</t>
    </r>
    <r>
      <rPr>
        <sz val="9"/>
        <rFont val="WenQuanYi Zen Hei"/>
        <family val="2"/>
      </rPr>
      <t xml:space="preserve">販売単位</t>
    </r>
    <r>
      <rPr>
        <sz val="9"/>
        <rFont val="Courier New"/>
        <family val="0"/>
        <charset val="1"/>
      </rPr>
      <t xml:space="preserve">';</t>
    </r>
  </si>
  <si>
    <r>
      <rPr>
        <sz val="9"/>
        <rFont val="Courier New"/>
        <family val="0"/>
        <charset val="1"/>
      </rPr>
      <t xml:space="preserve">COMMENT ON COLUMN m_product.storage_class IS '</t>
    </r>
    <r>
      <rPr>
        <sz val="9"/>
        <rFont val="WenQuanYi Zen Hei"/>
        <family val="2"/>
      </rPr>
      <t xml:space="preserve">保管温度区分</t>
    </r>
    <r>
      <rPr>
        <sz val="9"/>
        <rFont val="Courier New"/>
        <family val="0"/>
        <charset val="1"/>
      </rPr>
      <t xml:space="preserve">';</t>
    </r>
  </si>
  <si>
    <r>
      <rPr>
        <sz val="9"/>
        <rFont val="Courier New"/>
        <family val="0"/>
        <charset val="1"/>
      </rPr>
      <t xml:space="preserve">COMMENT ON COLUMN m_product.shelf_life_days IS '</t>
    </r>
    <r>
      <rPr>
        <sz val="9"/>
        <rFont val="WenQuanYi Zen Hei"/>
        <family val="2"/>
      </rPr>
      <t xml:space="preserve">有効期間（日）</t>
    </r>
    <r>
      <rPr>
        <sz val="9"/>
        <rFont val="Courier New"/>
        <family val="0"/>
        <charset val="1"/>
      </rPr>
      <t xml:space="preserve">';</t>
    </r>
  </si>
  <si>
    <r>
      <rPr>
        <sz val="9"/>
        <rFont val="Courier New"/>
        <family val="0"/>
        <charset val="1"/>
      </rPr>
      <t xml:space="preserve">COMMENT ON COLUMN m_product.min_remaining_days IS '</t>
    </r>
    <r>
      <rPr>
        <sz val="9"/>
        <rFont val="WenQuanYi Zen Hei"/>
        <family val="2"/>
      </rPr>
      <t xml:space="preserve">最低出荷残期間（日）</t>
    </r>
    <r>
      <rPr>
        <sz val="9"/>
        <rFont val="Courier New"/>
        <family val="0"/>
        <charset val="1"/>
      </rPr>
      <t xml:space="preserve">';</t>
    </r>
  </si>
  <si>
    <r>
      <rPr>
        <sz val="9"/>
        <rFont val="Courier New"/>
        <family val="0"/>
        <charset val="1"/>
      </rPr>
      <t xml:space="preserve">COMMENT ON COLUMN m_product.regulatory_class IS '</t>
    </r>
    <r>
      <rPr>
        <sz val="9"/>
        <rFont val="WenQuanYi Zen Hei"/>
        <family val="2"/>
      </rPr>
      <t xml:space="preserve">規制区分</t>
    </r>
    <r>
      <rPr>
        <sz val="9"/>
        <rFont val="Courier New"/>
        <family val="0"/>
        <charset val="1"/>
      </rPr>
      <t xml:space="preserve">';</t>
    </r>
  </si>
  <si>
    <r>
      <rPr>
        <sz val="9"/>
        <rFont val="Courier New"/>
        <family val="0"/>
        <charset val="1"/>
      </rPr>
      <t xml:space="preserve">COMMENT ON COLUMN m_product.standard_cost IS '</t>
    </r>
    <r>
      <rPr>
        <sz val="9"/>
        <rFont val="WenQuanYi Zen Hei"/>
        <family val="2"/>
      </rPr>
      <t xml:space="preserve">標準原価（円）</t>
    </r>
    <r>
      <rPr>
        <sz val="9"/>
        <rFont val="Courier New"/>
        <family val="0"/>
        <charset val="1"/>
      </rPr>
      <t xml:space="preserve">';</t>
    </r>
  </si>
  <si>
    <r>
      <rPr>
        <sz val="9"/>
        <rFont val="Courier New"/>
        <family val="0"/>
        <charset val="1"/>
      </rPr>
      <t xml:space="preserve">COMMENT ON COLUMN m_product.list_price IS '</t>
    </r>
    <r>
      <rPr>
        <sz val="9"/>
        <rFont val="WenQuanYi Zen Hei"/>
        <family val="2"/>
      </rPr>
      <t xml:space="preserve">標準売価（円）</t>
    </r>
    <r>
      <rPr>
        <sz val="9"/>
        <rFont val="Courier New"/>
        <family val="0"/>
        <charset val="1"/>
      </rPr>
      <t xml:space="preserve">';</t>
    </r>
  </si>
  <si>
    <r>
      <rPr>
        <sz val="9"/>
        <rFont val="Courier New"/>
        <family val="0"/>
        <charset val="1"/>
      </rPr>
      <t xml:space="preserve">COMMENT ON COLUMN m_product.reorder_point IS '</t>
    </r>
    <r>
      <rPr>
        <sz val="9"/>
        <rFont val="WenQuanYi Zen Hei"/>
        <family val="2"/>
      </rPr>
      <t xml:space="preserve">発注点</t>
    </r>
    <r>
      <rPr>
        <sz val="9"/>
        <rFont val="Courier New"/>
        <family val="0"/>
        <charset val="1"/>
      </rPr>
      <t xml:space="preserve">';</t>
    </r>
  </si>
  <si>
    <r>
      <rPr>
        <sz val="9"/>
        <rFont val="Courier New"/>
        <family val="0"/>
        <charset val="1"/>
      </rPr>
      <t xml:space="preserve">COMMENT ON COLUMN m_product.is_active IS '</t>
    </r>
    <r>
      <rPr>
        <sz val="9"/>
        <rFont val="WenQuanYi Zen Hei"/>
        <family val="2"/>
      </rPr>
      <t xml:space="preserve">有効フラグ</t>
    </r>
    <r>
      <rPr>
        <sz val="9"/>
        <rFont val="Courier New"/>
        <family val="0"/>
        <charset val="1"/>
      </rPr>
      <t xml:space="preserve">';</t>
    </r>
  </si>
  <si>
    <r>
      <rPr>
        <sz val="9"/>
        <rFont val="Courier New"/>
        <family val="0"/>
        <charset val="1"/>
      </rPr>
      <t xml:space="preserve">COMMENT ON COLUMN m_product.created_at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</si>
  <si>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m_product.created_by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</si>
  <si>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m_product.updated_at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</si>
  <si>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m_product.updated_by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</si>
  <si>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m_product.version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</si>
  <si>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納品先：顧客ごとの納品先</t>
    </r>
  </si>
  <si>
    <t xml:space="preserve">CREATE TABLE m_ship_to (</t>
  </si>
  <si>
    <t xml:space="preserve">  customer_id BIGINT NOT NULL REFERENCES m_customer(id),</t>
  </si>
  <si>
    <t xml:space="preserve">  is_default BOOLEAN NOT NULL DEFAULT false,</t>
  </si>
  <si>
    <r>
      <rPr>
        <sz val="9"/>
        <rFont val="Courier New"/>
        <family val="0"/>
        <charset val="1"/>
      </rPr>
      <t xml:space="preserve">COMMENT ON TABLE m_ship_to IS '</t>
    </r>
    <r>
      <rPr>
        <sz val="9"/>
        <rFont val="WenQuanYi Zen Hei"/>
        <family val="2"/>
      </rPr>
      <t xml:space="preserve">納品先</t>
    </r>
    <r>
      <rPr>
        <sz val="9"/>
        <rFont val="Courier New"/>
        <family val="0"/>
        <charset val="1"/>
      </rPr>
      <t xml:space="preserve">';</t>
    </r>
  </si>
  <si>
    <r>
      <rPr>
        <sz val="9"/>
        <rFont val="Courier New"/>
        <family val="0"/>
        <charset val="1"/>
      </rPr>
      <t xml:space="preserve">COMMENT ON COLUMN m_ship_to.id IS '</t>
    </r>
    <r>
      <rPr>
        <sz val="9"/>
        <rFont val="WenQuanYi Zen Hei"/>
        <family val="2"/>
      </rPr>
      <t xml:space="preserve">納品先</t>
    </r>
    <r>
      <rPr>
        <sz val="9"/>
        <rFont val="Courier New"/>
        <family val="0"/>
        <charset val="1"/>
      </rPr>
      <t xml:space="preserve">ID';</t>
    </r>
  </si>
  <si>
    <r>
      <rPr>
        <sz val="9"/>
        <rFont val="Courier New"/>
        <family val="0"/>
        <charset val="1"/>
      </rPr>
      <t xml:space="preserve">COMMENT ON COLUMN m_ship_to.customer_id IS '</t>
    </r>
    <r>
      <rPr>
        <sz val="9"/>
        <rFont val="WenQuanYi Zen Hei"/>
        <family val="2"/>
      </rPr>
      <t xml:space="preserve">顧客</t>
    </r>
    <r>
      <rPr>
        <sz val="9"/>
        <rFont val="Courier New"/>
        <family val="0"/>
        <charset val="1"/>
      </rPr>
      <t xml:space="preserve">ID';</t>
    </r>
  </si>
  <si>
    <r>
      <rPr>
        <sz val="9"/>
        <rFont val="Courier New"/>
        <family val="0"/>
        <charset val="1"/>
      </rPr>
      <t xml:space="preserve">COMMENT ON COLUMN m_ship_to.name IS '</t>
    </r>
    <r>
      <rPr>
        <sz val="9"/>
        <rFont val="WenQuanYi Zen Hei"/>
        <family val="2"/>
      </rPr>
      <t xml:space="preserve">納品先名</t>
    </r>
    <r>
      <rPr>
        <sz val="9"/>
        <rFont val="Courier New"/>
        <family val="0"/>
        <charset val="1"/>
      </rPr>
      <t xml:space="preserve">';</t>
    </r>
  </si>
  <si>
    <r>
      <rPr>
        <sz val="9"/>
        <rFont val="Courier New"/>
        <family val="0"/>
        <charset val="1"/>
      </rPr>
      <t xml:space="preserve">COMMENT ON COLUMN m_ship_to.postal_code IS '</t>
    </r>
    <r>
      <rPr>
        <sz val="9"/>
        <rFont val="WenQuanYi Zen Hei"/>
        <family val="2"/>
      </rPr>
      <t xml:space="preserve">郵便番号</t>
    </r>
    <r>
      <rPr>
        <sz val="9"/>
        <rFont val="Courier New"/>
        <family val="0"/>
        <charset val="1"/>
      </rPr>
      <t xml:space="preserve">';</t>
    </r>
  </si>
  <si>
    <r>
      <rPr>
        <sz val="9"/>
        <rFont val="Courier New"/>
        <family val="0"/>
        <charset val="1"/>
      </rPr>
      <t xml:space="preserve">COMMENT ON COLUMN m_ship_to.address IS '</t>
    </r>
    <r>
      <rPr>
        <sz val="9"/>
        <rFont val="WenQuanYi Zen Hei"/>
        <family val="2"/>
      </rPr>
      <t xml:space="preserve">住所</t>
    </r>
    <r>
      <rPr>
        <sz val="9"/>
        <rFont val="Courier New"/>
        <family val="0"/>
        <charset val="1"/>
      </rPr>
      <t xml:space="preserve">';</t>
    </r>
  </si>
  <si>
    <r>
      <rPr>
        <sz val="9"/>
        <rFont val="Courier New"/>
        <family val="0"/>
        <charset val="1"/>
      </rPr>
      <t xml:space="preserve">COMMENT ON COLUMN m_ship_to.phone IS '</t>
    </r>
    <r>
      <rPr>
        <sz val="9"/>
        <rFont val="WenQuanYi Zen Hei"/>
        <family val="2"/>
      </rPr>
      <t xml:space="preserve">電話番号</t>
    </r>
    <r>
      <rPr>
        <sz val="9"/>
        <rFont val="Courier New"/>
        <family val="0"/>
        <charset val="1"/>
      </rPr>
      <t xml:space="preserve">';</t>
    </r>
  </si>
  <si>
    <r>
      <rPr>
        <sz val="9"/>
        <rFont val="Courier New"/>
        <family val="0"/>
        <charset val="1"/>
      </rPr>
      <t xml:space="preserve">COMMENT ON COLUMN m_ship_to.contact_name IS '</t>
    </r>
    <r>
      <rPr>
        <sz val="9"/>
        <rFont val="WenQuanYi Zen Hei"/>
        <family val="2"/>
      </rPr>
      <t xml:space="preserve">担当者名</t>
    </r>
    <r>
      <rPr>
        <sz val="9"/>
        <rFont val="Courier New"/>
        <family val="0"/>
        <charset val="1"/>
      </rPr>
      <t xml:space="preserve">';</t>
    </r>
  </si>
  <si>
    <r>
      <rPr>
        <sz val="9"/>
        <rFont val="Courier New"/>
        <family val="0"/>
        <charset val="1"/>
      </rPr>
      <t xml:space="preserve">COMMENT ON COLUMN m_ship_to.email IS '</t>
    </r>
    <r>
      <rPr>
        <sz val="9"/>
        <rFont val="WenQuanYi Zen Hei"/>
        <family val="2"/>
      </rPr>
      <t xml:space="preserve">メール</t>
    </r>
    <r>
      <rPr>
        <sz val="9"/>
        <rFont val="Courier New"/>
        <family val="0"/>
        <charset val="1"/>
      </rPr>
      <t xml:space="preserve">';</t>
    </r>
  </si>
  <si>
    <r>
      <rPr>
        <sz val="9"/>
        <rFont val="Courier New"/>
        <family val="0"/>
        <charset val="1"/>
      </rPr>
      <t xml:space="preserve">COMMENT ON COLUMN m_ship_to.is_default IS '</t>
    </r>
    <r>
      <rPr>
        <sz val="9"/>
        <rFont val="WenQuanYi Zen Hei"/>
        <family val="2"/>
      </rPr>
      <t xml:space="preserve">既定フラグ</t>
    </r>
    <r>
      <rPr>
        <sz val="9"/>
        <rFont val="Courier New"/>
        <family val="0"/>
        <charset val="1"/>
      </rPr>
      <t xml:space="preserve">';</t>
    </r>
  </si>
  <si>
    <r>
      <rPr>
        <sz val="9"/>
        <rFont val="Courier New"/>
        <family val="0"/>
        <charset val="1"/>
      </rPr>
      <t xml:space="preserve">COMMENT ON COLUMN m_ship_to.is_active IS '</t>
    </r>
    <r>
      <rPr>
        <sz val="9"/>
        <rFont val="WenQuanYi Zen Hei"/>
        <family val="2"/>
      </rPr>
      <t xml:space="preserve">有効フラグ</t>
    </r>
    <r>
      <rPr>
        <sz val="9"/>
        <rFont val="Courier New"/>
        <family val="0"/>
        <charset val="1"/>
      </rPr>
      <t xml:space="preserve">';</t>
    </r>
  </si>
  <si>
    <r>
      <rPr>
        <sz val="9"/>
        <rFont val="Courier New"/>
        <family val="0"/>
        <charset val="1"/>
      </rPr>
      <t xml:space="preserve">COMMENT ON COLUMN m_ship_to.created_at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</si>
  <si>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m_ship_to.created_by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</si>
  <si>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m_ship_to.updated_at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</si>
  <si>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m_ship_to.updated_by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</si>
  <si>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m_ship_to.version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</si>
  <si>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発注：発注ヘッダ</t>
    </r>
  </si>
  <si>
    <t xml:space="preserve">CREATE TABLE t_purchase_order (</t>
  </si>
  <si>
    <t xml:space="preserve">  po_no VARCHAR(20) NOT NULL,</t>
  </si>
  <si>
    <t xml:space="preserve">  supplier_id BIGINT NOT NULL REFERENCES m_supplier(id),</t>
  </si>
  <si>
    <t xml:space="preserve">  order_date DATE NOT NULL,</t>
  </si>
  <si>
    <t xml:space="preserve">  expected_date DATE,</t>
  </si>
  <si>
    <t xml:space="preserve">  status VARCHAR(20) NOT NULL DEFAULT 'DRAFT',</t>
  </si>
  <si>
    <t xml:space="preserve">  approved_by BIGINT REFERENCES m_user(id),</t>
  </si>
  <si>
    <t xml:space="preserve">  approved_at TIMESTAMPTZ,</t>
  </si>
  <si>
    <t xml:space="preserve">  note TEXT,</t>
  </si>
  <si>
    <r>
      <rPr>
        <sz val="9"/>
        <rFont val="Courier New"/>
        <family val="0"/>
        <charset val="1"/>
      </rPr>
      <t xml:space="preserve">COMMENT ON TABLE t_purchase_order IS '</t>
    </r>
    <r>
      <rPr>
        <sz val="9"/>
        <rFont val="WenQuanYi Zen Hei"/>
        <family val="2"/>
      </rPr>
      <t xml:space="preserve">発注</t>
    </r>
    <r>
      <rPr>
        <sz val="9"/>
        <rFont val="Courier New"/>
        <family val="0"/>
        <charset val="1"/>
      </rPr>
      <t xml:space="preserve">';</t>
    </r>
  </si>
  <si>
    <r>
      <rPr>
        <sz val="9"/>
        <rFont val="Courier New"/>
        <family val="0"/>
        <charset val="1"/>
      </rPr>
      <t xml:space="preserve">COMMENT ON COLUMN t_purchase_order.id IS '</t>
    </r>
    <r>
      <rPr>
        <sz val="9"/>
        <rFont val="WenQuanYi Zen Hei"/>
        <family val="2"/>
      </rPr>
      <t xml:space="preserve">発注</t>
    </r>
    <r>
      <rPr>
        <sz val="9"/>
        <rFont val="Courier New"/>
        <family val="0"/>
        <charset val="1"/>
      </rPr>
      <t xml:space="preserve">ID';</t>
    </r>
  </si>
  <si>
    <r>
      <rPr>
        <sz val="9"/>
        <rFont val="Courier New"/>
        <family val="0"/>
        <charset val="1"/>
      </rPr>
      <t xml:space="preserve">COMMENT ON COLUMN t_purchase_order.po_no IS '</t>
    </r>
    <r>
      <rPr>
        <sz val="9"/>
        <rFont val="WenQuanYi Zen Hei"/>
        <family val="2"/>
      </rPr>
      <t xml:space="preserve">発注番号</t>
    </r>
    <r>
      <rPr>
        <sz val="9"/>
        <rFont val="Courier New"/>
        <family val="0"/>
        <charset val="1"/>
      </rPr>
      <t xml:space="preserve">';</t>
    </r>
  </si>
  <si>
    <r>
      <rPr>
        <sz val="9"/>
        <rFont val="Courier New"/>
        <family val="0"/>
        <charset val="1"/>
      </rPr>
      <t xml:space="preserve">COMMENT ON COLUMN t_purchase_order.supplier_id IS '</t>
    </r>
    <r>
      <rPr>
        <sz val="9"/>
        <rFont val="WenQuanYi Zen Hei"/>
        <family val="2"/>
      </rPr>
      <t xml:space="preserve">仕入先</t>
    </r>
    <r>
      <rPr>
        <sz val="9"/>
        <rFont val="Courier New"/>
        <family val="0"/>
        <charset val="1"/>
      </rPr>
      <t xml:space="preserve">ID';</t>
    </r>
  </si>
  <si>
    <r>
      <rPr>
        <sz val="9"/>
        <rFont val="Courier New"/>
        <family val="0"/>
        <charset val="1"/>
      </rPr>
      <t xml:space="preserve">COMMENT ON COLUMN t_purchase_order.order_date IS '</t>
    </r>
    <r>
      <rPr>
        <sz val="9"/>
        <rFont val="WenQuanYi Zen Hei"/>
        <family val="2"/>
      </rPr>
      <t xml:space="preserve">発注日</t>
    </r>
    <r>
      <rPr>
        <sz val="9"/>
        <rFont val="Courier New"/>
        <family val="0"/>
        <charset val="1"/>
      </rPr>
      <t xml:space="preserve">';</t>
    </r>
  </si>
  <si>
    <r>
      <rPr>
        <sz val="9"/>
        <rFont val="Courier New"/>
        <family val="0"/>
        <charset val="1"/>
      </rPr>
      <t xml:space="preserve">COMMENT ON COLUMN t_purchase_order.expected_date IS '</t>
    </r>
    <r>
      <rPr>
        <sz val="9"/>
        <rFont val="WenQuanYi Zen Hei"/>
        <family val="2"/>
      </rPr>
      <t xml:space="preserve">入荷予定日</t>
    </r>
    <r>
      <rPr>
        <sz val="9"/>
        <rFont val="Courier New"/>
        <family val="0"/>
        <charset val="1"/>
      </rPr>
      <t xml:space="preserve">';</t>
    </r>
  </si>
  <si>
    <r>
      <rPr>
        <sz val="9"/>
        <rFont val="Courier New"/>
        <family val="0"/>
        <charset val="1"/>
      </rPr>
      <t xml:space="preserve">COMMENT ON COLUMN t_purchase_order.status IS '</t>
    </r>
    <r>
      <rPr>
        <sz val="9"/>
        <rFont val="WenQuanYi Zen Hei"/>
        <family val="2"/>
      </rPr>
      <t xml:space="preserve">ステータス</t>
    </r>
    <r>
      <rPr>
        <sz val="9"/>
        <rFont val="Courier New"/>
        <family val="0"/>
        <charset val="1"/>
      </rPr>
      <t xml:space="preserve">';</t>
    </r>
  </si>
  <si>
    <r>
      <rPr>
        <sz val="9"/>
        <rFont val="Courier New"/>
        <family val="0"/>
        <charset val="1"/>
      </rPr>
      <t xml:space="preserve">COMMENT ON COLUMN t_purchase_order.approved_by IS '</t>
    </r>
    <r>
      <rPr>
        <sz val="9"/>
        <rFont val="WenQuanYi Zen Hei"/>
        <family val="2"/>
      </rPr>
      <t xml:space="preserve">承認者</t>
    </r>
    <r>
      <rPr>
        <sz val="9"/>
        <rFont val="Courier New"/>
        <family val="0"/>
        <charset val="1"/>
      </rPr>
      <t xml:space="preserve">';</t>
    </r>
  </si>
  <si>
    <r>
      <rPr>
        <sz val="9"/>
        <rFont val="Courier New"/>
        <family val="0"/>
        <charset val="1"/>
      </rPr>
      <t xml:space="preserve">COMMENT ON COLUMN t_purchase_order.approved_at IS '</t>
    </r>
    <r>
      <rPr>
        <sz val="9"/>
        <rFont val="WenQuanYi Zen Hei"/>
        <family val="2"/>
      </rPr>
      <t xml:space="preserve">承認日時</t>
    </r>
    <r>
      <rPr>
        <sz val="9"/>
        <rFont val="Courier New"/>
        <family val="0"/>
        <charset val="1"/>
      </rPr>
      <t xml:space="preserve">';</t>
    </r>
  </si>
  <si>
    <r>
      <rPr>
        <sz val="9"/>
        <rFont val="Courier New"/>
        <family val="0"/>
        <charset val="1"/>
      </rPr>
      <t xml:space="preserve">COMMENT ON COLUMN t_purchase_order.note IS '</t>
    </r>
    <r>
      <rPr>
        <sz val="9"/>
        <rFont val="WenQuanYi Zen Hei"/>
        <family val="2"/>
      </rPr>
      <t xml:space="preserve">備考</t>
    </r>
    <r>
      <rPr>
        <sz val="9"/>
        <rFont val="Courier New"/>
        <family val="0"/>
        <charset val="1"/>
      </rPr>
      <t xml:space="preserve">';</t>
    </r>
  </si>
  <si>
    <r>
      <rPr>
        <sz val="9"/>
        <rFont val="Courier New"/>
        <family val="0"/>
        <charset val="1"/>
      </rPr>
      <t xml:space="preserve">COMMENT ON COLUMN t_purchase_order.created_at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</si>
  <si>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t_purchase_order.created_by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</si>
  <si>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t_purchase_order.updated_at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</si>
  <si>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t_purchase_order.updated_by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</si>
  <si>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t_purchase_order.version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</si>
  <si>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温度記録：保管場所の温度記録</t>
    </r>
  </si>
  <si>
    <t xml:space="preserve">CREATE TABLE t_temperature_log (</t>
  </si>
  <si>
    <t xml:space="preserve">  location_id BIGINT NOT NULL REFERENCES m_location(id),</t>
  </si>
  <si>
    <t xml:space="preserve">  measured_at TIMESTAMPTZ NOT NULL,</t>
  </si>
  <si>
    <t xml:space="preserve">  temperature NUMERIC(5,1) NOT NULL,</t>
  </si>
  <si>
    <t xml:space="preserve">  is_excursion BOOLEAN NOT NULL DEFAULT false,</t>
  </si>
  <si>
    <t xml:space="preserve">  source VARCHAR(10) NOT NULL DEFAULT 'MANUAL',</t>
  </si>
  <si>
    <r>
      <rPr>
        <sz val="9"/>
        <rFont val="Courier New"/>
        <family val="0"/>
        <charset val="1"/>
      </rPr>
      <t xml:space="preserve">COMMENT ON TABLE t_temperature_log IS '</t>
    </r>
    <r>
      <rPr>
        <sz val="9"/>
        <rFont val="WenQuanYi Zen Hei"/>
        <family val="2"/>
      </rPr>
      <t xml:space="preserve">温度記録</t>
    </r>
    <r>
      <rPr>
        <sz val="9"/>
        <rFont val="Courier New"/>
        <family val="0"/>
        <charset val="1"/>
      </rPr>
      <t xml:space="preserve">';</t>
    </r>
  </si>
  <si>
    <t xml:space="preserve">COMMENT ON COLUMN t_temperature_log.id IS 'ID';</t>
  </si>
  <si>
    <r>
      <rPr>
        <sz val="9"/>
        <rFont val="Courier New"/>
        <family val="0"/>
        <charset val="1"/>
      </rPr>
      <t xml:space="preserve">COMMENT ON COLUMN t_temperature_log.location_id IS '</t>
    </r>
    <r>
      <rPr>
        <sz val="9"/>
        <rFont val="WenQuanYi Zen Hei"/>
        <family val="2"/>
      </rPr>
      <t xml:space="preserve">保管場所</t>
    </r>
    <r>
      <rPr>
        <sz val="9"/>
        <rFont val="Courier New"/>
        <family val="0"/>
        <charset val="1"/>
      </rPr>
      <t xml:space="preserve">ID';</t>
    </r>
  </si>
  <si>
    <r>
      <rPr>
        <sz val="9"/>
        <rFont val="Courier New"/>
        <family val="0"/>
        <charset val="1"/>
      </rPr>
      <t xml:space="preserve">COMMENT ON COLUMN t_temperature_log.measured_at IS '</t>
    </r>
    <r>
      <rPr>
        <sz val="9"/>
        <rFont val="WenQuanYi Zen Hei"/>
        <family val="2"/>
      </rPr>
      <t xml:space="preserve">測定日時</t>
    </r>
    <r>
      <rPr>
        <sz val="9"/>
        <rFont val="Courier New"/>
        <family val="0"/>
        <charset val="1"/>
      </rPr>
      <t xml:space="preserve">';</t>
    </r>
  </si>
  <si>
    <r>
      <rPr>
        <sz val="9"/>
        <rFont val="Courier New"/>
        <family val="0"/>
        <charset val="1"/>
      </rPr>
      <t xml:space="preserve">COMMENT ON COLUMN t_temperature_log.temperature IS '</t>
    </r>
    <r>
      <rPr>
        <sz val="9"/>
        <rFont val="WenQuanYi Zen Hei"/>
        <family val="2"/>
      </rPr>
      <t xml:space="preserve">温度（℃）</t>
    </r>
    <r>
      <rPr>
        <sz val="9"/>
        <rFont val="Courier New"/>
        <family val="0"/>
        <charset val="1"/>
      </rPr>
      <t xml:space="preserve">';</t>
    </r>
  </si>
  <si>
    <r>
      <rPr>
        <sz val="9"/>
        <rFont val="Courier New"/>
        <family val="0"/>
        <charset val="1"/>
      </rPr>
      <t xml:space="preserve">COMMENT ON COLUMN t_temperature_log.is_excursion IS '</t>
    </r>
    <r>
      <rPr>
        <sz val="9"/>
        <rFont val="WenQuanYi Zen Hei"/>
        <family val="2"/>
      </rPr>
      <t xml:space="preserve">逸脱フラグ</t>
    </r>
    <r>
      <rPr>
        <sz val="9"/>
        <rFont val="Courier New"/>
        <family val="0"/>
        <charset val="1"/>
      </rPr>
      <t xml:space="preserve">';</t>
    </r>
  </si>
  <si>
    <r>
      <rPr>
        <sz val="9"/>
        <rFont val="Courier New"/>
        <family val="0"/>
        <charset val="1"/>
      </rPr>
      <t xml:space="preserve">COMMENT ON COLUMN t_temperature_log.source IS '</t>
    </r>
    <r>
      <rPr>
        <sz val="9"/>
        <rFont val="WenQuanYi Zen Hei"/>
        <family val="2"/>
      </rPr>
      <t xml:space="preserve">入力元</t>
    </r>
    <r>
      <rPr>
        <sz val="9"/>
        <rFont val="Courier New"/>
        <family val="0"/>
        <charset val="1"/>
      </rPr>
      <t xml:space="preserve">';</t>
    </r>
  </si>
  <si>
    <r>
      <rPr>
        <sz val="9"/>
        <rFont val="Courier New"/>
        <family val="0"/>
        <charset val="1"/>
      </rPr>
      <t xml:space="preserve">COMMENT ON COLUMN t_temperature_log.created_at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</si>
  <si>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t_temperature_log.created_by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</si>
  <si>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 </t>
    </r>
    <r>
      <rPr>
        <sz val="9"/>
        <rFont val="WenQuanYi Zen Hei"/>
        <family val="2"/>
      </rPr>
      <t xml:space="preserve">発注明細：発注明細</t>
    </r>
  </si>
  <si>
    <t xml:space="preserve">CREATE TABLE t_purchase_order_line (</t>
  </si>
  <si>
    <t xml:space="preserve">  purchase_order_id BIGINT NOT NULL REFERENCES t_purchase_order(id),</t>
  </si>
  <si>
    <t xml:space="preserve">  line_no INTEGER NOT NULL,</t>
  </si>
  <si>
    <t xml:space="preserve">  product_id BIGINT NOT NULL REFERENCES m_product(id),</t>
  </si>
  <si>
    <t xml:space="preserve">  quantity INTEGER NOT NULL,</t>
  </si>
  <si>
    <t xml:space="preserve">  unit_price NUMERIC(12,2) NOT NULL,</t>
  </si>
  <si>
    <t xml:space="preserve">  received_qty INTEGER NOT NULL DEFAULT 0,</t>
  </si>
  <si>
    <r>
      <rPr>
        <sz val="9"/>
        <rFont val="Courier New"/>
        <family val="0"/>
        <charset val="1"/>
      </rPr>
      <t xml:space="preserve">COMMENT ON TABLE t_purchase_order_line IS '</t>
    </r>
    <r>
      <rPr>
        <sz val="9"/>
        <rFont val="WenQuanYi Zen Hei"/>
        <family val="2"/>
      </rPr>
      <t xml:space="preserve">発注明細</t>
    </r>
    <r>
      <rPr>
        <sz val="9"/>
        <rFont val="Courier New"/>
        <family val="0"/>
        <charset val="1"/>
      </rPr>
      <t xml:space="preserve">';</t>
    </r>
  </si>
  <si>
    <r>
      <rPr>
        <sz val="9"/>
        <rFont val="Courier New"/>
        <family val="0"/>
        <charset val="1"/>
      </rPr>
      <t xml:space="preserve">COMMENT ON COLUMN t_purchase_order_line.id IS '</t>
    </r>
    <r>
      <rPr>
        <sz val="9"/>
        <rFont val="WenQuanYi Zen Hei"/>
        <family val="2"/>
      </rPr>
      <t xml:space="preserve">発注明細</t>
    </r>
    <r>
      <rPr>
        <sz val="9"/>
        <rFont val="Courier New"/>
        <family val="0"/>
        <charset val="1"/>
      </rPr>
      <t xml:space="preserve">ID';</t>
    </r>
  </si>
  <si>
    <r>
      <rPr>
        <sz val="9"/>
        <rFont val="Courier New"/>
        <family val="0"/>
        <charset val="1"/>
      </rPr>
      <t xml:space="preserve">COMMENT ON COLUMN t_purchase_order_line.purchase_order_id IS '</t>
    </r>
    <r>
      <rPr>
        <sz val="9"/>
        <rFont val="WenQuanYi Zen Hei"/>
        <family val="2"/>
      </rPr>
      <t xml:space="preserve">発注</t>
    </r>
    <r>
      <rPr>
        <sz val="9"/>
        <rFont val="Courier New"/>
        <family val="0"/>
        <charset val="1"/>
      </rPr>
      <t xml:space="preserve">ID';</t>
    </r>
  </si>
  <si>
    <r>
      <rPr>
        <sz val="9"/>
        <rFont val="Courier New"/>
        <family val="0"/>
        <charset val="1"/>
      </rPr>
      <t xml:space="preserve">COMMENT ON COLUMN t_purchase_order_line.line_no IS '</t>
    </r>
    <r>
      <rPr>
        <sz val="9"/>
        <rFont val="WenQuanYi Zen Hei"/>
        <family val="2"/>
      </rPr>
      <t xml:space="preserve">行番号</t>
    </r>
    <r>
      <rPr>
        <sz val="9"/>
        <rFont val="Courier New"/>
        <family val="0"/>
        <charset val="1"/>
      </rPr>
      <t xml:space="preserve">';</t>
    </r>
  </si>
  <si>
    <r>
      <rPr>
        <sz val="9"/>
        <rFont val="Courier New"/>
        <family val="0"/>
        <charset val="1"/>
      </rPr>
      <t xml:space="preserve">COMMENT ON COLUMN t_purchase_order_line.product_id IS '</t>
    </r>
    <r>
      <rPr>
        <sz val="9"/>
        <rFont val="WenQuanYi Zen Hei"/>
        <family val="2"/>
      </rPr>
      <t xml:space="preserve">商品</t>
    </r>
    <r>
      <rPr>
        <sz val="9"/>
        <rFont val="Courier New"/>
        <family val="0"/>
        <charset val="1"/>
      </rPr>
      <t xml:space="preserve">ID';</t>
    </r>
  </si>
  <si>
    <r>
      <rPr>
        <sz val="9"/>
        <rFont val="Courier New"/>
        <family val="0"/>
        <charset val="1"/>
      </rPr>
      <t xml:space="preserve">COMMENT ON COLUMN t_purchase_order_line.quantity IS '</t>
    </r>
    <r>
      <rPr>
        <sz val="9"/>
        <rFont val="WenQuanYi Zen Hei"/>
        <family val="2"/>
      </rPr>
      <t xml:space="preserve">発注数量</t>
    </r>
    <r>
      <rPr>
        <sz val="9"/>
        <rFont val="Courier New"/>
        <family val="0"/>
        <charset val="1"/>
      </rPr>
      <t xml:space="preserve">';</t>
    </r>
  </si>
  <si>
    <r>
      <rPr>
        <sz val="9"/>
        <rFont val="Courier New"/>
        <family val="0"/>
        <charset val="1"/>
      </rPr>
      <t xml:space="preserve">COMMENT ON COLUMN t_purchase_order_line.unit_price IS '</t>
    </r>
    <r>
      <rPr>
        <sz val="9"/>
        <rFont val="WenQuanYi Zen Hei"/>
        <family val="2"/>
      </rPr>
      <t xml:space="preserve">仕入単価（円）</t>
    </r>
    <r>
      <rPr>
        <sz val="9"/>
        <rFont val="Courier New"/>
        <family val="0"/>
        <charset val="1"/>
      </rPr>
      <t xml:space="preserve">';</t>
    </r>
  </si>
  <si>
    <r>
      <rPr>
        <sz val="9"/>
        <rFont val="Courier New"/>
        <family val="0"/>
        <charset val="1"/>
      </rPr>
      <t xml:space="preserve">COMMENT ON COLUMN t_purchase_order_line.received_qty IS '</t>
    </r>
    <r>
      <rPr>
        <sz val="9"/>
        <rFont val="WenQuanYi Zen Hei"/>
        <family val="2"/>
      </rPr>
      <t xml:space="preserve">入荷済数量</t>
    </r>
    <r>
      <rPr>
        <sz val="9"/>
        <rFont val="Courier New"/>
        <family val="0"/>
        <charset val="1"/>
      </rPr>
      <t xml:space="preserve">';</t>
    </r>
  </si>
  <si>
    <r>
      <rPr>
        <sz val="9"/>
        <rFont val="Courier New"/>
        <family val="0"/>
        <charset val="1"/>
      </rPr>
      <t xml:space="preserve">COMMENT ON COLUMN t_purchase_order_line.created_at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</si>
  <si>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t_purchase_order_line.created_by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</si>
  <si>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t_purchase_order_line.updated_at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</si>
  <si>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t_purchase_order_line.updated_by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</si>
  <si>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t_purchase_order_line.version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</si>
  <si>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入荷：入荷ヘッダ</t>
    </r>
  </si>
  <si>
    <t xml:space="preserve">CREATE TABLE t_receipt (</t>
  </si>
  <si>
    <t xml:space="preserve">  receipt_no VARCHAR(20) NOT NULL,</t>
  </si>
  <si>
    <t xml:space="preserve">  purchase_order_id BIGINT REFERENCES t_purchase_order(id),</t>
  </si>
  <si>
    <t xml:space="preserve">  receipt_date DATE NOT NULL,</t>
  </si>
  <si>
    <r>
      <rPr>
        <sz val="9"/>
        <rFont val="Courier New"/>
        <family val="0"/>
        <charset val="1"/>
      </rPr>
      <t xml:space="preserve">COMMENT ON TABLE t_receipt IS '</t>
    </r>
    <r>
      <rPr>
        <sz val="9"/>
        <rFont val="WenQuanYi Zen Hei"/>
        <family val="2"/>
      </rPr>
      <t xml:space="preserve">入荷</t>
    </r>
    <r>
      <rPr>
        <sz val="9"/>
        <rFont val="Courier New"/>
        <family val="0"/>
        <charset val="1"/>
      </rPr>
      <t xml:space="preserve">';</t>
    </r>
  </si>
  <si>
    <r>
      <rPr>
        <sz val="9"/>
        <rFont val="Courier New"/>
        <family val="0"/>
        <charset val="1"/>
      </rPr>
      <t xml:space="preserve">COMMENT ON COLUMN t_receipt.id IS '</t>
    </r>
    <r>
      <rPr>
        <sz val="9"/>
        <rFont val="WenQuanYi Zen Hei"/>
        <family val="2"/>
      </rPr>
      <t xml:space="preserve">入荷</t>
    </r>
    <r>
      <rPr>
        <sz val="9"/>
        <rFont val="Courier New"/>
        <family val="0"/>
        <charset val="1"/>
      </rPr>
      <t xml:space="preserve">ID';</t>
    </r>
  </si>
  <si>
    <r>
      <rPr>
        <sz val="9"/>
        <rFont val="Courier New"/>
        <family val="0"/>
        <charset val="1"/>
      </rPr>
      <t xml:space="preserve">COMMENT ON COLUMN t_receipt.receipt_no IS '</t>
    </r>
    <r>
      <rPr>
        <sz val="9"/>
        <rFont val="WenQuanYi Zen Hei"/>
        <family val="2"/>
      </rPr>
      <t xml:space="preserve">入荷番号</t>
    </r>
    <r>
      <rPr>
        <sz val="9"/>
        <rFont val="Courier New"/>
        <family val="0"/>
        <charset val="1"/>
      </rPr>
      <t xml:space="preserve">';</t>
    </r>
  </si>
  <si>
    <r>
      <rPr>
        <sz val="9"/>
        <rFont val="Courier New"/>
        <family val="0"/>
        <charset val="1"/>
      </rPr>
      <t xml:space="preserve">COMMENT ON COLUMN t_receipt.supplier_id IS '</t>
    </r>
    <r>
      <rPr>
        <sz val="9"/>
        <rFont val="WenQuanYi Zen Hei"/>
        <family val="2"/>
      </rPr>
      <t xml:space="preserve">仕入先</t>
    </r>
    <r>
      <rPr>
        <sz val="9"/>
        <rFont val="Courier New"/>
        <family val="0"/>
        <charset val="1"/>
      </rPr>
      <t xml:space="preserve">ID';</t>
    </r>
  </si>
  <si>
    <r>
      <rPr>
        <sz val="9"/>
        <rFont val="Courier New"/>
        <family val="0"/>
        <charset val="1"/>
      </rPr>
      <t xml:space="preserve">COMMENT ON COLUMN t_receipt.purchase_order_id IS '</t>
    </r>
    <r>
      <rPr>
        <sz val="9"/>
        <rFont val="WenQuanYi Zen Hei"/>
        <family val="2"/>
      </rPr>
      <t xml:space="preserve">発注</t>
    </r>
    <r>
      <rPr>
        <sz val="9"/>
        <rFont val="Courier New"/>
        <family val="0"/>
        <charset val="1"/>
      </rPr>
      <t xml:space="preserve">ID';</t>
    </r>
  </si>
  <si>
    <r>
      <rPr>
        <sz val="9"/>
        <rFont val="Courier New"/>
        <family val="0"/>
        <charset val="1"/>
      </rPr>
      <t xml:space="preserve">COMMENT ON COLUMN t_receipt.receipt_date IS '</t>
    </r>
    <r>
      <rPr>
        <sz val="9"/>
        <rFont val="WenQuanYi Zen Hei"/>
        <family val="2"/>
      </rPr>
      <t xml:space="preserve">入荷日</t>
    </r>
    <r>
      <rPr>
        <sz val="9"/>
        <rFont val="Courier New"/>
        <family val="0"/>
        <charset val="1"/>
      </rPr>
      <t xml:space="preserve">';</t>
    </r>
  </si>
  <si>
    <r>
      <rPr>
        <sz val="9"/>
        <rFont val="Courier New"/>
        <family val="0"/>
        <charset val="1"/>
      </rPr>
      <t xml:space="preserve">COMMENT ON COLUMN t_receipt.status IS '</t>
    </r>
    <r>
      <rPr>
        <sz val="9"/>
        <rFont val="WenQuanYi Zen Hei"/>
        <family val="2"/>
      </rPr>
      <t xml:space="preserve">ステータス</t>
    </r>
    <r>
      <rPr>
        <sz val="9"/>
        <rFont val="Courier New"/>
        <family val="0"/>
        <charset val="1"/>
      </rPr>
      <t xml:space="preserve">';</t>
    </r>
  </si>
  <si>
    <r>
      <rPr>
        <sz val="9"/>
        <rFont val="Courier New"/>
        <family val="0"/>
        <charset val="1"/>
      </rPr>
      <t xml:space="preserve">COMMENT ON COLUMN t_receipt.note IS '</t>
    </r>
    <r>
      <rPr>
        <sz val="9"/>
        <rFont val="WenQuanYi Zen Hei"/>
        <family val="2"/>
      </rPr>
      <t xml:space="preserve">備考</t>
    </r>
    <r>
      <rPr>
        <sz val="9"/>
        <rFont val="Courier New"/>
        <family val="0"/>
        <charset val="1"/>
      </rPr>
      <t xml:space="preserve">';</t>
    </r>
  </si>
  <si>
    <r>
      <rPr>
        <sz val="9"/>
        <rFont val="Courier New"/>
        <family val="0"/>
        <charset val="1"/>
      </rPr>
      <t xml:space="preserve">COMMENT ON COLUMN t_receipt.created_at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</si>
  <si>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t_receipt.created_by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</si>
  <si>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t_receipt.updated_at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</si>
  <si>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t_receipt.updated_by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</si>
  <si>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t_receipt.version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</si>
  <si>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ロット：ロット（トレーサビリティの中核）</t>
    </r>
  </si>
  <si>
    <t xml:space="preserve">CREATE TABLE t_lot (</t>
  </si>
  <si>
    <t xml:space="preserve">  lot_no VARCHAR(30) NOT NULL,</t>
  </si>
  <si>
    <t xml:space="preserve">  supplier_lot_no VARCHAR(50) NOT NULL,</t>
  </si>
  <si>
    <t xml:space="preserve">  manufactured_on DATE,</t>
  </si>
  <si>
    <t xml:space="preserve">  expires_on DATE NOT NULL,</t>
  </si>
  <si>
    <t xml:space="preserve">  received_on DATE NOT NULL,</t>
  </si>
  <si>
    <t xml:space="preserve">  unit_cost NUMERIC(12,2) NOT NULL,</t>
  </si>
  <si>
    <t xml:space="preserve">  measured_particle_conc NUMERIC(20,0),</t>
  </si>
  <si>
    <t xml:space="preserve">  status VARCHAR(20) NOT NULL DEFAULT 'QUARANTINE',</t>
  </si>
  <si>
    <t xml:space="preserve">  status_reason TEXT,</t>
  </si>
  <si>
    <t xml:space="preserve">  inspected_by BIGINT REFERENCES m_user(id),</t>
  </si>
  <si>
    <t xml:space="preserve">  inspected_at TIMESTAMPTZ,</t>
  </si>
  <si>
    <r>
      <rPr>
        <sz val="9"/>
        <rFont val="Courier New"/>
        <family val="0"/>
        <charset val="1"/>
      </rPr>
      <t xml:space="preserve">COMMENT ON TABLE t_lot IS '</t>
    </r>
    <r>
      <rPr>
        <sz val="9"/>
        <rFont val="WenQuanYi Zen Hei"/>
        <family val="2"/>
      </rPr>
      <t xml:space="preserve">ロット</t>
    </r>
    <r>
      <rPr>
        <sz val="9"/>
        <rFont val="Courier New"/>
        <family val="0"/>
        <charset val="1"/>
      </rPr>
      <t xml:space="preserve">';</t>
    </r>
  </si>
  <si>
    <r>
      <rPr>
        <sz val="9"/>
        <rFont val="Courier New"/>
        <family val="0"/>
        <charset val="1"/>
      </rPr>
      <t xml:space="preserve">COMMENT ON COLUMN t_lot.id IS '</t>
    </r>
    <r>
      <rPr>
        <sz val="9"/>
        <rFont val="WenQuanYi Zen Hei"/>
        <family val="2"/>
      </rPr>
      <t xml:space="preserve">ロット</t>
    </r>
    <r>
      <rPr>
        <sz val="9"/>
        <rFont val="Courier New"/>
        <family val="0"/>
        <charset val="1"/>
      </rPr>
      <t xml:space="preserve">ID';</t>
    </r>
  </si>
  <si>
    <r>
      <rPr>
        <sz val="9"/>
        <rFont val="Courier New"/>
        <family val="0"/>
        <charset val="1"/>
      </rPr>
      <t xml:space="preserve">COMMENT ON COLUMN t_lot.lot_no IS '</t>
    </r>
    <r>
      <rPr>
        <sz val="9"/>
        <rFont val="WenQuanYi Zen Hei"/>
        <family val="2"/>
      </rPr>
      <t xml:space="preserve">社内ロット番号</t>
    </r>
    <r>
      <rPr>
        <sz val="9"/>
        <rFont val="Courier New"/>
        <family val="0"/>
        <charset val="1"/>
      </rPr>
      <t xml:space="preserve">';</t>
    </r>
  </si>
  <si>
    <r>
      <rPr>
        <sz val="9"/>
        <rFont val="Courier New"/>
        <family val="0"/>
        <charset val="1"/>
      </rPr>
      <t xml:space="preserve">COMMENT ON COLUMN t_lot.product_id IS '</t>
    </r>
    <r>
      <rPr>
        <sz val="9"/>
        <rFont val="WenQuanYi Zen Hei"/>
        <family val="2"/>
      </rPr>
      <t xml:space="preserve">商品</t>
    </r>
    <r>
      <rPr>
        <sz val="9"/>
        <rFont val="Courier New"/>
        <family val="0"/>
        <charset val="1"/>
      </rPr>
      <t xml:space="preserve">ID';</t>
    </r>
  </si>
  <si>
    <r>
      <rPr>
        <sz val="9"/>
        <rFont val="Courier New"/>
        <family val="0"/>
        <charset val="1"/>
      </rPr>
      <t xml:space="preserve">COMMENT ON COLUMN t_lot.supplier_id IS '</t>
    </r>
    <r>
      <rPr>
        <sz val="9"/>
        <rFont val="WenQuanYi Zen Hei"/>
        <family val="2"/>
      </rPr>
      <t xml:space="preserve">仕入先</t>
    </r>
    <r>
      <rPr>
        <sz val="9"/>
        <rFont val="Courier New"/>
        <family val="0"/>
        <charset val="1"/>
      </rPr>
      <t xml:space="preserve">ID';</t>
    </r>
  </si>
  <si>
    <r>
      <rPr>
        <sz val="9"/>
        <rFont val="Courier New"/>
        <family val="0"/>
        <charset val="1"/>
      </rPr>
      <t xml:space="preserve">COMMENT ON COLUMN t_lot.supplier_lot_no IS '</t>
    </r>
    <r>
      <rPr>
        <sz val="9"/>
        <rFont val="WenQuanYi Zen Hei"/>
        <family val="2"/>
      </rPr>
      <t xml:space="preserve">仕入先ロット番号</t>
    </r>
    <r>
      <rPr>
        <sz val="9"/>
        <rFont val="Courier New"/>
        <family val="0"/>
        <charset val="1"/>
      </rPr>
      <t xml:space="preserve">';</t>
    </r>
  </si>
  <si>
    <r>
      <rPr>
        <sz val="9"/>
        <rFont val="Courier New"/>
        <family val="0"/>
        <charset val="1"/>
      </rPr>
      <t xml:space="preserve">COMMENT ON COLUMN t_lot.manufactured_on IS '</t>
    </r>
    <r>
      <rPr>
        <sz val="9"/>
        <rFont val="WenQuanYi Zen Hei"/>
        <family val="2"/>
      </rPr>
      <t xml:space="preserve">製造日</t>
    </r>
    <r>
      <rPr>
        <sz val="9"/>
        <rFont val="Courier New"/>
        <family val="0"/>
        <charset val="1"/>
      </rPr>
      <t xml:space="preserve">';</t>
    </r>
  </si>
  <si>
    <r>
      <rPr>
        <sz val="9"/>
        <rFont val="Courier New"/>
        <family val="0"/>
        <charset val="1"/>
      </rPr>
      <t xml:space="preserve">COMMENT ON COLUMN t_lot.expires_on IS '</t>
    </r>
    <r>
      <rPr>
        <sz val="9"/>
        <rFont val="WenQuanYi Zen Hei"/>
        <family val="2"/>
      </rPr>
      <t xml:space="preserve">使用期限</t>
    </r>
    <r>
      <rPr>
        <sz val="9"/>
        <rFont val="Courier New"/>
        <family val="0"/>
        <charset val="1"/>
      </rPr>
      <t xml:space="preserve">';</t>
    </r>
  </si>
  <si>
    <r>
      <rPr>
        <sz val="9"/>
        <rFont val="Courier New"/>
        <family val="0"/>
        <charset val="1"/>
      </rPr>
      <t xml:space="preserve">COMMENT ON COLUMN t_lot.received_on IS '</t>
    </r>
    <r>
      <rPr>
        <sz val="9"/>
        <rFont val="WenQuanYi Zen Hei"/>
        <family val="2"/>
      </rPr>
      <t xml:space="preserve">初回入荷日</t>
    </r>
    <r>
      <rPr>
        <sz val="9"/>
        <rFont val="Courier New"/>
        <family val="0"/>
        <charset val="1"/>
      </rPr>
      <t xml:space="preserve">';</t>
    </r>
  </si>
  <si>
    <r>
      <rPr>
        <sz val="9"/>
        <rFont val="Courier New"/>
        <family val="0"/>
        <charset val="1"/>
      </rPr>
      <t xml:space="preserve">COMMENT ON COLUMN t_lot.unit_cost IS '</t>
    </r>
    <r>
      <rPr>
        <sz val="9"/>
        <rFont val="WenQuanYi Zen Hei"/>
        <family val="2"/>
      </rPr>
      <t xml:space="preserve">原価単価（円）</t>
    </r>
    <r>
      <rPr>
        <sz val="9"/>
        <rFont val="Courier New"/>
        <family val="0"/>
        <charset val="1"/>
      </rPr>
      <t xml:space="preserve">';</t>
    </r>
  </si>
  <si>
    <r>
      <rPr>
        <sz val="9"/>
        <rFont val="Courier New"/>
        <family val="0"/>
        <charset val="1"/>
      </rPr>
      <t xml:space="preserve">COMMENT ON COLUMN t_lot.measured_particle_conc IS '</t>
    </r>
    <r>
      <rPr>
        <sz val="9"/>
        <rFont val="WenQuanYi Zen Hei"/>
        <family val="2"/>
      </rPr>
      <t xml:space="preserve">実測粒子濃度（個</t>
    </r>
    <r>
      <rPr>
        <sz val="9"/>
        <rFont val="Courier New"/>
        <family val="0"/>
        <charset val="1"/>
      </rPr>
      <t xml:space="preserve">/mL</t>
    </r>
    <r>
      <rPr>
        <sz val="9"/>
        <rFont val="WenQuanYi Zen Hei"/>
        <family val="2"/>
      </rPr>
      <t xml:space="preserve">）</t>
    </r>
    <r>
      <rPr>
        <sz val="9"/>
        <rFont val="Courier New"/>
        <family val="0"/>
        <charset val="1"/>
      </rPr>
      <t xml:space="preserve">';</t>
    </r>
  </si>
  <si>
    <r>
      <rPr>
        <sz val="9"/>
        <rFont val="Courier New"/>
        <family val="0"/>
        <charset val="1"/>
      </rPr>
      <t xml:space="preserve">COMMENT ON COLUMN t_lot.status IS '</t>
    </r>
    <r>
      <rPr>
        <sz val="9"/>
        <rFont val="WenQuanYi Zen Hei"/>
        <family val="2"/>
      </rPr>
      <t xml:space="preserve">ロットステータス</t>
    </r>
    <r>
      <rPr>
        <sz val="9"/>
        <rFont val="Courier New"/>
        <family val="0"/>
        <charset val="1"/>
      </rPr>
      <t xml:space="preserve">';</t>
    </r>
  </si>
  <si>
    <r>
      <rPr>
        <sz val="9"/>
        <rFont val="Courier New"/>
        <family val="0"/>
        <charset val="1"/>
      </rPr>
      <t xml:space="preserve">COMMENT ON COLUMN t_lot.status_reason IS '</t>
    </r>
    <r>
      <rPr>
        <sz val="9"/>
        <rFont val="WenQuanYi Zen Hei"/>
        <family val="2"/>
      </rPr>
      <t xml:space="preserve">最新ステータス変更理由</t>
    </r>
    <r>
      <rPr>
        <sz val="9"/>
        <rFont val="Courier New"/>
        <family val="0"/>
        <charset val="1"/>
      </rPr>
      <t xml:space="preserve">';</t>
    </r>
  </si>
  <si>
    <r>
      <rPr>
        <sz val="9"/>
        <rFont val="Courier New"/>
        <family val="0"/>
        <charset val="1"/>
      </rPr>
      <t xml:space="preserve">COMMENT ON COLUMN t_lot.inspected_by IS '</t>
    </r>
    <r>
      <rPr>
        <sz val="9"/>
        <rFont val="WenQuanYi Zen Hei"/>
        <family val="2"/>
      </rPr>
      <t xml:space="preserve">検品者</t>
    </r>
    <r>
      <rPr>
        <sz val="9"/>
        <rFont val="Courier New"/>
        <family val="0"/>
        <charset val="1"/>
      </rPr>
      <t xml:space="preserve">';</t>
    </r>
  </si>
  <si>
    <r>
      <rPr>
        <sz val="9"/>
        <rFont val="Courier New"/>
        <family val="0"/>
        <charset val="1"/>
      </rPr>
      <t xml:space="preserve">COMMENT ON COLUMN t_lot.inspected_at IS '</t>
    </r>
    <r>
      <rPr>
        <sz val="9"/>
        <rFont val="WenQuanYi Zen Hei"/>
        <family val="2"/>
      </rPr>
      <t xml:space="preserve">検品日時</t>
    </r>
    <r>
      <rPr>
        <sz val="9"/>
        <rFont val="Courier New"/>
        <family val="0"/>
        <charset val="1"/>
      </rPr>
      <t xml:space="preserve">';</t>
    </r>
  </si>
  <si>
    <r>
      <rPr>
        <sz val="9"/>
        <rFont val="Courier New"/>
        <family val="0"/>
        <charset val="1"/>
      </rPr>
      <t xml:space="preserve">COMMENT ON COLUMN t_lot.created_at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</si>
  <si>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t_lot.created_by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</si>
  <si>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t_lot.updated_at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</si>
  <si>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t_lot.updated_by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</si>
  <si>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t_lot.version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</si>
  <si>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受注：受注ヘッダ</t>
    </r>
  </si>
  <si>
    <t xml:space="preserve">CREATE TABLE t_sales_order (</t>
  </si>
  <si>
    <t xml:space="preserve">  so_no VARCHAR(20) NOT NULL,</t>
  </si>
  <si>
    <t xml:space="preserve">  ship_to_id BIGINT NOT NULL REFERENCES m_ship_to(id),</t>
  </si>
  <si>
    <t xml:space="preserve">  requested_date DATE,</t>
  </si>
  <si>
    <t xml:space="preserve">  sales_user_id BIGINT NOT NULL REFERENCES m_user(id),</t>
  </si>
  <si>
    <t xml:space="preserve">  credit_approved_by BIGINT REFERENCES m_user(id),</t>
  </si>
  <si>
    <t xml:space="preserve">  credit_approved_at TIMESTAMPTZ,</t>
  </si>
  <si>
    <r>
      <rPr>
        <sz val="9"/>
        <rFont val="Courier New"/>
        <family val="0"/>
        <charset val="1"/>
      </rPr>
      <t xml:space="preserve">COMMENT ON TABLE t_sales_order IS '</t>
    </r>
    <r>
      <rPr>
        <sz val="9"/>
        <rFont val="WenQuanYi Zen Hei"/>
        <family val="2"/>
      </rPr>
      <t xml:space="preserve">受注</t>
    </r>
    <r>
      <rPr>
        <sz val="9"/>
        <rFont val="Courier New"/>
        <family val="0"/>
        <charset val="1"/>
      </rPr>
      <t xml:space="preserve">';</t>
    </r>
  </si>
  <si>
    <r>
      <rPr>
        <sz val="9"/>
        <rFont val="Courier New"/>
        <family val="0"/>
        <charset val="1"/>
      </rPr>
      <t xml:space="preserve">COMMENT ON COLUMN t_sales_order.id IS '</t>
    </r>
    <r>
      <rPr>
        <sz val="9"/>
        <rFont val="WenQuanYi Zen Hei"/>
        <family val="2"/>
      </rPr>
      <t xml:space="preserve">受注</t>
    </r>
    <r>
      <rPr>
        <sz val="9"/>
        <rFont val="Courier New"/>
        <family val="0"/>
        <charset val="1"/>
      </rPr>
      <t xml:space="preserve">ID';</t>
    </r>
  </si>
  <si>
    <r>
      <rPr>
        <sz val="9"/>
        <rFont val="Courier New"/>
        <family val="0"/>
        <charset val="1"/>
      </rPr>
      <t xml:space="preserve">COMMENT ON COLUMN t_sales_order.so_no IS '</t>
    </r>
    <r>
      <rPr>
        <sz val="9"/>
        <rFont val="WenQuanYi Zen Hei"/>
        <family val="2"/>
      </rPr>
      <t xml:space="preserve">受注番号</t>
    </r>
    <r>
      <rPr>
        <sz val="9"/>
        <rFont val="Courier New"/>
        <family val="0"/>
        <charset val="1"/>
      </rPr>
      <t xml:space="preserve">';</t>
    </r>
  </si>
  <si>
    <r>
      <rPr>
        <sz val="9"/>
        <rFont val="Courier New"/>
        <family val="0"/>
        <charset val="1"/>
      </rPr>
      <t xml:space="preserve">COMMENT ON COLUMN t_sales_order.customer_id IS '</t>
    </r>
    <r>
      <rPr>
        <sz val="9"/>
        <rFont val="WenQuanYi Zen Hei"/>
        <family val="2"/>
      </rPr>
      <t xml:space="preserve">顧客</t>
    </r>
    <r>
      <rPr>
        <sz val="9"/>
        <rFont val="Courier New"/>
        <family val="0"/>
        <charset val="1"/>
      </rPr>
      <t xml:space="preserve">ID';</t>
    </r>
  </si>
  <si>
    <r>
      <rPr>
        <sz val="9"/>
        <rFont val="Courier New"/>
        <family val="0"/>
        <charset val="1"/>
      </rPr>
      <t xml:space="preserve">COMMENT ON COLUMN t_sales_order.ship_to_id IS '</t>
    </r>
    <r>
      <rPr>
        <sz val="9"/>
        <rFont val="WenQuanYi Zen Hei"/>
        <family val="2"/>
      </rPr>
      <t xml:space="preserve">納品先</t>
    </r>
    <r>
      <rPr>
        <sz val="9"/>
        <rFont val="Courier New"/>
        <family val="0"/>
        <charset val="1"/>
      </rPr>
      <t xml:space="preserve">ID';</t>
    </r>
  </si>
  <si>
    <r>
      <rPr>
        <sz val="9"/>
        <rFont val="Courier New"/>
        <family val="0"/>
        <charset val="1"/>
      </rPr>
      <t xml:space="preserve">COMMENT ON COLUMN t_sales_order.order_date IS '</t>
    </r>
    <r>
      <rPr>
        <sz val="9"/>
        <rFont val="WenQuanYi Zen Hei"/>
        <family val="2"/>
      </rPr>
      <t xml:space="preserve">受注日</t>
    </r>
    <r>
      <rPr>
        <sz val="9"/>
        <rFont val="Courier New"/>
        <family val="0"/>
        <charset val="1"/>
      </rPr>
      <t xml:space="preserve">';</t>
    </r>
  </si>
  <si>
    <r>
      <rPr>
        <sz val="9"/>
        <rFont val="Courier New"/>
        <family val="0"/>
        <charset val="1"/>
      </rPr>
      <t xml:space="preserve">COMMENT ON COLUMN t_sales_order.requested_date IS '</t>
    </r>
    <r>
      <rPr>
        <sz val="9"/>
        <rFont val="WenQuanYi Zen Hei"/>
        <family val="2"/>
      </rPr>
      <t xml:space="preserve">希望納期</t>
    </r>
    <r>
      <rPr>
        <sz val="9"/>
        <rFont val="Courier New"/>
        <family val="0"/>
        <charset val="1"/>
      </rPr>
      <t xml:space="preserve">';</t>
    </r>
  </si>
  <si>
    <r>
      <rPr>
        <sz val="9"/>
        <rFont val="Courier New"/>
        <family val="0"/>
        <charset val="1"/>
      </rPr>
      <t xml:space="preserve">COMMENT ON COLUMN t_sales_order.sales_user_id IS '</t>
    </r>
    <r>
      <rPr>
        <sz val="9"/>
        <rFont val="WenQuanYi Zen Hei"/>
        <family val="2"/>
      </rPr>
      <t xml:space="preserve">営業担当</t>
    </r>
    <r>
      <rPr>
        <sz val="9"/>
        <rFont val="Courier New"/>
        <family val="0"/>
        <charset val="1"/>
      </rPr>
      <t xml:space="preserve">';</t>
    </r>
  </si>
  <si>
    <r>
      <rPr>
        <sz val="9"/>
        <rFont val="Courier New"/>
        <family val="0"/>
        <charset val="1"/>
      </rPr>
      <t xml:space="preserve">COMMENT ON COLUMN t_sales_order.credit_approved_by IS '</t>
    </r>
    <r>
      <rPr>
        <sz val="9"/>
        <rFont val="WenQuanYi Zen Hei"/>
        <family val="2"/>
      </rPr>
      <t xml:space="preserve">与信超過承認者</t>
    </r>
    <r>
      <rPr>
        <sz val="9"/>
        <rFont val="Courier New"/>
        <family val="0"/>
        <charset val="1"/>
      </rPr>
      <t xml:space="preserve">';</t>
    </r>
  </si>
  <si>
    <r>
      <rPr>
        <sz val="9"/>
        <rFont val="Courier New"/>
        <family val="0"/>
        <charset val="1"/>
      </rPr>
      <t xml:space="preserve">COMMENT ON COLUMN t_sales_order.credit_approved_at IS '</t>
    </r>
    <r>
      <rPr>
        <sz val="9"/>
        <rFont val="WenQuanYi Zen Hei"/>
        <family val="2"/>
      </rPr>
      <t xml:space="preserve">与信超過承認日時</t>
    </r>
    <r>
      <rPr>
        <sz val="9"/>
        <rFont val="Courier New"/>
        <family val="0"/>
        <charset val="1"/>
      </rPr>
      <t xml:space="preserve">';</t>
    </r>
  </si>
  <si>
    <r>
      <rPr>
        <sz val="9"/>
        <rFont val="Courier New"/>
        <family val="0"/>
        <charset val="1"/>
      </rPr>
      <t xml:space="preserve">COMMENT ON COLUMN t_sales_order.status IS '</t>
    </r>
    <r>
      <rPr>
        <sz val="9"/>
        <rFont val="WenQuanYi Zen Hei"/>
        <family val="2"/>
      </rPr>
      <t xml:space="preserve">ステータス</t>
    </r>
    <r>
      <rPr>
        <sz val="9"/>
        <rFont val="Courier New"/>
        <family val="0"/>
        <charset val="1"/>
      </rPr>
      <t xml:space="preserve">';</t>
    </r>
  </si>
  <si>
    <r>
      <rPr>
        <sz val="9"/>
        <rFont val="Courier New"/>
        <family val="0"/>
        <charset val="1"/>
      </rPr>
      <t xml:space="preserve">COMMENT ON COLUMN t_sales_order.note IS '</t>
    </r>
    <r>
      <rPr>
        <sz val="9"/>
        <rFont val="WenQuanYi Zen Hei"/>
        <family val="2"/>
      </rPr>
      <t xml:space="preserve">備考</t>
    </r>
    <r>
      <rPr>
        <sz val="9"/>
        <rFont val="Courier New"/>
        <family val="0"/>
        <charset val="1"/>
      </rPr>
      <t xml:space="preserve">';</t>
    </r>
  </si>
  <si>
    <r>
      <rPr>
        <sz val="9"/>
        <rFont val="Courier New"/>
        <family val="0"/>
        <charset val="1"/>
      </rPr>
      <t xml:space="preserve">COMMENT ON COLUMN t_sales_order.created_at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</si>
  <si>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t_sales_order.created_by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</si>
  <si>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t_sales_order.updated_at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</si>
  <si>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t_sales_order.updated_by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</si>
  <si>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t_sales_order.version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</si>
  <si>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入荷明細：入荷明細（入荷明細</t>
    </r>
    <r>
      <rPr>
        <sz val="9"/>
        <rFont val="Courier New"/>
        <family val="0"/>
        <charset val="1"/>
      </rPr>
      <t xml:space="preserve">:</t>
    </r>
    <r>
      <rPr>
        <sz val="9"/>
        <rFont val="WenQuanYi Zen Hei"/>
        <family val="2"/>
      </rPr>
      <t xml:space="preserve">ロット＝多</t>
    </r>
    <r>
      <rPr>
        <sz val="9"/>
        <rFont val="Courier New"/>
        <family val="0"/>
        <charset val="1"/>
      </rPr>
      <t xml:space="preserve">:1</t>
    </r>
    <r>
      <rPr>
        <sz val="9"/>
        <rFont val="WenQuanYi Zen Hei"/>
        <family val="2"/>
      </rPr>
      <t xml:space="preserve">。分納は同一ロットに加算）</t>
    </r>
  </si>
  <si>
    <t xml:space="preserve">CREATE TABLE t_receipt_line (</t>
  </si>
  <si>
    <t xml:space="preserve">  receipt_id BIGINT NOT NULL REFERENCES t_receipt(id),</t>
  </si>
  <si>
    <t xml:space="preserve">  purchase_order_line_id BIGINT REFERENCES t_purchase_order_line(id),</t>
  </si>
  <si>
    <t xml:space="preserve">  arrival_temp NUMERIC(5,1),</t>
  </si>
  <si>
    <t xml:space="preserve">  lot_id BIGINT REFERENCES t_lot(id),</t>
  </si>
  <si>
    <t xml:space="preserve">  split_status VARCHAR(20),</t>
  </si>
  <si>
    <r>
      <rPr>
        <sz val="9"/>
        <rFont val="Courier New"/>
        <family val="0"/>
        <charset val="1"/>
      </rPr>
      <t xml:space="preserve">COMMENT ON TABLE t_receipt_line IS '</t>
    </r>
    <r>
      <rPr>
        <sz val="9"/>
        <rFont val="WenQuanYi Zen Hei"/>
        <family val="2"/>
      </rPr>
      <t xml:space="preserve">入荷明細</t>
    </r>
    <r>
      <rPr>
        <sz val="9"/>
        <rFont val="Courier New"/>
        <family val="0"/>
        <charset val="1"/>
      </rPr>
      <t xml:space="preserve">';</t>
    </r>
  </si>
  <si>
    <r>
      <rPr>
        <sz val="9"/>
        <rFont val="Courier New"/>
        <family val="0"/>
        <charset val="1"/>
      </rPr>
      <t xml:space="preserve">COMMENT ON COLUMN t_receipt_line.id IS '</t>
    </r>
    <r>
      <rPr>
        <sz val="9"/>
        <rFont val="WenQuanYi Zen Hei"/>
        <family val="2"/>
      </rPr>
      <t xml:space="preserve">入荷明細</t>
    </r>
    <r>
      <rPr>
        <sz val="9"/>
        <rFont val="Courier New"/>
        <family val="0"/>
        <charset val="1"/>
      </rPr>
      <t xml:space="preserve">ID';</t>
    </r>
  </si>
  <si>
    <r>
      <rPr>
        <sz val="9"/>
        <rFont val="Courier New"/>
        <family val="0"/>
        <charset val="1"/>
      </rPr>
      <t xml:space="preserve">COMMENT ON COLUMN t_receipt_line.receipt_id IS '</t>
    </r>
    <r>
      <rPr>
        <sz val="9"/>
        <rFont val="WenQuanYi Zen Hei"/>
        <family val="2"/>
      </rPr>
      <t xml:space="preserve">入荷</t>
    </r>
    <r>
      <rPr>
        <sz val="9"/>
        <rFont val="Courier New"/>
        <family val="0"/>
        <charset val="1"/>
      </rPr>
      <t xml:space="preserve">ID';</t>
    </r>
  </si>
  <si>
    <r>
      <rPr>
        <sz val="9"/>
        <rFont val="Courier New"/>
        <family val="0"/>
        <charset val="1"/>
      </rPr>
      <t xml:space="preserve">COMMENT ON COLUMN t_receipt_line.purchase_order_line_id IS '</t>
    </r>
    <r>
      <rPr>
        <sz val="9"/>
        <rFont val="WenQuanYi Zen Hei"/>
        <family val="2"/>
      </rPr>
      <t xml:space="preserve">発注明細</t>
    </r>
    <r>
      <rPr>
        <sz val="9"/>
        <rFont val="Courier New"/>
        <family val="0"/>
        <charset val="1"/>
      </rPr>
      <t xml:space="preserve">ID';</t>
    </r>
  </si>
  <si>
    <r>
      <rPr>
        <sz val="9"/>
        <rFont val="Courier New"/>
        <family val="0"/>
        <charset val="1"/>
      </rPr>
      <t xml:space="preserve">COMMENT ON COLUMN t_receipt_line.product_id IS '</t>
    </r>
    <r>
      <rPr>
        <sz val="9"/>
        <rFont val="WenQuanYi Zen Hei"/>
        <family val="2"/>
      </rPr>
      <t xml:space="preserve">商品</t>
    </r>
    <r>
      <rPr>
        <sz val="9"/>
        <rFont val="Courier New"/>
        <family val="0"/>
        <charset val="1"/>
      </rPr>
      <t xml:space="preserve">ID';</t>
    </r>
  </si>
  <si>
    <r>
      <rPr>
        <sz val="9"/>
        <rFont val="Courier New"/>
        <family val="0"/>
        <charset val="1"/>
      </rPr>
      <t xml:space="preserve">COMMENT ON COLUMN t_receipt_line.supplier_lot_no IS '</t>
    </r>
    <r>
      <rPr>
        <sz val="9"/>
        <rFont val="WenQuanYi Zen Hei"/>
        <family val="2"/>
      </rPr>
      <t xml:space="preserve">仕入先ロット番号</t>
    </r>
    <r>
      <rPr>
        <sz val="9"/>
        <rFont val="Courier New"/>
        <family val="0"/>
        <charset val="1"/>
      </rPr>
      <t xml:space="preserve">';</t>
    </r>
  </si>
  <si>
    <r>
      <rPr>
        <sz val="9"/>
        <rFont val="Courier New"/>
        <family val="0"/>
        <charset val="1"/>
      </rPr>
      <t xml:space="preserve">COMMENT ON COLUMN t_receipt_line.manufactured_on IS '</t>
    </r>
    <r>
      <rPr>
        <sz val="9"/>
        <rFont val="WenQuanYi Zen Hei"/>
        <family val="2"/>
      </rPr>
      <t xml:space="preserve">製造日</t>
    </r>
    <r>
      <rPr>
        <sz val="9"/>
        <rFont val="Courier New"/>
        <family val="0"/>
        <charset val="1"/>
      </rPr>
      <t xml:space="preserve">';</t>
    </r>
  </si>
  <si>
    <r>
      <rPr>
        <sz val="9"/>
        <rFont val="Courier New"/>
        <family val="0"/>
        <charset val="1"/>
      </rPr>
      <t xml:space="preserve">COMMENT ON COLUMN t_receipt_line.expires_on IS '</t>
    </r>
    <r>
      <rPr>
        <sz val="9"/>
        <rFont val="WenQuanYi Zen Hei"/>
        <family val="2"/>
      </rPr>
      <t xml:space="preserve">使用期限</t>
    </r>
    <r>
      <rPr>
        <sz val="9"/>
        <rFont val="Courier New"/>
        <family val="0"/>
        <charset val="1"/>
      </rPr>
      <t xml:space="preserve">';</t>
    </r>
  </si>
  <si>
    <r>
      <rPr>
        <sz val="9"/>
        <rFont val="Courier New"/>
        <family val="0"/>
        <charset val="1"/>
      </rPr>
      <t xml:space="preserve">COMMENT ON COLUMN t_receipt_line.arrival_temp IS '</t>
    </r>
    <r>
      <rPr>
        <sz val="9"/>
        <rFont val="WenQuanYi Zen Hei"/>
        <family val="2"/>
      </rPr>
      <t xml:space="preserve">到着時温度（℃）</t>
    </r>
    <r>
      <rPr>
        <sz val="9"/>
        <rFont val="Courier New"/>
        <family val="0"/>
        <charset val="1"/>
      </rPr>
      <t xml:space="preserve">';</t>
    </r>
  </si>
  <si>
    <r>
      <rPr>
        <sz val="9"/>
        <rFont val="Courier New"/>
        <family val="0"/>
        <charset val="1"/>
      </rPr>
      <t xml:space="preserve">COMMENT ON COLUMN t_receipt_line.lot_id IS '</t>
    </r>
    <r>
      <rPr>
        <sz val="9"/>
        <rFont val="WenQuanYi Zen Hei"/>
        <family val="2"/>
      </rPr>
      <t xml:space="preserve">ロット</t>
    </r>
    <r>
      <rPr>
        <sz val="9"/>
        <rFont val="Courier New"/>
        <family val="0"/>
        <charset val="1"/>
      </rPr>
      <t xml:space="preserve">ID';</t>
    </r>
  </si>
  <si>
    <r>
      <rPr>
        <sz val="9"/>
        <rFont val="Courier New"/>
        <family val="0"/>
        <charset val="1"/>
      </rPr>
      <t xml:space="preserve">COMMENT ON COLUMN t_receipt_line.split_status IS '</t>
    </r>
    <r>
      <rPr>
        <sz val="9"/>
        <rFont val="WenQuanYi Zen Hei"/>
        <family val="2"/>
      </rPr>
      <t xml:space="preserve">分納判定</t>
    </r>
    <r>
      <rPr>
        <sz val="9"/>
        <rFont val="Courier New"/>
        <family val="0"/>
        <charset val="1"/>
      </rPr>
      <t xml:space="preserve">';</t>
    </r>
  </si>
  <si>
    <r>
      <rPr>
        <sz val="9"/>
        <rFont val="Courier New"/>
        <family val="0"/>
        <charset val="1"/>
      </rPr>
      <t xml:space="preserve">COMMENT ON COLUMN t_receipt_line.location_id IS '</t>
    </r>
    <r>
      <rPr>
        <sz val="9"/>
        <rFont val="WenQuanYi Zen Hei"/>
        <family val="2"/>
      </rPr>
      <t xml:space="preserve">入庫保管場所</t>
    </r>
    <r>
      <rPr>
        <sz val="9"/>
        <rFont val="Courier New"/>
        <family val="0"/>
        <charset val="1"/>
      </rPr>
      <t xml:space="preserve">ID';</t>
    </r>
  </si>
  <si>
    <r>
      <rPr>
        <sz val="9"/>
        <rFont val="Courier New"/>
        <family val="0"/>
        <charset val="1"/>
      </rPr>
      <t xml:space="preserve">COMMENT ON COLUMN t_receipt_line.quantity IS '</t>
    </r>
    <r>
      <rPr>
        <sz val="9"/>
        <rFont val="WenQuanYi Zen Hei"/>
        <family val="2"/>
      </rPr>
      <t xml:space="preserve">入荷数量</t>
    </r>
    <r>
      <rPr>
        <sz val="9"/>
        <rFont val="Courier New"/>
        <family val="0"/>
        <charset val="1"/>
      </rPr>
      <t xml:space="preserve">';</t>
    </r>
  </si>
  <si>
    <r>
      <rPr>
        <sz val="9"/>
        <rFont val="Courier New"/>
        <family val="0"/>
        <charset val="1"/>
      </rPr>
      <t xml:space="preserve">COMMENT ON COLUMN t_receipt_line.unit_price IS '</t>
    </r>
    <r>
      <rPr>
        <sz val="9"/>
        <rFont val="WenQuanYi Zen Hei"/>
        <family val="2"/>
      </rPr>
      <t xml:space="preserve">仕入単価（円）</t>
    </r>
    <r>
      <rPr>
        <sz val="9"/>
        <rFont val="Courier New"/>
        <family val="0"/>
        <charset val="1"/>
      </rPr>
      <t xml:space="preserve">';</t>
    </r>
  </si>
  <si>
    <r>
      <rPr>
        <sz val="9"/>
        <rFont val="Courier New"/>
        <family val="0"/>
        <charset val="1"/>
      </rPr>
      <t xml:space="preserve">COMMENT ON COLUMN t_receipt_line.created_at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</si>
  <si>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t_receipt_line.created_by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</si>
  <si>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t_receipt_line.updated_at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</si>
  <si>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t_receipt_line.updated_by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</si>
  <si>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t_receipt_line.version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</si>
  <si>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ロットステータス履歴：ロット判定・状態変更の経緯（追記のみ）</t>
    </r>
  </si>
  <si>
    <t xml:space="preserve">CREATE TABLE t_lot_status_history (</t>
  </si>
  <si>
    <t xml:space="preserve">  lot_id BIGINT NOT NULL REFERENCES t_lot(id),</t>
  </si>
  <si>
    <t xml:space="preserve">  from_status VARCHAR(20),</t>
  </si>
  <si>
    <t xml:space="preserve">  to_status VARCHAR(20) NOT NULL,</t>
  </si>
  <si>
    <t xml:space="preserve">  reason TEXT,</t>
  </si>
  <si>
    <t xml:space="preserve">  temperature_log_id BIGINT REFERENCES t_temperature_log(id),</t>
  </si>
  <si>
    <t xml:space="preserve">  recall_id BIGINT REFERENCES t_recall(id),</t>
  </si>
  <si>
    <t xml:space="preserve">  changed_at TIMESTAMPTZ NOT NULL DEFAULT now(),</t>
  </si>
  <si>
    <r>
      <rPr>
        <sz val="9"/>
        <rFont val="Courier New"/>
        <family val="0"/>
        <charset val="1"/>
      </rPr>
      <t xml:space="preserve">COMMENT ON TABLE t_lot_status_history IS '</t>
    </r>
    <r>
      <rPr>
        <sz val="9"/>
        <rFont val="WenQuanYi Zen Hei"/>
        <family val="2"/>
      </rPr>
      <t xml:space="preserve">ロットステータス履歴</t>
    </r>
    <r>
      <rPr>
        <sz val="9"/>
        <rFont val="Courier New"/>
        <family val="0"/>
        <charset val="1"/>
      </rPr>
      <t xml:space="preserve">';</t>
    </r>
  </si>
  <si>
    <t xml:space="preserve">COMMENT ON COLUMN t_lot_status_history.id IS 'ID';</t>
  </si>
  <si>
    <r>
      <rPr>
        <sz val="9"/>
        <rFont val="Courier New"/>
        <family val="0"/>
        <charset val="1"/>
      </rPr>
      <t xml:space="preserve">COMMENT ON COLUMN t_lot_status_history.lot_id IS '</t>
    </r>
    <r>
      <rPr>
        <sz val="9"/>
        <rFont val="WenQuanYi Zen Hei"/>
        <family val="2"/>
      </rPr>
      <t xml:space="preserve">ロット</t>
    </r>
    <r>
      <rPr>
        <sz val="9"/>
        <rFont val="Courier New"/>
        <family val="0"/>
        <charset val="1"/>
      </rPr>
      <t xml:space="preserve">ID';</t>
    </r>
  </si>
  <si>
    <r>
      <rPr>
        <sz val="9"/>
        <rFont val="Courier New"/>
        <family val="0"/>
        <charset val="1"/>
      </rPr>
      <t xml:space="preserve">COMMENT ON COLUMN t_lot_status_history.from_status IS '</t>
    </r>
    <r>
      <rPr>
        <sz val="9"/>
        <rFont val="WenQuanYi Zen Hei"/>
        <family val="2"/>
      </rPr>
      <t xml:space="preserve">変更前ステータス</t>
    </r>
    <r>
      <rPr>
        <sz val="9"/>
        <rFont val="Courier New"/>
        <family val="0"/>
        <charset val="1"/>
      </rPr>
      <t xml:space="preserve">';</t>
    </r>
  </si>
  <si>
    <r>
      <rPr>
        <sz val="9"/>
        <rFont val="Courier New"/>
        <family val="0"/>
        <charset val="1"/>
      </rPr>
      <t xml:space="preserve">COMMENT ON COLUMN t_lot_status_history.to_status IS '</t>
    </r>
    <r>
      <rPr>
        <sz val="9"/>
        <rFont val="WenQuanYi Zen Hei"/>
        <family val="2"/>
      </rPr>
      <t xml:space="preserve">変更後ステータス</t>
    </r>
    <r>
      <rPr>
        <sz val="9"/>
        <rFont val="Courier New"/>
        <family val="0"/>
        <charset val="1"/>
      </rPr>
      <t xml:space="preserve">';</t>
    </r>
  </si>
  <si>
    <r>
      <rPr>
        <sz val="9"/>
        <rFont val="Courier New"/>
        <family val="0"/>
        <charset val="1"/>
      </rPr>
      <t xml:space="preserve">COMMENT ON COLUMN t_lot_status_history.reason IS '</t>
    </r>
    <r>
      <rPr>
        <sz val="9"/>
        <rFont val="WenQuanYi Zen Hei"/>
        <family val="2"/>
      </rPr>
      <t xml:space="preserve">理由</t>
    </r>
    <r>
      <rPr>
        <sz val="9"/>
        <rFont val="Courier New"/>
        <family val="0"/>
        <charset val="1"/>
      </rPr>
      <t xml:space="preserve">';</t>
    </r>
  </si>
  <si>
    <r>
      <rPr>
        <sz val="9"/>
        <rFont val="Courier New"/>
        <family val="0"/>
        <charset val="1"/>
      </rPr>
      <t xml:space="preserve">COMMENT ON COLUMN t_lot_status_history.temperature_log_id IS '</t>
    </r>
    <r>
      <rPr>
        <sz val="9"/>
        <rFont val="WenQuanYi Zen Hei"/>
        <family val="2"/>
      </rPr>
      <t xml:space="preserve">関連温度記録</t>
    </r>
    <r>
      <rPr>
        <sz val="9"/>
        <rFont val="Courier New"/>
        <family val="0"/>
        <charset val="1"/>
      </rPr>
      <t xml:space="preserve">ID';</t>
    </r>
  </si>
  <si>
    <r>
      <rPr>
        <sz val="9"/>
        <rFont val="Courier New"/>
        <family val="0"/>
        <charset val="1"/>
      </rPr>
      <t xml:space="preserve">COMMENT ON COLUMN t_lot_status_history.recall_id IS '</t>
    </r>
    <r>
      <rPr>
        <sz val="9"/>
        <rFont val="WenQuanYi Zen Hei"/>
        <family val="2"/>
      </rPr>
      <t xml:space="preserve">関連回収案件</t>
    </r>
    <r>
      <rPr>
        <sz val="9"/>
        <rFont val="Courier New"/>
        <family val="0"/>
        <charset val="1"/>
      </rPr>
      <t xml:space="preserve">ID';</t>
    </r>
  </si>
  <si>
    <r>
      <rPr>
        <sz val="9"/>
        <rFont val="Courier New"/>
        <family val="0"/>
        <charset val="1"/>
      </rPr>
      <t xml:space="preserve">COMMENT ON COLUMN t_lot_status_history.changed_at IS '</t>
    </r>
    <r>
      <rPr>
        <sz val="9"/>
        <rFont val="WenQuanYi Zen Hei"/>
        <family val="2"/>
      </rPr>
      <t xml:space="preserve">変更日時</t>
    </r>
    <r>
      <rPr>
        <sz val="9"/>
        <rFont val="Courier New"/>
        <family val="0"/>
        <charset val="1"/>
      </rPr>
      <t xml:space="preserve">';</t>
    </r>
  </si>
  <si>
    <r>
      <rPr>
        <sz val="9"/>
        <rFont val="Courier New"/>
        <family val="0"/>
        <charset val="1"/>
      </rPr>
      <t xml:space="preserve">COMMENT ON COLUMN t_lot_status_history.created_at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</si>
  <si>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t_lot_status_history.created_by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</si>
  <si>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 </t>
    </r>
    <r>
      <rPr>
        <sz val="9"/>
        <rFont val="WenQuanYi Zen Hei"/>
        <family val="2"/>
      </rPr>
      <t xml:space="preserve">在庫：ロット</t>
    </r>
    <r>
      <rPr>
        <sz val="9"/>
        <rFont val="Courier New"/>
        <family val="0"/>
        <charset val="1"/>
      </rPr>
      <t xml:space="preserve">×</t>
    </r>
    <r>
      <rPr>
        <sz val="9"/>
        <rFont val="WenQuanYi Zen Hei"/>
        <family val="2"/>
      </rPr>
      <t xml:space="preserve">保管場所の現在庫（移動履歴の集計結果）</t>
    </r>
  </si>
  <si>
    <t xml:space="preserve">CREATE TABLE t_inventory (</t>
  </si>
  <si>
    <t xml:space="preserve">  on_hand_qty INTEGER NOT NULL DEFAULT 0,</t>
  </si>
  <si>
    <t xml:space="preserve">  allocated_qty INTEGER NOT NULL DEFAULT 0,</t>
  </si>
  <si>
    <r>
      <rPr>
        <sz val="9"/>
        <rFont val="Courier New"/>
        <family val="0"/>
        <charset val="1"/>
      </rPr>
      <t xml:space="preserve">COMMENT ON TABLE t_inventory IS '</t>
    </r>
    <r>
      <rPr>
        <sz val="9"/>
        <rFont val="WenQuanYi Zen Hei"/>
        <family val="2"/>
      </rPr>
      <t xml:space="preserve">在庫</t>
    </r>
    <r>
      <rPr>
        <sz val="9"/>
        <rFont val="Courier New"/>
        <family val="0"/>
        <charset val="1"/>
      </rPr>
      <t xml:space="preserve">';</t>
    </r>
  </si>
  <si>
    <r>
      <rPr>
        <sz val="9"/>
        <rFont val="Courier New"/>
        <family val="0"/>
        <charset val="1"/>
      </rPr>
      <t xml:space="preserve">COMMENT ON COLUMN t_inventory.id IS '</t>
    </r>
    <r>
      <rPr>
        <sz val="9"/>
        <rFont val="WenQuanYi Zen Hei"/>
        <family val="2"/>
      </rPr>
      <t xml:space="preserve">在庫</t>
    </r>
    <r>
      <rPr>
        <sz val="9"/>
        <rFont val="Courier New"/>
        <family val="0"/>
        <charset val="1"/>
      </rPr>
      <t xml:space="preserve">ID';</t>
    </r>
  </si>
  <si>
    <r>
      <rPr>
        <sz val="9"/>
        <rFont val="Courier New"/>
        <family val="0"/>
        <charset val="1"/>
      </rPr>
      <t xml:space="preserve">COMMENT ON COLUMN t_inventory.lot_id IS '</t>
    </r>
    <r>
      <rPr>
        <sz val="9"/>
        <rFont val="WenQuanYi Zen Hei"/>
        <family val="2"/>
      </rPr>
      <t xml:space="preserve">ロット</t>
    </r>
    <r>
      <rPr>
        <sz val="9"/>
        <rFont val="Courier New"/>
        <family val="0"/>
        <charset val="1"/>
      </rPr>
      <t xml:space="preserve">ID';</t>
    </r>
  </si>
  <si>
    <r>
      <rPr>
        <sz val="9"/>
        <rFont val="Courier New"/>
        <family val="0"/>
        <charset val="1"/>
      </rPr>
      <t xml:space="preserve">COMMENT ON COLUMN t_inventory.location_id IS '</t>
    </r>
    <r>
      <rPr>
        <sz val="9"/>
        <rFont val="WenQuanYi Zen Hei"/>
        <family val="2"/>
      </rPr>
      <t xml:space="preserve">保管場所</t>
    </r>
    <r>
      <rPr>
        <sz val="9"/>
        <rFont val="Courier New"/>
        <family val="0"/>
        <charset val="1"/>
      </rPr>
      <t xml:space="preserve">ID';</t>
    </r>
  </si>
  <si>
    <r>
      <rPr>
        <sz val="9"/>
        <rFont val="Courier New"/>
        <family val="0"/>
        <charset val="1"/>
      </rPr>
      <t xml:space="preserve">COMMENT ON COLUMN t_inventory.on_hand_qty IS '</t>
    </r>
    <r>
      <rPr>
        <sz val="9"/>
        <rFont val="WenQuanYi Zen Hei"/>
        <family val="2"/>
      </rPr>
      <t xml:space="preserve">現在庫数</t>
    </r>
    <r>
      <rPr>
        <sz val="9"/>
        <rFont val="Courier New"/>
        <family val="0"/>
        <charset val="1"/>
      </rPr>
      <t xml:space="preserve">';</t>
    </r>
  </si>
  <si>
    <r>
      <rPr>
        <sz val="9"/>
        <rFont val="Courier New"/>
        <family val="0"/>
        <charset val="1"/>
      </rPr>
      <t xml:space="preserve">COMMENT ON COLUMN t_inventory.allocated_qty IS '</t>
    </r>
    <r>
      <rPr>
        <sz val="9"/>
        <rFont val="WenQuanYi Zen Hei"/>
        <family val="2"/>
      </rPr>
      <t xml:space="preserve">引当済数</t>
    </r>
    <r>
      <rPr>
        <sz val="9"/>
        <rFont val="Courier New"/>
        <family val="0"/>
        <charset val="1"/>
      </rPr>
      <t xml:space="preserve">';</t>
    </r>
  </si>
  <si>
    <r>
      <rPr>
        <sz val="9"/>
        <rFont val="Courier New"/>
        <family val="0"/>
        <charset val="1"/>
      </rPr>
      <t xml:space="preserve">COMMENT ON COLUMN t_inventory.created_at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</si>
  <si>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t_inventory.created_by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</si>
  <si>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t_inventory.updated_at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</si>
  <si>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t_inventory.updated_by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</si>
  <si>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t_inventory.version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</si>
  <si>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在庫移動履歴：在庫の全増減の記録（追記のみ）</t>
    </r>
  </si>
  <si>
    <t xml:space="preserve">CREATE TABLE t_stock_movement (</t>
  </si>
  <si>
    <t xml:space="preserve">  moved_at TIMESTAMPTZ NOT NULL,</t>
  </si>
  <si>
    <t xml:space="preserve">  movement_type VARCHAR(20) NOT NULL,</t>
  </si>
  <si>
    <t xml:space="preserve">  ref_type VARCHAR(30),</t>
  </si>
  <si>
    <t xml:space="preserve">  ref_id BIGINT,</t>
  </si>
  <si>
    <r>
      <rPr>
        <sz val="9"/>
        <rFont val="Courier New"/>
        <family val="0"/>
        <charset val="1"/>
      </rPr>
      <t xml:space="preserve">COMMENT ON TABLE t_stock_movement IS '</t>
    </r>
    <r>
      <rPr>
        <sz val="9"/>
        <rFont val="WenQuanYi Zen Hei"/>
        <family val="2"/>
      </rPr>
      <t xml:space="preserve">在庫移動履歴</t>
    </r>
    <r>
      <rPr>
        <sz val="9"/>
        <rFont val="Courier New"/>
        <family val="0"/>
        <charset val="1"/>
      </rPr>
      <t xml:space="preserve">';</t>
    </r>
  </si>
  <si>
    <r>
      <rPr>
        <sz val="9"/>
        <rFont val="Courier New"/>
        <family val="0"/>
        <charset val="1"/>
      </rPr>
      <t xml:space="preserve">COMMENT ON COLUMN t_stock_movement.id IS '</t>
    </r>
    <r>
      <rPr>
        <sz val="9"/>
        <rFont val="WenQuanYi Zen Hei"/>
        <family val="2"/>
      </rPr>
      <t xml:space="preserve">移動履歴</t>
    </r>
    <r>
      <rPr>
        <sz val="9"/>
        <rFont val="Courier New"/>
        <family val="0"/>
        <charset val="1"/>
      </rPr>
      <t xml:space="preserve">ID';</t>
    </r>
  </si>
  <si>
    <r>
      <rPr>
        <sz val="9"/>
        <rFont val="Courier New"/>
        <family val="0"/>
        <charset val="1"/>
      </rPr>
      <t xml:space="preserve">COMMENT ON COLUMN t_stock_movement.moved_at IS '</t>
    </r>
    <r>
      <rPr>
        <sz val="9"/>
        <rFont val="WenQuanYi Zen Hei"/>
        <family val="2"/>
      </rPr>
      <t xml:space="preserve">発生日時</t>
    </r>
    <r>
      <rPr>
        <sz val="9"/>
        <rFont val="Courier New"/>
        <family val="0"/>
        <charset val="1"/>
      </rPr>
      <t xml:space="preserve">';</t>
    </r>
  </si>
  <si>
    <r>
      <rPr>
        <sz val="9"/>
        <rFont val="Courier New"/>
        <family val="0"/>
        <charset val="1"/>
      </rPr>
      <t xml:space="preserve">COMMENT ON COLUMN t_stock_movement.movement_type IS '</t>
    </r>
    <r>
      <rPr>
        <sz val="9"/>
        <rFont val="WenQuanYi Zen Hei"/>
        <family val="2"/>
      </rPr>
      <t xml:space="preserve">移動区分</t>
    </r>
    <r>
      <rPr>
        <sz val="9"/>
        <rFont val="Courier New"/>
        <family val="0"/>
        <charset val="1"/>
      </rPr>
      <t xml:space="preserve">';</t>
    </r>
  </si>
  <si>
    <r>
      <rPr>
        <sz val="9"/>
        <rFont val="Courier New"/>
        <family val="0"/>
        <charset val="1"/>
      </rPr>
      <t xml:space="preserve">COMMENT ON COLUMN t_stock_movement.lot_id IS '</t>
    </r>
    <r>
      <rPr>
        <sz val="9"/>
        <rFont val="WenQuanYi Zen Hei"/>
        <family val="2"/>
      </rPr>
      <t xml:space="preserve">ロット</t>
    </r>
    <r>
      <rPr>
        <sz val="9"/>
        <rFont val="Courier New"/>
        <family val="0"/>
        <charset val="1"/>
      </rPr>
      <t xml:space="preserve">ID';</t>
    </r>
  </si>
  <si>
    <r>
      <rPr>
        <sz val="9"/>
        <rFont val="Courier New"/>
        <family val="0"/>
        <charset val="1"/>
      </rPr>
      <t xml:space="preserve">COMMENT ON COLUMN t_stock_movement.location_id IS '</t>
    </r>
    <r>
      <rPr>
        <sz val="9"/>
        <rFont val="WenQuanYi Zen Hei"/>
        <family val="2"/>
      </rPr>
      <t xml:space="preserve">保管場所</t>
    </r>
    <r>
      <rPr>
        <sz val="9"/>
        <rFont val="Courier New"/>
        <family val="0"/>
        <charset val="1"/>
      </rPr>
      <t xml:space="preserve">ID';</t>
    </r>
  </si>
  <si>
    <r>
      <rPr>
        <sz val="9"/>
        <rFont val="Courier New"/>
        <family val="0"/>
        <charset val="1"/>
      </rPr>
      <t xml:space="preserve">COMMENT ON COLUMN t_stock_movement.quantity IS '</t>
    </r>
    <r>
      <rPr>
        <sz val="9"/>
        <rFont val="WenQuanYi Zen Hei"/>
        <family val="2"/>
      </rPr>
      <t xml:space="preserve">数量（符号付）</t>
    </r>
    <r>
      <rPr>
        <sz val="9"/>
        <rFont val="Courier New"/>
        <family val="0"/>
        <charset val="1"/>
      </rPr>
      <t xml:space="preserve">';</t>
    </r>
  </si>
  <si>
    <r>
      <rPr>
        <sz val="9"/>
        <rFont val="Courier New"/>
        <family val="0"/>
        <charset val="1"/>
      </rPr>
      <t xml:space="preserve">COMMENT ON COLUMN t_stock_movement.ref_type IS '</t>
    </r>
    <r>
      <rPr>
        <sz val="9"/>
        <rFont val="WenQuanYi Zen Hei"/>
        <family val="2"/>
      </rPr>
      <t xml:space="preserve">参照伝票種別</t>
    </r>
    <r>
      <rPr>
        <sz val="9"/>
        <rFont val="Courier New"/>
        <family val="0"/>
        <charset val="1"/>
      </rPr>
      <t xml:space="preserve">';</t>
    </r>
  </si>
  <si>
    <r>
      <rPr>
        <sz val="9"/>
        <rFont val="Courier New"/>
        <family val="0"/>
        <charset val="1"/>
      </rPr>
      <t xml:space="preserve">COMMENT ON COLUMN t_stock_movement.ref_id IS '</t>
    </r>
    <r>
      <rPr>
        <sz val="9"/>
        <rFont val="WenQuanYi Zen Hei"/>
        <family val="2"/>
      </rPr>
      <t xml:space="preserve">参照伝票</t>
    </r>
    <r>
      <rPr>
        <sz val="9"/>
        <rFont val="Courier New"/>
        <family val="0"/>
        <charset val="1"/>
      </rPr>
      <t xml:space="preserve">ID';</t>
    </r>
  </si>
  <si>
    <r>
      <rPr>
        <sz val="9"/>
        <rFont val="Courier New"/>
        <family val="0"/>
        <charset val="1"/>
      </rPr>
      <t xml:space="preserve">COMMENT ON COLUMN t_stock_movement.reason IS '</t>
    </r>
    <r>
      <rPr>
        <sz val="9"/>
        <rFont val="WenQuanYi Zen Hei"/>
        <family val="2"/>
      </rPr>
      <t xml:space="preserve">理由</t>
    </r>
    <r>
      <rPr>
        <sz val="9"/>
        <rFont val="Courier New"/>
        <family val="0"/>
        <charset val="1"/>
      </rPr>
      <t xml:space="preserve">';</t>
    </r>
  </si>
  <si>
    <r>
      <rPr>
        <sz val="9"/>
        <rFont val="Courier New"/>
        <family val="0"/>
        <charset val="1"/>
      </rPr>
      <t xml:space="preserve">COMMENT ON COLUMN t_stock_movement.created_at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</si>
  <si>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t_stock_movement.created_by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</si>
  <si>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 </t>
    </r>
    <r>
      <rPr>
        <sz val="9"/>
        <rFont val="WenQuanYi Zen Hei"/>
        <family val="2"/>
      </rPr>
      <t xml:space="preserve">受注明細：受注明細</t>
    </r>
  </si>
  <si>
    <t xml:space="preserve">CREATE TABLE t_sales_order_line (</t>
  </si>
  <si>
    <t xml:space="preserve">  sales_order_id BIGINT NOT NULL REFERENCES t_sales_order(id),</t>
  </si>
  <si>
    <t xml:space="preserve">  shipped_qty INTEGER NOT NULL DEFAULT 0,</t>
  </si>
  <si>
    <r>
      <rPr>
        <sz val="9"/>
        <rFont val="Courier New"/>
        <family val="0"/>
        <charset val="1"/>
      </rPr>
      <t xml:space="preserve">COMMENT ON TABLE t_sales_order_line IS '</t>
    </r>
    <r>
      <rPr>
        <sz val="9"/>
        <rFont val="WenQuanYi Zen Hei"/>
        <family val="2"/>
      </rPr>
      <t xml:space="preserve">受注明細</t>
    </r>
    <r>
      <rPr>
        <sz val="9"/>
        <rFont val="Courier New"/>
        <family val="0"/>
        <charset val="1"/>
      </rPr>
      <t xml:space="preserve">';</t>
    </r>
  </si>
  <si>
    <r>
      <rPr>
        <sz val="9"/>
        <rFont val="Courier New"/>
        <family val="0"/>
        <charset val="1"/>
      </rPr>
      <t xml:space="preserve">COMMENT ON COLUMN t_sales_order_line.id IS '</t>
    </r>
    <r>
      <rPr>
        <sz val="9"/>
        <rFont val="WenQuanYi Zen Hei"/>
        <family val="2"/>
      </rPr>
      <t xml:space="preserve">受注明細</t>
    </r>
    <r>
      <rPr>
        <sz val="9"/>
        <rFont val="Courier New"/>
        <family val="0"/>
        <charset val="1"/>
      </rPr>
      <t xml:space="preserve">ID';</t>
    </r>
  </si>
  <si>
    <r>
      <rPr>
        <sz val="9"/>
        <rFont val="Courier New"/>
        <family val="0"/>
        <charset val="1"/>
      </rPr>
      <t xml:space="preserve">COMMENT ON COLUMN t_sales_order_line.sales_order_id IS '</t>
    </r>
    <r>
      <rPr>
        <sz val="9"/>
        <rFont val="WenQuanYi Zen Hei"/>
        <family val="2"/>
      </rPr>
      <t xml:space="preserve">受注</t>
    </r>
    <r>
      <rPr>
        <sz val="9"/>
        <rFont val="Courier New"/>
        <family val="0"/>
        <charset val="1"/>
      </rPr>
      <t xml:space="preserve">ID';</t>
    </r>
  </si>
  <si>
    <r>
      <rPr>
        <sz val="9"/>
        <rFont val="Courier New"/>
        <family val="0"/>
        <charset val="1"/>
      </rPr>
      <t xml:space="preserve">COMMENT ON COLUMN t_sales_order_line.line_no IS '</t>
    </r>
    <r>
      <rPr>
        <sz val="9"/>
        <rFont val="WenQuanYi Zen Hei"/>
        <family val="2"/>
      </rPr>
      <t xml:space="preserve">行番号</t>
    </r>
    <r>
      <rPr>
        <sz val="9"/>
        <rFont val="Courier New"/>
        <family val="0"/>
        <charset val="1"/>
      </rPr>
      <t xml:space="preserve">';</t>
    </r>
  </si>
  <si>
    <r>
      <rPr>
        <sz val="9"/>
        <rFont val="Courier New"/>
        <family val="0"/>
        <charset val="1"/>
      </rPr>
      <t xml:space="preserve">COMMENT ON COLUMN t_sales_order_line.product_id IS '</t>
    </r>
    <r>
      <rPr>
        <sz val="9"/>
        <rFont val="WenQuanYi Zen Hei"/>
        <family val="2"/>
      </rPr>
      <t xml:space="preserve">商品</t>
    </r>
    <r>
      <rPr>
        <sz val="9"/>
        <rFont val="Courier New"/>
        <family val="0"/>
        <charset val="1"/>
      </rPr>
      <t xml:space="preserve">ID';</t>
    </r>
  </si>
  <si>
    <r>
      <rPr>
        <sz val="9"/>
        <rFont val="Courier New"/>
        <family val="0"/>
        <charset val="1"/>
      </rPr>
      <t xml:space="preserve">COMMENT ON COLUMN t_sales_order_line.quantity IS '</t>
    </r>
    <r>
      <rPr>
        <sz val="9"/>
        <rFont val="WenQuanYi Zen Hei"/>
        <family val="2"/>
      </rPr>
      <t xml:space="preserve">受注数量</t>
    </r>
    <r>
      <rPr>
        <sz val="9"/>
        <rFont val="Courier New"/>
        <family val="0"/>
        <charset val="1"/>
      </rPr>
      <t xml:space="preserve">';</t>
    </r>
  </si>
  <si>
    <r>
      <rPr>
        <sz val="9"/>
        <rFont val="Courier New"/>
        <family val="0"/>
        <charset val="1"/>
      </rPr>
      <t xml:space="preserve">COMMENT ON COLUMN t_sales_order_line.unit_price IS '</t>
    </r>
    <r>
      <rPr>
        <sz val="9"/>
        <rFont val="WenQuanYi Zen Hei"/>
        <family val="2"/>
      </rPr>
      <t xml:space="preserve">販売単価（円）</t>
    </r>
    <r>
      <rPr>
        <sz val="9"/>
        <rFont val="Courier New"/>
        <family val="0"/>
        <charset val="1"/>
      </rPr>
      <t xml:space="preserve">';</t>
    </r>
  </si>
  <si>
    <r>
      <rPr>
        <sz val="9"/>
        <rFont val="Courier New"/>
        <family val="0"/>
        <charset val="1"/>
      </rPr>
      <t xml:space="preserve">COMMENT ON COLUMN t_sales_order_line.shipped_qty IS '</t>
    </r>
    <r>
      <rPr>
        <sz val="9"/>
        <rFont val="WenQuanYi Zen Hei"/>
        <family val="2"/>
      </rPr>
      <t xml:space="preserve">出荷済数量</t>
    </r>
    <r>
      <rPr>
        <sz val="9"/>
        <rFont val="Courier New"/>
        <family val="0"/>
        <charset val="1"/>
      </rPr>
      <t xml:space="preserve">';</t>
    </r>
  </si>
  <si>
    <r>
      <rPr>
        <sz val="9"/>
        <rFont val="Courier New"/>
        <family val="0"/>
        <charset val="1"/>
      </rPr>
      <t xml:space="preserve">COMMENT ON COLUMN t_sales_order_line.created_at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</si>
  <si>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t_sales_order_line.created_by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</si>
  <si>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t_sales_order_line.updated_at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</si>
  <si>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t_sales_order_line.updated_by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</si>
  <si>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t_sales_order_line.version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</si>
  <si>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出荷：出荷ヘッダ</t>
    </r>
  </si>
  <si>
    <t xml:space="preserve">CREATE TABLE t_shipment (</t>
  </si>
  <si>
    <t xml:space="preserve">  shipment_no VARCHAR(20) NOT NULL,</t>
  </si>
  <si>
    <t xml:space="preserve">  shipped_on DATE NOT NULL,</t>
  </si>
  <si>
    <t xml:space="preserve">  carrier VARCHAR(50),</t>
  </si>
  <si>
    <t xml:space="preserve">  tracking_no VARCHAR(50),</t>
  </si>
  <si>
    <t xml:space="preserve">  status VARCHAR(20) NOT NULL DEFAULT 'ALLOCATED',</t>
  </si>
  <si>
    <r>
      <rPr>
        <sz val="9"/>
        <rFont val="Courier New"/>
        <family val="0"/>
        <charset val="1"/>
      </rPr>
      <t xml:space="preserve">COMMENT ON TABLE t_shipment IS '</t>
    </r>
    <r>
      <rPr>
        <sz val="9"/>
        <rFont val="WenQuanYi Zen Hei"/>
        <family val="2"/>
      </rPr>
      <t xml:space="preserve">出荷</t>
    </r>
    <r>
      <rPr>
        <sz val="9"/>
        <rFont val="Courier New"/>
        <family val="0"/>
        <charset val="1"/>
      </rPr>
      <t xml:space="preserve">';</t>
    </r>
  </si>
  <si>
    <r>
      <rPr>
        <sz val="9"/>
        <rFont val="Courier New"/>
        <family val="0"/>
        <charset val="1"/>
      </rPr>
      <t xml:space="preserve">COMMENT ON COLUMN t_shipment.id IS '</t>
    </r>
    <r>
      <rPr>
        <sz val="9"/>
        <rFont val="WenQuanYi Zen Hei"/>
        <family val="2"/>
      </rPr>
      <t xml:space="preserve">出荷</t>
    </r>
    <r>
      <rPr>
        <sz val="9"/>
        <rFont val="Courier New"/>
        <family val="0"/>
        <charset val="1"/>
      </rPr>
      <t xml:space="preserve">ID';</t>
    </r>
  </si>
  <si>
    <r>
      <rPr>
        <sz val="9"/>
        <rFont val="Courier New"/>
        <family val="0"/>
        <charset val="1"/>
      </rPr>
      <t xml:space="preserve">COMMENT ON COLUMN t_shipment.shipment_no IS '</t>
    </r>
    <r>
      <rPr>
        <sz val="9"/>
        <rFont val="WenQuanYi Zen Hei"/>
        <family val="2"/>
      </rPr>
      <t xml:space="preserve">出荷番号</t>
    </r>
    <r>
      <rPr>
        <sz val="9"/>
        <rFont val="Courier New"/>
        <family val="0"/>
        <charset val="1"/>
      </rPr>
      <t xml:space="preserve">';</t>
    </r>
  </si>
  <si>
    <r>
      <rPr>
        <sz val="9"/>
        <rFont val="Courier New"/>
        <family val="0"/>
        <charset val="1"/>
      </rPr>
      <t xml:space="preserve">COMMENT ON COLUMN t_shipment.sales_order_id IS '</t>
    </r>
    <r>
      <rPr>
        <sz val="9"/>
        <rFont val="WenQuanYi Zen Hei"/>
        <family val="2"/>
      </rPr>
      <t xml:space="preserve">受注</t>
    </r>
    <r>
      <rPr>
        <sz val="9"/>
        <rFont val="Courier New"/>
        <family val="0"/>
        <charset val="1"/>
      </rPr>
      <t xml:space="preserve">ID';</t>
    </r>
  </si>
  <si>
    <r>
      <rPr>
        <sz val="9"/>
        <rFont val="Courier New"/>
        <family val="0"/>
        <charset val="1"/>
      </rPr>
      <t xml:space="preserve">COMMENT ON COLUMN t_shipment.customer_id IS '</t>
    </r>
    <r>
      <rPr>
        <sz val="9"/>
        <rFont val="WenQuanYi Zen Hei"/>
        <family val="2"/>
      </rPr>
      <t xml:space="preserve">顧客</t>
    </r>
    <r>
      <rPr>
        <sz val="9"/>
        <rFont val="Courier New"/>
        <family val="0"/>
        <charset val="1"/>
      </rPr>
      <t xml:space="preserve">ID';</t>
    </r>
  </si>
  <si>
    <r>
      <rPr>
        <sz val="9"/>
        <rFont val="Courier New"/>
        <family val="0"/>
        <charset val="1"/>
      </rPr>
      <t xml:space="preserve">COMMENT ON COLUMN t_shipment.ship_to_id IS '</t>
    </r>
    <r>
      <rPr>
        <sz val="9"/>
        <rFont val="WenQuanYi Zen Hei"/>
        <family val="2"/>
      </rPr>
      <t xml:space="preserve">納品先</t>
    </r>
    <r>
      <rPr>
        <sz val="9"/>
        <rFont val="Courier New"/>
        <family val="0"/>
        <charset val="1"/>
      </rPr>
      <t xml:space="preserve">ID';</t>
    </r>
  </si>
  <si>
    <r>
      <rPr>
        <sz val="9"/>
        <rFont val="Courier New"/>
        <family val="0"/>
        <charset val="1"/>
      </rPr>
      <t xml:space="preserve">COMMENT ON COLUMN t_shipment.shipped_on IS '</t>
    </r>
    <r>
      <rPr>
        <sz val="9"/>
        <rFont val="WenQuanYi Zen Hei"/>
        <family val="2"/>
      </rPr>
      <t xml:space="preserve">出荷日</t>
    </r>
    <r>
      <rPr>
        <sz val="9"/>
        <rFont val="Courier New"/>
        <family val="0"/>
        <charset val="1"/>
      </rPr>
      <t xml:space="preserve">';</t>
    </r>
  </si>
  <si>
    <r>
      <rPr>
        <sz val="9"/>
        <rFont val="Courier New"/>
        <family val="0"/>
        <charset val="1"/>
      </rPr>
      <t xml:space="preserve">COMMENT ON COLUMN t_shipment.carrier IS '</t>
    </r>
    <r>
      <rPr>
        <sz val="9"/>
        <rFont val="WenQuanYi Zen Hei"/>
        <family val="2"/>
      </rPr>
      <t xml:space="preserve">配送業者</t>
    </r>
    <r>
      <rPr>
        <sz val="9"/>
        <rFont val="Courier New"/>
        <family val="0"/>
        <charset val="1"/>
      </rPr>
      <t xml:space="preserve">';</t>
    </r>
  </si>
  <si>
    <r>
      <rPr>
        <sz val="9"/>
        <rFont val="Courier New"/>
        <family val="0"/>
        <charset val="1"/>
      </rPr>
      <t xml:space="preserve">COMMENT ON COLUMN t_shipment.tracking_no IS '</t>
    </r>
    <r>
      <rPr>
        <sz val="9"/>
        <rFont val="WenQuanYi Zen Hei"/>
        <family val="2"/>
      </rPr>
      <t xml:space="preserve">送り状番号</t>
    </r>
    <r>
      <rPr>
        <sz val="9"/>
        <rFont val="Courier New"/>
        <family val="0"/>
        <charset val="1"/>
      </rPr>
      <t xml:space="preserve">';</t>
    </r>
  </si>
  <si>
    <r>
      <rPr>
        <sz val="9"/>
        <rFont val="Courier New"/>
        <family val="0"/>
        <charset val="1"/>
      </rPr>
      <t xml:space="preserve">COMMENT ON COLUMN t_shipment.status IS '</t>
    </r>
    <r>
      <rPr>
        <sz val="9"/>
        <rFont val="WenQuanYi Zen Hei"/>
        <family val="2"/>
      </rPr>
      <t xml:space="preserve">ステータス</t>
    </r>
    <r>
      <rPr>
        <sz val="9"/>
        <rFont val="Courier New"/>
        <family val="0"/>
        <charset val="1"/>
      </rPr>
      <t xml:space="preserve">';</t>
    </r>
  </si>
  <si>
    <r>
      <rPr>
        <sz val="9"/>
        <rFont val="Courier New"/>
        <family val="0"/>
        <charset val="1"/>
      </rPr>
      <t xml:space="preserve">COMMENT ON COLUMN t_shipment.created_at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</si>
  <si>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t_shipment.created_by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</si>
  <si>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t_shipment.updated_at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</si>
  <si>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t_shipment.updated_by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</si>
  <si>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t_shipment.version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</si>
  <si>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回収対象ロット：回収案件</t>
    </r>
    <r>
      <rPr>
        <sz val="9"/>
        <rFont val="Courier New"/>
        <family val="0"/>
        <charset val="1"/>
      </rPr>
      <t xml:space="preserve">×</t>
    </r>
    <r>
      <rPr>
        <sz val="9"/>
        <rFont val="WenQuanYi Zen Hei"/>
        <family val="2"/>
      </rPr>
      <t xml:space="preserve">ロット</t>
    </r>
  </si>
  <si>
    <t xml:space="preserve">CREATE TABLE t_recall_lot (</t>
  </si>
  <si>
    <t xml:space="preserve">  recall_id BIGINT NOT NULL REFERENCES t_recall(id),</t>
  </si>
  <si>
    <r>
      <rPr>
        <sz val="9"/>
        <rFont val="Courier New"/>
        <family val="0"/>
        <charset val="1"/>
      </rPr>
      <t xml:space="preserve">COMMENT ON TABLE t_recall_lot IS '</t>
    </r>
    <r>
      <rPr>
        <sz val="9"/>
        <rFont val="WenQuanYi Zen Hei"/>
        <family val="2"/>
      </rPr>
      <t xml:space="preserve">回収対象ロット</t>
    </r>
    <r>
      <rPr>
        <sz val="9"/>
        <rFont val="Courier New"/>
        <family val="0"/>
        <charset val="1"/>
      </rPr>
      <t xml:space="preserve">';</t>
    </r>
  </si>
  <si>
    <t xml:space="preserve">COMMENT ON COLUMN t_recall_lot.id IS 'ID';</t>
  </si>
  <si>
    <r>
      <rPr>
        <sz val="9"/>
        <rFont val="Courier New"/>
        <family val="0"/>
        <charset val="1"/>
      </rPr>
      <t xml:space="preserve">COMMENT ON COLUMN t_recall_lot.recall_id IS '</t>
    </r>
    <r>
      <rPr>
        <sz val="9"/>
        <rFont val="WenQuanYi Zen Hei"/>
        <family val="2"/>
      </rPr>
      <t xml:space="preserve">回収案件</t>
    </r>
    <r>
      <rPr>
        <sz val="9"/>
        <rFont val="Courier New"/>
        <family val="0"/>
        <charset val="1"/>
      </rPr>
      <t xml:space="preserve">ID';</t>
    </r>
  </si>
  <si>
    <r>
      <rPr>
        <sz val="9"/>
        <rFont val="Courier New"/>
        <family val="0"/>
        <charset val="1"/>
      </rPr>
      <t xml:space="preserve">COMMENT ON COLUMN t_recall_lot.lot_id IS '</t>
    </r>
    <r>
      <rPr>
        <sz val="9"/>
        <rFont val="WenQuanYi Zen Hei"/>
        <family val="2"/>
      </rPr>
      <t xml:space="preserve">ロット</t>
    </r>
    <r>
      <rPr>
        <sz val="9"/>
        <rFont val="Courier New"/>
        <family val="0"/>
        <charset val="1"/>
      </rPr>
      <t xml:space="preserve">ID';</t>
    </r>
  </si>
  <si>
    <r>
      <rPr>
        <sz val="9"/>
        <rFont val="Courier New"/>
        <family val="0"/>
        <charset val="1"/>
      </rPr>
      <t xml:space="preserve">COMMENT ON COLUMN t_recall_lot.created_at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</si>
  <si>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t_recall_lot.created_by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</si>
  <si>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t_recall_lot.updated_at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</si>
  <si>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t_recall_lot.updated_by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</si>
  <si>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t_recall_lot.version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</si>
  <si>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回収対象顧客：回収案件</t>
    </r>
    <r>
      <rPr>
        <sz val="9"/>
        <rFont val="Courier New"/>
        <family val="0"/>
        <charset val="1"/>
      </rPr>
      <t xml:space="preserve">×</t>
    </r>
    <r>
      <rPr>
        <sz val="9"/>
        <rFont val="WenQuanYi Zen Hei"/>
        <family val="2"/>
      </rPr>
      <t xml:space="preserve">顧客の連絡・回収状況</t>
    </r>
  </si>
  <si>
    <t xml:space="preserve">CREATE TABLE t_recall_target (</t>
  </si>
  <si>
    <t xml:space="preserve">  shipped_qty INTEGER NOT NULL,</t>
  </si>
  <si>
    <t xml:space="preserve">  contacted_on DATE,</t>
  </si>
  <si>
    <t xml:space="preserve">  contact_method VARCHAR(20),</t>
  </si>
  <si>
    <t xml:space="preserve">  recovered_qty INTEGER NOT NULL DEFAULT 0,</t>
  </si>
  <si>
    <t xml:space="preserve">  unrecoverable_qty INTEGER NOT NULL DEFAULT 0,</t>
  </si>
  <si>
    <t xml:space="preserve">  close_reason VARCHAR(200),</t>
  </si>
  <si>
    <t xml:space="preserve">  status VARCHAR(20) NOT NULL DEFAULT 'NOT_CONTACTED',</t>
  </si>
  <si>
    <r>
      <rPr>
        <sz val="9"/>
        <rFont val="Courier New"/>
        <family val="0"/>
        <charset val="1"/>
      </rPr>
      <t xml:space="preserve">COMMENT ON TABLE t_recall_target IS '</t>
    </r>
    <r>
      <rPr>
        <sz val="9"/>
        <rFont val="WenQuanYi Zen Hei"/>
        <family val="2"/>
      </rPr>
      <t xml:space="preserve">回収対象顧客</t>
    </r>
    <r>
      <rPr>
        <sz val="9"/>
        <rFont val="Courier New"/>
        <family val="0"/>
        <charset val="1"/>
      </rPr>
      <t xml:space="preserve">';</t>
    </r>
  </si>
  <si>
    <t xml:space="preserve">COMMENT ON COLUMN t_recall_target.id IS 'ID';</t>
  </si>
  <si>
    <r>
      <rPr>
        <sz val="9"/>
        <rFont val="Courier New"/>
        <family val="0"/>
        <charset val="1"/>
      </rPr>
      <t xml:space="preserve">COMMENT ON COLUMN t_recall_target.recall_id IS '</t>
    </r>
    <r>
      <rPr>
        <sz val="9"/>
        <rFont val="WenQuanYi Zen Hei"/>
        <family val="2"/>
      </rPr>
      <t xml:space="preserve">回収案件</t>
    </r>
    <r>
      <rPr>
        <sz val="9"/>
        <rFont val="Courier New"/>
        <family val="0"/>
        <charset val="1"/>
      </rPr>
      <t xml:space="preserve">ID';</t>
    </r>
  </si>
  <si>
    <r>
      <rPr>
        <sz val="9"/>
        <rFont val="Courier New"/>
        <family val="0"/>
        <charset val="1"/>
      </rPr>
      <t xml:space="preserve">COMMENT ON COLUMN t_recall_target.customer_id IS '</t>
    </r>
    <r>
      <rPr>
        <sz val="9"/>
        <rFont val="WenQuanYi Zen Hei"/>
        <family val="2"/>
      </rPr>
      <t xml:space="preserve">顧客</t>
    </r>
    <r>
      <rPr>
        <sz val="9"/>
        <rFont val="Courier New"/>
        <family val="0"/>
        <charset val="1"/>
      </rPr>
      <t xml:space="preserve">ID';</t>
    </r>
  </si>
  <si>
    <r>
      <rPr>
        <sz val="9"/>
        <rFont val="Courier New"/>
        <family val="0"/>
        <charset val="1"/>
      </rPr>
      <t xml:space="preserve">COMMENT ON COLUMN t_recall_target.ship_to_id IS '</t>
    </r>
    <r>
      <rPr>
        <sz val="9"/>
        <rFont val="WenQuanYi Zen Hei"/>
        <family val="2"/>
      </rPr>
      <t xml:space="preserve">納品先</t>
    </r>
    <r>
      <rPr>
        <sz val="9"/>
        <rFont val="Courier New"/>
        <family val="0"/>
        <charset val="1"/>
      </rPr>
      <t xml:space="preserve">ID';</t>
    </r>
  </si>
  <si>
    <r>
      <rPr>
        <sz val="9"/>
        <rFont val="Courier New"/>
        <family val="0"/>
        <charset val="1"/>
      </rPr>
      <t xml:space="preserve">COMMENT ON COLUMN t_recall_target.lot_id IS '</t>
    </r>
    <r>
      <rPr>
        <sz val="9"/>
        <rFont val="WenQuanYi Zen Hei"/>
        <family val="2"/>
      </rPr>
      <t xml:space="preserve">ロット</t>
    </r>
    <r>
      <rPr>
        <sz val="9"/>
        <rFont val="Courier New"/>
        <family val="0"/>
        <charset val="1"/>
      </rPr>
      <t xml:space="preserve">ID';</t>
    </r>
  </si>
  <si>
    <r>
      <rPr>
        <sz val="9"/>
        <rFont val="Courier New"/>
        <family val="0"/>
        <charset val="1"/>
      </rPr>
      <t xml:space="preserve">COMMENT ON COLUMN t_recall_target.shipped_qty IS '</t>
    </r>
    <r>
      <rPr>
        <sz val="9"/>
        <rFont val="WenQuanYi Zen Hei"/>
        <family val="2"/>
      </rPr>
      <t xml:space="preserve">出荷正味数量</t>
    </r>
    <r>
      <rPr>
        <sz val="9"/>
        <rFont val="Courier New"/>
        <family val="0"/>
        <charset val="1"/>
      </rPr>
      <t xml:space="preserve">';</t>
    </r>
  </si>
  <si>
    <r>
      <rPr>
        <sz val="9"/>
        <rFont val="Courier New"/>
        <family val="0"/>
        <charset val="1"/>
      </rPr>
      <t xml:space="preserve">COMMENT ON COLUMN t_recall_target.contacted_on IS '</t>
    </r>
    <r>
      <rPr>
        <sz val="9"/>
        <rFont val="WenQuanYi Zen Hei"/>
        <family val="2"/>
      </rPr>
      <t xml:space="preserve">連絡日</t>
    </r>
    <r>
      <rPr>
        <sz val="9"/>
        <rFont val="Courier New"/>
        <family val="0"/>
        <charset val="1"/>
      </rPr>
      <t xml:space="preserve">';</t>
    </r>
  </si>
  <si>
    <r>
      <rPr>
        <sz val="9"/>
        <rFont val="Courier New"/>
        <family val="0"/>
        <charset val="1"/>
      </rPr>
      <t xml:space="preserve">COMMENT ON COLUMN t_recall_target.contact_method IS '</t>
    </r>
    <r>
      <rPr>
        <sz val="9"/>
        <rFont val="WenQuanYi Zen Hei"/>
        <family val="2"/>
      </rPr>
      <t xml:space="preserve">連絡方法</t>
    </r>
    <r>
      <rPr>
        <sz val="9"/>
        <rFont val="Courier New"/>
        <family val="0"/>
        <charset val="1"/>
      </rPr>
      <t xml:space="preserve">';</t>
    </r>
  </si>
  <si>
    <r>
      <rPr>
        <sz val="9"/>
        <rFont val="Courier New"/>
        <family val="0"/>
        <charset val="1"/>
      </rPr>
      <t xml:space="preserve">COMMENT ON COLUMN t_recall_target.recovered_qty IS '</t>
    </r>
    <r>
      <rPr>
        <sz val="9"/>
        <rFont val="WenQuanYi Zen Hei"/>
        <family val="2"/>
      </rPr>
      <t xml:space="preserve">回収数量</t>
    </r>
    <r>
      <rPr>
        <sz val="9"/>
        <rFont val="Courier New"/>
        <family val="0"/>
        <charset val="1"/>
      </rPr>
      <t xml:space="preserve">';</t>
    </r>
  </si>
  <si>
    <r>
      <rPr>
        <sz val="9"/>
        <rFont val="Courier New"/>
        <family val="0"/>
        <charset val="1"/>
      </rPr>
      <t xml:space="preserve">COMMENT ON COLUMN t_recall_target.unrecoverable_qty IS '</t>
    </r>
    <r>
      <rPr>
        <sz val="9"/>
        <rFont val="WenQuanYi Zen Hei"/>
        <family val="2"/>
      </rPr>
      <t xml:space="preserve">回収不能数量</t>
    </r>
    <r>
      <rPr>
        <sz val="9"/>
        <rFont val="Courier New"/>
        <family val="0"/>
        <charset val="1"/>
      </rPr>
      <t xml:space="preserve">';</t>
    </r>
  </si>
  <si>
    <r>
      <rPr>
        <sz val="9"/>
        <rFont val="Courier New"/>
        <family val="0"/>
        <charset val="1"/>
      </rPr>
      <t xml:space="preserve">COMMENT ON COLUMN t_recall_target.close_reason IS '</t>
    </r>
    <r>
      <rPr>
        <sz val="9"/>
        <rFont val="WenQuanYi Zen Hei"/>
        <family val="2"/>
      </rPr>
      <t xml:space="preserve">クローズ理由</t>
    </r>
    <r>
      <rPr>
        <sz val="9"/>
        <rFont val="Courier New"/>
        <family val="0"/>
        <charset val="1"/>
      </rPr>
      <t xml:space="preserve">';</t>
    </r>
  </si>
  <si>
    <r>
      <rPr>
        <sz val="9"/>
        <rFont val="Courier New"/>
        <family val="0"/>
        <charset val="1"/>
      </rPr>
      <t xml:space="preserve">COMMENT ON COLUMN t_recall_target.status IS '</t>
    </r>
    <r>
      <rPr>
        <sz val="9"/>
        <rFont val="WenQuanYi Zen Hei"/>
        <family val="2"/>
      </rPr>
      <t xml:space="preserve">ステータス</t>
    </r>
    <r>
      <rPr>
        <sz val="9"/>
        <rFont val="Courier New"/>
        <family val="0"/>
        <charset val="1"/>
      </rPr>
      <t xml:space="preserve">';</t>
    </r>
  </si>
  <si>
    <r>
      <rPr>
        <sz val="9"/>
        <rFont val="Courier New"/>
        <family val="0"/>
        <charset val="1"/>
      </rPr>
      <t xml:space="preserve">COMMENT ON COLUMN t_recall_target.created_at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</si>
  <si>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t_recall_target.created_by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</si>
  <si>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t_recall_target.updated_at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</si>
  <si>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t_recall_target.updated_by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</si>
  <si>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t_recall_target.version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</si>
  <si>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出荷明細：出荷明細（ロット紐付け必須）</t>
    </r>
  </si>
  <si>
    <t xml:space="preserve">CREATE TABLE t_shipment_line (</t>
  </si>
  <si>
    <t xml:space="preserve">  shipment_id BIGINT NOT NULL REFERENCES t_shipment(id),</t>
  </si>
  <si>
    <t xml:space="preserve">  sales_order_line_id BIGINT NOT NULL REFERENCES t_sales_order_line(id),</t>
  </si>
  <si>
    <t xml:space="preserve">  unit_cost NUMERIC(12,2),</t>
  </si>
  <si>
    <r>
      <rPr>
        <sz val="9"/>
        <rFont val="Courier New"/>
        <family val="0"/>
        <charset val="1"/>
      </rPr>
      <t xml:space="preserve">COMMENT ON TABLE t_shipment_line IS '</t>
    </r>
    <r>
      <rPr>
        <sz val="9"/>
        <rFont val="WenQuanYi Zen Hei"/>
        <family val="2"/>
      </rPr>
      <t xml:space="preserve">出荷明細</t>
    </r>
    <r>
      <rPr>
        <sz val="9"/>
        <rFont val="Courier New"/>
        <family val="0"/>
        <charset val="1"/>
      </rPr>
      <t xml:space="preserve">';</t>
    </r>
  </si>
  <si>
    <r>
      <rPr>
        <sz val="9"/>
        <rFont val="Courier New"/>
        <family val="0"/>
        <charset val="1"/>
      </rPr>
      <t xml:space="preserve">COMMENT ON COLUMN t_shipment_line.id IS '</t>
    </r>
    <r>
      <rPr>
        <sz val="9"/>
        <rFont val="WenQuanYi Zen Hei"/>
        <family val="2"/>
      </rPr>
      <t xml:space="preserve">出荷明細</t>
    </r>
    <r>
      <rPr>
        <sz val="9"/>
        <rFont val="Courier New"/>
        <family val="0"/>
        <charset val="1"/>
      </rPr>
      <t xml:space="preserve">ID';</t>
    </r>
  </si>
  <si>
    <r>
      <rPr>
        <sz val="9"/>
        <rFont val="Courier New"/>
        <family val="0"/>
        <charset val="1"/>
      </rPr>
      <t xml:space="preserve">COMMENT ON COLUMN t_shipment_line.shipment_id IS '</t>
    </r>
    <r>
      <rPr>
        <sz val="9"/>
        <rFont val="WenQuanYi Zen Hei"/>
        <family val="2"/>
      </rPr>
      <t xml:space="preserve">出荷</t>
    </r>
    <r>
      <rPr>
        <sz val="9"/>
        <rFont val="Courier New"/>
        <family val="0"/>
        <charset val="1"/>
      </rPr>
      <t xml:space="preserve">ID';</t>
    </r>
  </si>
  <si>
    <r>
      <rPr>
        <sz val="9"/>
        <rFont val="Courier New"/>
        <family val="0"/>
        <charset val="1"/>
      </rPr>
      <t xml:space="preserve">COMMENT ON COLUMN t_shipment_line.sales_order_line_id IS '</t>
    </r>
    <r>
      <rPr>
        <sz val="9"/>
        <rFont val="WenQuanYi Zen Hei"/>
        <family val="2"/>
      </rPr>
      <t xml:space="preserve">受注明細</t>
    </r>
    <r>
      <rPr>
        <sz val="9"/>
        <rFont val="Courier New"/>
        <family val="0"/>
        <charset val="1"/>
      </rPr>
      <t xml:space="preserve">ID';</t>
    </r>
  </si>
  <si>
    <r>
      <rPr>
        <sz val="9"/>
        <rFont val="Courier New"/>
        <family val="0"/>
        <charset val="1"/>
      </rPr>
      <t xml:space="preserve">COMMENT ON COLUMN t_shipment_line.product_id IS '</t>
    </r>
    <r>
      <rPr>
        <sz val="9"/>
        <rFont val="WenQuanYi Zen Hei"/>
        <family val="2"/>
      </rPr>
      <t xml:space="preserve">商品</t>
    </r>
    <r>
      <rPr>
        <sz val="9"/>
        <rFont val="Courier New"/>
        <family val="0"/>
        <charset val="1"/>
      </rPr>
      <t xml:space="preserve">ID';</t>
    </r>
  </si>
  <si>
    <r>
      <rPr>
        <sz val="9"/>
        <rFont val="Courier New"/>
        <family val="0"/>
        <charset val="1"/>
      </rPr>
      <t xml:space="preserve">COMMENT ON COLUMN t_shipment_line.lot_id IS '</t>
    </r>
    <r>
      <rPr>
        <sz val="9"/>
        <rFont val="WenQuanYi Zen Hei"/>
        <family val="2"/>
      </rPr>
      <t xml:space="preserve">ロット</t>
    </r>
    <r>
      <rPr>
        <sz val="9"/>
        <rFont val="Courier New"/>
        <family val="0"/>
        <charset val="1"/>
      </rPr>
      <t xml:space="preserve">ID';</t>
    </r>
  </si>
  <si>
    <r>
      <rPr>
        <sz val="9"/>
        <rFont val="Courier New"/>
        <family val="0"/>
        <charset val="1"/>
      </rPr>
      <t xml:space="preserve">COMMENT ON COLUMN t_shipment_line.location_id IS '</t>
    </r>
    <r>
      <rPr>
        <sz val="9"/>
        <rFont val="WenQuanYi Zen Hei"/>
        <family val="2"/>
      </rPr>
      <t xml:space="preserve">出庫保管場所</t>
    </r>
    <r>
      <rPr>
        <sz val="9"/>
        <rFont val="Courier New"/>
        <family val="0"/>
        <charset val="1"/>
      </rPr>
      <t xml:space="preserve">ID';</t>
    </r>
  </si>
  <si>
    <r>
      <rPr>
        <sz val="9"/>
        <rFont val="Courier New"/>
        <family val="0"/>
        <charset val="1"/>
      </rPr>
      <t xml:space="preserve">COMMENT ON COLUMN t_shipment_line.quantity IS '</t>
    </r>
    <r>
      <rPr>
        <sz val="9"/>
        <rFont val="WenQuanYi Zen Hei"/>
        <family val="2"/>
      </rPr>
      <t xml:space="preserve">出荷数量</t>
    </r>
    <r>
      <rPr>
        <sz val="9"/>
        <rFont val="Courier New"/>
        <family val="0"/>
        <charset val="1"/>
      </rPr>
      <t xml:space="preserve">';</t>
    </r>
  </si>
  <si>
    <r>
      <rPr>
        <sz val="9"/>
        <rFont val="Courier New"/>
        <family val="0"/>
        <charset val="1"/>
      </rPr>
      <t xml:space="preserve">COMMENT ON COLUMN t_shipment_line.unit_price IS '</t>
    </r>
    <r>
      <rPr>
        <sz val="9"/>
        <rFont val="WenQuanYi Zen Hei"/>
        <family val="2"/>
      </rPr>
      <t xml:space="preserve">販売単価（円）</t>
    </r>
    <r>
      <rPr>
        <sz val="9"/>
        <rFont val="Courier New"/>
        <family val="0"/>
        <charset val="1"/>
      </rPr>
      <t xml:space="preserve">';</t>
    </r>
  </si>
  <si>
    <r>
      <rPr>
        <sz val="9"/>
        <rFont val="Courier New"/>
        <family val="0"/>
        <charset val="1"/>
      </rPr>
      <t xml:space="preserve">COMMENT ON COLUMN t_shipment_line.unit_cost IS '</t>
    </r>
    <r>
      <rPr>
        <sz val="9"/>
        <rFont val="WenQuanYi Zen Hei"/>
        <family val="2"/>
      </rPr>
      <t xml:space="preserve">原価単価（円）</t>
    </r>
    <r>
      <rPr>
        <sz val="9"/>
        <rFont val="Courier New"/>
        <family val="0"/>
        <charset val="1"/>
      </rPr>
      <t xml:space="preserve">';</t>
    </r>
  </si>
  <si>
    <r>
      <rPr>
        <sz val="9"/>
        <rFont val="Courier New"/>
        <family val="0"/>
        <charset val="1"/>
      </rPr>
      <t xml:space="preserve">COMMENT ON COLUMN t_shipment_line.status IS '</t>
    </r>
    <r>
      <rPr>
        <sz val="9"/>
        <rFont val="WenQuanYi Zen Hei"/>
        <family val="2"/>
      </rPr>
      <t xml:space="preserve">明細ステータス</t>
    </r>
    <r>
      <rPr>
        <sz val="9"/>
        <rFont val="Courier New"/>
        <family val="0"/>
        <charset val="1"/>
      </rPr>
      <t xml:space="preserve">';</t>
    </r>
  </si>
  <si>
    <r>
      <rPr>
        <sz val="9"/>
        <rFont val="Courier New"/>
        <family val="0"/>
        <charset val="1"/>
      </rPr>
      <t xml:space="preserve">COMMENT ON COLUMN t_shipment_line.created_at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</si>
  <si>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t_shipment_line.created_by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</si>
  <si>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t_shipment_line.updated_at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</si>
  <si>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t_shipment_line.updated_by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</si>
  <si>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t_shipment_line.version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</si>
  <si>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返品：返品（元出荷明細に紐付け）</t>
    </r>
  </si>
  <si>
    <t xml:space="preserve">CREATE TABLE t_return (</t>
  </si>
  <si>
    <t xml:space="preserve">  return_no VARCHAR(20) NOT NULL,</t>
  </si>
  <si>
    <t xml:space="preserve">  shipment_line_id BIGINT NOT NULL REFERENCES t_shipment_line(id),</t>
  </si>
  <si>
    <t xml:space="preserve">  recall_target_id BIGINT REFERENCES t_recall_target(id),</t>
  </si>
  <si>
    <t xml:space="preserve">  returned_on DATE NOT NULL,</t>
  </si>
  <si>
    <t xml:space="preserve">  disposition VARCHAR(20),</t>
  </si>
  <si>
    <t xml:space="preserve">  restock_location_id BIGINT REFERENCES m_location(id),</t>
  </si>
  <si>
    <t xml:space="preserve">  status VARCHAR(20) NOT NULL DEFAULT 'RECEIVED',</t>
  </si>
  <si>
    <r>
      <rPr>
        <sz val="9"/>
        <rFont val="Courier New"/>
        <family val="0"/>
        <charset val="1"/>
      </rPr>
      <t xml:space="preserve">COMMENT ON TABLE t_return IS '</t>
    </r>
    <r>
      <rPr>
        <sz val="9"/>
        <rFont val="WenQuanYi Zen Hei"/>
        <family val="2"/>
      </rPr>
      <t xml:space="preserve">返品</t>
    </r>
    <r>
      <rPr>
        <sz val="9"/>
        <rFont val="Courier New"/>
        <family val="0"/>
        <charset val="1"/>
      </rPr>
      <t xml:space="preserve">';</t>
    </r>
  </si>
  <si>
    <r>
      <rPr>
        <sz val="9"/>
        <rFont val="Courier New"/>
        <family val="0"/>
        <charset val="1"/>
      </rPr>
      <t xml:space="preserve">COMMENT ON COLUMN t_return.id IS '</t>
    </r>
    <r>
      <rPr>
        <sz val="9"/>
        <rFont val="WenQuanYi Zen Hei"/>
        <family val="2"/>
      </rPr>
      <t xml:space="preserve">返品</t>
    </r>
    <r>
      <rPr>
        <sz val="9"/>
        <rFont val="Courier New"/>
        <family val="0"/>
        <charset val="1"/>
      </rPr>
      <t xml:space="preserve">ID';</t>
    </r>
  </si>
  <si>
    <r>
      <rPr>
        <sz val="9"/>
        <rFont val="Courier New"/>
        <family val="0"/>
        <charset val="1"/>
      </rPr>
      <t xml:space="preserve">COMMENT ON COLUMN t_return.return_no IS '</t>
    </r>
    <r>
      <rPr>
        <sz val="9"/>
        <rFont val="WenQuanYi Zen Hei"/>
        <family val="2"/>
      </rPr>
      <t xml:space="preserve">返品番号</t>
    </r>
    <r>
      <rPr>
        <sz val="9"/>
        <rFont val="Courier New"/>
        <family val="0"/>
        <charset val="1"/>
      </rPr>
      <t xml:space="preserve">';</t>
    </r>
  </si>
  <si>
    <r>
      <rPr>
        <sz val="9"/>
        <rFont val="Courier New"/>
        <family val="0"/>
        <charset val="1"/>
      </rPr>
      <t xml:space="preserve">COMMENT ON COLUMN t_return.shipment_line_id IS '</t>
    </r>
    <r>
      <rPr>
        <sz val="9"/>
        <rFont val="WenQuanYi Zen Hei"/>
        <family val="2"/>
      </rPr>
      <t xml:space="preserve">元出荷明細</t>
    </r>
    <r>
      <rPr>
        <sz val="9"/>
        <rFont val="Courier New"/>
        <family val="0"/>
        <charset val="1"/>
      </rPr>
      <t xml:space="preserve">ID';</t>
    </r>
  </si>
  <si>
    <r>
      <rPr>
        <sz val="9"/>
        <rFont val="Courier New"/>
        <family val="0"/>
        <charset val="1"/>
      </rPr>
      <t xml:space="preserve">COMMENT ON COLUMN t_return.recall_target_id IS '</t>
    </r>
    <r>
      <rPr>
        <sz val="9"/>
        <rFont val="WenQuanYi Zen Hei"/>
        <family val="2"/>
      </rPr>
      <t xml:space="preserve">回収対象</t>
    </r>
    <r>
      <rPr>
        <sz val="9"/>
        <rFont val="Courier New"/>
        <family val="0"/>
        <charset val="1"/>
      </rPr>
      <t xml:space="preserve">ID';</t>
    </r>
  </si>
  <si>
    <r>
      <rPr>
        <sz val="9"/>
        <rFont val="Courier New"/>
        <family val="0"/>
        <charset val="1"/>
      </rPr>
      <t xml:space="preserve">COMMENT ON COLUMN t_return.returned_on IS '</t>
    </r>
    <r>
      <rPr>
        <sz val="9"/>
        <rFont val="WenQuanYi Zen Hei"/>
        <family val="2"/>
      </rPr>
      <t xml:space="preserve">返品日</t>
    </r>
    <r>
      <rPr>
        <sz val="9"/>
        <rFont val="Courier New"/>
        <family val="0"/>
        <charset val="1"/>
      </rPr>
      <t xml:space="preserve">';</t>
    </r>
  </si>
  <si>
    <r>
      <rPr>
        <sz val="9"/>
        <rFont val="Courier New"/>
        <family val="0"/>
        <charset val="1"/>
      </rPr>
      <t xml:space="preserve">COMMENT ON COLUMN t_return.quantity IS '</t>
    </r>
    <r>
      <rPr>
        <sz val="9"/>
        <rFont val="WenQuanYi Zen Hei"/>
        <family val="2"/>
      </rPr>
      <t xml:space="preserve">返品数量</t>
    </r>
    <r>
      <rPr>
        <sz val="9"/>
        <rFont val="Courier New"/>
        <family val="0"/>
        <charset val="1"/>
      </rPr>
      <t xml:space="preserve">';</t>
    </r>
  </si>
  <si>
    <r>
      <rPr>
        <sz val="9"/>
        <rFont val="Courier New"/>
        <family val="0"/>
        <charset val="1"/>
      </rPr>
      <t xml:space="preserve">COMMENT ON COLUMN t_return.reason IS '</t>
    </r>
    <r>
      <rPr>
        <sz val="9"/>
        <rFont val="WenQuanYi Zen Hei"/>
        <family val="2"/>
      </rPr>
      <t xml:space="preserve">返品理由</t>
    </r>
    <r>
      <rPr>
        <sz val="9"/>
        <rFont val="Courier New"/>
        <family val="0"/>
        <charset val="1"/>
      </rPr>
      <t xml:space="preserve">';</t>
    </r>
  </si>
  <si>
    <r>
      <rPr>
        <sz val="9"/>
        <rFont val="Courier New"/>
        <family val="0"/>
        <charset val="1"/>
      </rPr>
      <t xml:space="preserve">COMMENT ON COLUMN t_return.disposition IS '</t>
    </r>
    <r>
      <rPr>
        <sz val="9"/>
        <rFont val="WenQuanYi Zen Hei"/>
        <family val="2"/>
      </rPr>
      <t xml:space="preserve">処置</t>
    </r>
    <r>
      <rPr>
        <sz val="9"/>
        <rFont val="Courier New"/>
        <family val="0"/>
        <charset val="1"/>
      </rPr>
      <t xml:space="preserve">';</t>
    </r>
  </si>
  <si>
    <r>
      <rPr>
        <sz val="9"/>
        <rFont val="Courier New"/>
        <family val="0"/>
        <charset val="1"/>
      </rPr>
      <t xml:space="preserve">COMMENT ON COLUMN t_return.location_id IS '</t>
    </r>
    <r>
      <rPr>
        <sz val="9"/>
        <rFont val="WenQuanYi Zen Hei"/>
        <family val="2"/>
      </rPr>
      <t xml:space="preserve">受入保管場所</t>
    </r>
    <r>
      <rPr>
        <sz val="9"/>
        <rFont val="Courier New"/>
        <family val="0"/>
        <charset val="1"/>
      </rPr>
      <t xml:space="preserve">ID';</t>
    </r>
  </si>
  <si>
    <r>
      <rPr>
        <sz val="9"/>
        <rFont val="Courier New"/>
        <family val="0"/>
        <charset val="1"/>
      </rPr>
      <t xml:space="preserve">COMMENT ON COLUMN t_return.restock_location_id IS '</t>
    </r>
    <r>
      <rPr>
        <sz val="9"/>
        <rFont val="WenQuanYi Zen Hei"/>
        <family val="2"/>
      </rPr>
      <t xml:space="preserve">戻し保管場所</t>
    </r>
    <r>
      <rPr>
        <sz val="9"/>
        <rFont val="Courier New"/>
        <family val="0"/>
        <charset val="1"/>
      </rPr>
      <t xml:space="preserve">ID';</t>
    </r>
  </si>
  <si>
    <r>
      <rPr>
        <sz val="9"/>
        <rFont val="Courier New"/>
        <family val="0"/>
        <charset val="1"/>
      </rPr>
      <t xml:space="preserve">COMMENT ON COLUMN t_return.status IS '</t>
    </r>
    <r>
      <rPr>
        <sz val="9"/>
        <rFont val="WenQuanYi Zen Hei"/>
        <family val="2"/>
      </rPr>
      <t xml:space="preserve">ステータス</t>
    </r>
    <r>
      <rPr>
        <sz val="9"/>
        <rFont val="Courier New"/>
        <family val="0"/>
        <charset val="1"/>
      </rPr>
      <t xml:space="preserve">';</t>
    </r>
  </si>
  <si>
    <r>
      <rPr>
        <sz val="9"/>
        <rFont val="Courier New"/>
        <family val="0"/>
        <charset val="1"/>
      </rPr>
      <t xml:space="preserve">COMMENT ON COLUMN t_return.created_at IS '</t>
    </r>
    <r>
      <rPr>
        <sz val="9"/>
        <rFont val="WenQuanYi Zen Hei"/>
        <family val="2"/>
      </rPr>
      <t xml:space="preserve">作成日時</t>
    </r>
    <r>
      <rPr>
        <sz val="9"/>
        <rFont val="Courier New"/>
        <family val="0"/>
        <charset val="1"/>
      </rPr>
      <t xml:space="preserve">';</t>
    </r>
  </si>
  <si>
    <r>
      <rPr>
        <sz val="9"/>
        <rFont val="Courier New"/>
        <family val="0"/>
        <charset val="1"/>
      </rPr>
      <t xml:space="preserve">COMMENT ON COLUMN t_return.created_by IS '</t>
    </r>
    <r>
      <rPr>
        <sz val="9"/>
        <rFont val="WenQuanYi Zen Hei"/>
        <family val="2"/>
      </rPr>
      <t xml:space="preserve">作成者</t>
    </r>
    <r>
      <rPr>
        <sz val="9"/>
        <rFont val="Courier New"/>
        <family val="0"/>
        <charset val="1"/>
      </rPr>
      <t xml:space="preserve">';</t>
    </r>
  </si>
  <si>
    <r>
      <rPr>
        <sz val="9"/>
        <rFont val="Courier New"/>
        <family val="0"/>
        <charset val="1"/>
      </rPr>
      <t xml:space="preserve">COMMENT ON COLUMN t_return.updated_at IS '</t>
    </r>
    <r>
      <rPr>
        <sz val="9"/>
        <rFont val="WenQuanYi Zen Hei"/>
        <family val="2"/>
      </rPr>
      <t xml:space="preserve">更新日時</t>
    </r>
    <r>
      <rPr>
        <sz val="9"/>
        <rFont val="Courier New"/>
        <family val="0"/>
        <charset val="1"/>
      </rPr>
      <t xml:space="preserve">';</t>
    </r>
  </si>
  <si>
    <r>
      <rPr>
        <sz val="9"/>
        <rFont val="Courier New"/>
        <family val="0"/>
        <charset val="1"/>
      </rPr>
      <t xml:space="preserve">COMMENT ON COLUMN t_return.updated_by IS '</t>
    </r>
    <r>
      <rPr>
        <sz val="9"/>
        <rFont val="WenQuanYi Zen Hei"/>
        <family val="2"/>
      </rPr>
      <t xml:space="preserve">更新者</t>
    </r>
    <r>
      <rPr>
        <sz val="9"/>
        <rFont val="Courier New"/>
        <family val="0"/>
        <charset val="1"/>
      </rPr>
      <t xml:space="preserve">';</t>
    </r>
  </si>
  <si>
    <r>
      <rPr>
        <sz val="9"/>
        <rFont val="Courier New"/>
        <family val="0"/>
        <charset val="1"/>
      </rPr>
      <t xml:space="preserve">COMMENT ON COLUMN t_return.version IS '</t>
    </r>
    <r>
      <rPr>
        <sz val="9"/>
        <rFont val="WenQuanYi Zen Hei"/>
        <family val="2"/>
      </rPr>
      <t xml:space="preserve">版数</t>
    </r>
    <r>
      <rPr>
        <sz val="9"/>
        <rFont val="Courier New"/>
        <family val="0"/>
        <charset val="1"/>
      </rPr>
      <t xml:space="preserve">';</t>
    </r>
  </si>
  <si>
    <r>
      <rPr>
        <sz val="9"/>
        <rFont val="Courier New"/>
        <family val="0"/>
        <charset val="1"/>
      </rPr>
      <t xml:space="preserve">-- </t>
    </r>
    <r>
      <rPr>
        <sz val="9"/>
        <rFont val="WenQuanYi Zen Hei"/>
        <family val="2"/>
      </rPr>
      <t xml:space="preserve">一意制約・</t>
    </r>
    <r>
      <rPr>
        <sz val="9"/>
        <rFont val="Courier New"/>
        <family val="0"/>
        <charset val="1"/>
      </rPr>
      <t xml:space="preserve">CHECK</t>
    </r>
    <r>
      <rPr>
        <sz val="9"/>
        <rFont val="WenQuanYi Zen Hei"/>
        <family val="2"/>
      </rPr>
      <t xml:space="preserve">・インデックス</t>
    </r>
  </si>
  <si>
    <t xml:space="preserve">ALTER TABLE m_supplier ADD CONSTRAINT uq_supplier_code UNIQUE (supplier_code);</t>
  </si>
  <si>
    <t xml:space="preserve">ALTER TABLE m_product ADD CONSTRAINT uq_product_code UNIQUE (product_code);</t>
  </si>
  <si>
    <t xml:space="preserve">ALTER TABLE m_customer ADD CONSTRAINT uq_customer_code UNIQUE (customer_code);</t>
  </si>
  <si>
    <t xml:space="preserve">ALTER TABLE m_customer ADD CONSTRAINT ck_customer_medical_code CHECK (customer_type&lt;&gt;'MEDICAL' OR medical_inst_code IS NOT NULL);</t>
  </si>
  <si>
    <t xml:space="preserve">CREATE UNIQUE INDEX uq_ship_to_default ON m_ship_to (customer_id) WHERE is_default;</t>
  </si>
  <si>
    <t xml:space="preserve">ALTER TABLE m_location ADD CONSTRAINT uq_location_code UNIQUE (location_code);</t>
  </si>
  <si>
    <t xml:space="preserve">ALTER TABLE m_location ADD CONSTRAINT ck_location_temp CHECK (temp_min &lt; temp_max);</t>
  </si>
  <si>
    <t xml:space="preserve">ALTER TABLE m_sales_rule ADD CONSTRAINT uq_sales_rule UNIQUE (regulatory_class, customer_type);</t>
  </si>
  <si>
    <t xml:space="preserve">ALTER TABLE m_user ADD CONSTRAINT uq_user_email UNIQUE (email);</t>
  </si>
  <si>
    <t xml:space="preserve">ALTER TABLE t_purchase_order ADD CONSTRAINT uq_po_no UNIQUE (po_no);</t>
  </si>
  <si>
    <t xml:space="preserve">ALTER TABLE t_purchase_order_line ADD CONSTRAINT uq_po_line UNIQUE (purchase_order_id, line_no);</t>
  </si>
  <si>
    <t xml:space="preserve">ALTER TABLE t_receipt ADD CONSTRAINT uq_receipt_no UNIQUE (receipt_no);</t>
  </si>
  <si>
    <t xml:space="preserve">ALTER TABLE t_lot ADD CONSTRAINT uq_lot_no UNIQUE (lot_no);</t>
  </si>
  <si>
    <t xml:space="preserve">ALTER TABLE t_lot ADD CONSTRAINT uq_lot_supplier_lot UNIQUE (supplier_id, product_id, supplier_lot_no);</t>
  </si>
  <si>
    <t xml:space="preserve">CREATE INDEX ix_lot_product_status_exp ON t_lot (product_id, status, expires_on, received_on);</t>
  </si>
  <si>
    <t xml:space="preserve">CREATE INDEX ix_lot_status_history ON t_lot_status_history (lot_id, changed_at);</t>
  </si>
  <si>
    <t xml:space="preserve">ALTER TABLE t_receipt_line ADD CONSTRAINT ck_receipt_line_qty CHECK (quantity &gt; 0);</t>
  </si>
  <si>
    <t xml:space="preserve">ALTER TABLE t_inventory ADD CONSTRAINT uq_inventory_lot_loc UNIQUE (lot_id, location_id);</t>
  </si>
  <si>
    <t xml:space="preserve">ALTER TABLE t_inventory ADD CONSTRAINT ck_inventory_qty CHECK (on_hand_qty &gt;= 0 AND 0 &lt;= allocated_qty AND allocated_qty &lt;= on_hand_qty);</t>
  </si>
  <si>
    <t xml:space="preserve">CREATE INDEX ix_movement_lot_loc ON t_stock_movement (lot_id, location_id, moved_at);</t>
  </si>
  <si>
    <t xml:space="preserve">CREATE INDEX ix_movement_ref ON t_stock_movement (ref_type, ref_id);</t>
  </si>
  <si>
    <t xml:space="preserve">ALTER TABLE t_sales_order ADD CONSTRAINT uq_so_no UNIQUE (so_no);</t>
  </si>
  <si>
    <t xml:space="preserve">CREATE INDEX ix_so_customer_date ON t_sales_order (customer_id, order_date);</t>
  </si>
  <si>
    <t xml:space="preserve">ALTER TABLE t_sales_order_line ADD CONSTRAINT uq_so_line UNIQUE (sales_order_id, line_no);</t>
  </si>
  <si>
    <t xml:space="preserve">ALTER TABLE t_shipment ADD CONSTRAINT uq_shipment_no UNIQUE (shipment_no);</t>
  </si>
  <si>
    <t xml:space="preserve">CREATE INDEX ix_shipment_customer_date ON t_shipment (customer_id, shipped_on);</t>
  </si>
  <si>
    <t xml:space="preserve">CREATE INDEX ix_shipment_line_lot ON t_shipment_line (lot_id, status);</t>
  </si>
  <si>
    <t xml:space="preserve">CREATE INDEX ix_shipment_line_so_line ON t_shipment_line (sales_order_line_id, status);</t>
  </si>
  <si>
    <t xml:space="preserve">ALTER TABLE t_shipment_line ADD CONSTRAINT ck_shipment_line_qty CHECK (quantity &gt; 0);</t>
  </si>
  <si>
    <t xml:space="preserve">ALTER TABLE t_return ADD CONSTRAINT uq_return_no UNIQUE (return_no);</t>
  </si>
  <si>
    <t xml:space="preserve">CREATE INDEX ix_return_shipment_line ON t_return (shipment_line_id);</t>
  </si>
  <si>
    <t xml:space="preserve">CREATE INDEX ix_return_recall_target ON t_return (recall_target_id);</t>
  </si>
  <si>
    <t xml:space="preserve">ALTER TABLE t_recall ADD CONSTRAINT uq_recall_no UNIQUE (recall_no);</t>
  </si>
  <si>
    <t xml:space="preserve">ALTER TABLE t_recall_lot ADD CONSTRAINT uq_recall_lot UNIQUE (recall_id, lot_id);</t>
  </si>
  <si>
    <t xml:space="preserve">ALTER TABLE t_recall_target ADD CONSTRAINT uq_recall_target UNIQUE (recall_id, ship_to_id, lot_id);</t>
  </si>
  <si>
    <t xml:space="preserve">CREATE INDEX ix_temp_location_time ON t_temperature_log (location_id, measured_at);</t>
  </si>
  <si>
    <t xml:space="preserve">CREATE INDEX ix_attachment_owner ON t_attachment (owner_type, owner_id);</t>
  </si>
  <si>
    <t xml:space="preserve">CREATE INDEX ix_audit_target ON t_audit_log (target_table, target_id, occurred_at);</t>
  </si>
  <si>
    <t xml:space="preserve">CREATE INDEX ix_audit_user_time ON t_audit_log (user_id, occurred_at);</t>
  </si>
  <si>
    <r>
      <rPr>
        <b val="true"/>
        <sz val="11"/>
        <color rgb="FF1F4E5F"/>
        <rFont val="WenQuanYi Zen Hei"/>
        <family val="2"/>
      </rPr>
      <t xml:space="preserve">主要</t>
    </r>
    <r>
      <rPr>
        <b val="true"/>
        <sz val="11"/>
        <color rgb="FF1F4E5F"/>
        <rFont val="Arial"/>
        <family val="0"/>
        <charset val="1"/>
      </rPr>
      <t xml:space="preserve">SQL</t>
    </r>
  </si>
  <si>
    <t xml:space="preserve">SQL ID</t>
  </si>
  <si>
    <t xml:space="preserve">用途</t>
  </si>
  <si>
    <t xml:space="preserve">SQL-01</t>
  </si>
  <si>
    <t xml:space="preserve">ロット→出荷先顧客（前方追跡）</t>
  </si>
  <si>
    <t xml:space="preserve">SELECT c.customer_code, c.name AS customer_name, st.name AS ship_to_name, s.shipment_no, s.shipped_on,
       sl.status AS line_status, sl.quantity AS shipped_qty,
       COALESCE(SUM(r.quantity) FILTER (WHERE r.recall_target_id IS NULL), 0) AS returned_qty,
       COALESCE(SUM(r.quantity) FILTER (WHERE r.recall_target_id IS NOT NULL), 0) AS recalled_qty,
       CASE WHEN sl.status = 'SHIPPED' THEN sl.quantity - COALESCE(SUM(r.quantity), 0) ELSE 0 END AS net_qty
FROM t_shipment_line sl
JOIN t_shipment s ON s.id = sl.shipment_id
JOIN m_customer c ON c.id = s.customer_id
JOIN m_ship_to st ON st.id = s.ship_to_id
LEFT JOIN t_return r ON r.shipment_line_id = sl.id
WHERE sl.lot_id = :lot_id AND sl.status IN ('SHIPPED', 'CANCELLED')
  AND EXISTS (SELECT 1 FROM t_stock_movement m WHERE m.ref_type = 'shipment_line' AND m.ref_id = sl.id AND m.movement_type = 'SHIPMENT')
GROUP BY c.customer_code, c.name, st.name, s.shipment_no, s.shipped_on, sl.id, sl.status, sl.quantity
ORDER BY s.shipped_on, sl.id;</t>
  </si>
  <si>
    <t xml:space="preserve">SQL-02</t>
  </si>
  <si>
    <t xml:space="preserve">顧客→購入ロット（後方追跡）</t>
  </si>
  <si>
    <t xml:space="preserve">SELECT s.shipped_on, p.product_code, p.name AS product_name, l.lot_no, l.supplier_lot_no,
       l.expires_on, l.status AS lot_status, sl.quantity AS shipped_qty,
       COALESCE(SUM(r.quantity), 0) AS returned_qty,
       sl.quantity - COALESCE(SUM(r.quantity), 0) AS net_qty
FROM t_shipment s
JOIN t_shipment_line sl ON sl.shipment_id = s.id AND sl.status = 'SHIPPED'
JOIN t_lot l ON l.id = sl.lot_id
JOIN m_product p ON p.id = sl.product_id
LEFT JOIN t_return r ON r.shipment_line_id = sl.id
WHERE s.customer_id = :customer_id
  AND s.shipped_on BETWEEN :from AND :to
GROUP BY s.shipped_on, p.product_code, p.name, l.lot_no, l.supplier_lot_no, l.expires_on, l.status, sl.id, sl.quantity
ORDER BY s.shipped_on DESC;</t>
  </si>
  <si>
    <t xml:space="preserve">SQL-03</t>
  </si>
  <si>
    <r>
      <rPr>
        <sz val="10"/>
        <rFont val="WenQuanYi Zen Hei"/>
        <family val="2"/>
      </rPr>
      <t xml:space="preserve">回収対象抽出（</t>
    </r>
    <r>
      <rPr>
        <sz val="10"/>
        <rFont val="Arial"/>
        <family val="0"/>
        <charset val="1"/>
      </rPr>
      <t xml:space="preserve">P-18</t>
    </r>
    <r>
      <rPr>
        <sz val="10"/>
        <rFont val="WenQuanYi Zen Hei"/>
        <family val="2"/>
      </rPr>
      <t xml:space="preserve">。再実行可・冪等）</t>
    </r>
  </si>
  <si>
    <r>
      <rPr>
        <sz val="9"/>
        <rFont val="Courier New"/>
        <family val="0"/>
        <charset val="1"/>
      </rPr>
      <t xml:space="preserve">-- (1) </t>
    </r>
    <r>
      <rPr>
        <sz val="9"/>
        <rFont val="WenQuanYi Zen Hei"/>
        <family val="2"/>
      </rPr>
      <t xml:space="preserve">出荷正味数量の </t>
    </r>
    <r>
      <rPr>
        <sz val="9"/>
        <rFont val="Courier New"/>
        <family val="0"/>
        <charset val="1"/>
      </rPr>
      <t xml:space="preserve">UPSERT</t>
    </r>
    <r>
      <rPr>
        <sz val="9"/>
        <rFont val="WenQuanYi Zen Hei"/>
        <family val="2"/>
      </rPr>
      <t xml:space="preserve">。</t>
    </r>
    <r>
      <rPr>
        <sz val="9"/>
        <rFont val="Courier New"/>
        <family val="0"/>
        <charset val="1"/>
      </rPr>
      <t xml:space="preserve">shipped_qty</t>
    </r>
    <r>
      <rPr>
        <sz val="9"/>
        <rFont val="WenQuanYi Zen Hei"/>
        <family val="2"/>
      </rPr>
      <t xml:space="preserve">＝出荷数量−通常返品数量（回収品の返品は </t>
    </r>
    <r>
      <rPr>
        <sz val="9"/>
        <rFont val="Courier New"/>
        <family val="0"/>
        <charset val="1"/>
      </rPr>
      <t xml:space="preserve">recovered_qty </t>
    </r>
    <r>
      <rPr>
        <sz val="9"/>
        <rFont val="WenQuanYi Zen Hei"/>
        <family val="2"/>
      </rPr>
      <t xml:space="preserve">側で管理するため除外）
</t>
    </r>
    <r>
      <rPr>
        <sz val="9"/>
        <rFont val="Courier New"/>
        <family val="0"/>
        <charset val="1"/>
      </rPr>
      <t xml:space="preserve">INSERT INTO t_recall_target (recall_id, customer_id, ship_to_id, lot_id, shipped_qty, recovered_qty, status, close_reason, created_by, updated_by)
SELECT :recall_id, s.customer_id, s.ship_to_id, sl.lot_id,
       SUM(sl.quantity - COALESCE(rt.returned, 0)), 0,
       CASE WHEN SUM(sl.quantity - COALESCE(rt.returned, 0)) &gt; 0 THEN 'NOT_CONTACTED' ELSE 'CLOSED' END,
       CASE WHEN SUM(sl.quantity - COALESCE(rt.returned, 0)) &gt; 0 THEN NULL ELSE '</t>
    </r>
    <r>
      <rPr>
        <sz val="9"/>
        <rFont val="WenQuanYi Zen Hei"/>
        <family val="2"/>
      </rPr>
      <t xml:space="preserve">自動：出荷正味</t>
    </r>
    <r>
      <rPr>
        <sz val="9"/>
        <rFont val="Courier New"/>
        <family val="0"/>
        <charset val="1"/>
      </rPr>
      <t xml:space="preserve">0' END,
       :user_id, :user_id
FROM t_recall_lot rl
JOIN t_shipment_line sl ON sl.lot_id = rl.lot_id AND sl.status = 'SHIPPED'
JOIN t_shipment s ON s.id = sl.shipment_id
LEFT JOIN (SELECT shipment_line_id, SUM(quantity) AS returned FROM t_return
           WHERE recall_target_id IS NULL GROUP BY shipment_line_id) rt
       ON rt.shipment_line_id = sl.id
WHERE rl.recall_id = :recall_id
GROUP BY s.customer_id, s.ship_to_id, sl.lot_id
ON CONFLICT (recall_id, ship_to_id, lot_id) DO UPDATE
  SET shipped_qty = EXCLUDED.shipped_qty,
      status = CASE
        WHEN EXCLUDED.shipped_qty = 0 AND t_recall_target.recovered_qty = 0 THEN 'CLOSED'
        WHEN t_recall_target.recovered_qty + t_recall_target.unrecoverable_qty &gt;= EXCLUDED.shipped_qty THEN 'RECOVERED'
        ELSE t_recall_target.status END,
      close_reason = CASE WHEN EXCLUDED.shipped_qty = 0 AND t_recall_target.recovered_qty = 0
                          THEN '</t>
    </r>
    <r>
      <rPr>
        <sz val="9"/>
        <rFont val="WenQuanYi Zen Hei"/>
        <family val="2"/>
      </rPr>
      <t xml:space="preserve">自動：出荷正味</t>
    </r>
    <r>
      <rPr>
        <sz val="9"/>
        <rFont val="Courier New"/>
        <family val="0"/>
        <charset val="1"/>
      </rPr>
      <t xml:space="preserve">0' ELSE t_recall_target.close_reason END,
      updated_at = now(), updated_by = EXCLUDED.updated_by;
-- (2) </t>
    </r>
    <r>
      <rPr>
        <sz val="9"/>
        <rFont val="WenQuanYi Zen Hei"/>
        <family val="2"/>
      </rPr>
      <t xml:space="preserve">出荷取消で </t>
    </r>
    <r>
      <rPr>
        <sz val="9"/>
        <rFont val="Courier New"/>
        <family val="0"/>
        <charset val="1"/>
      </rPr>
      <t xml:space="preserve">SHIPPED </t>
    </r>
    <r>
      <rPr>
        <sz val="9"/>
        <rFont val="WenQuanYi Zen Hei"/>
        <family val="2"/>
      </rPr>
      <t xml:space="preserve">明細が無くなった対象を </t>
    </r>
    <r>
      <rPr>
        <sz val="9"/>
        <rFont val="Courier New"/>
        <family val="0"/>
        <charset val="1"/>
      </rPr>
      <t xml:space="preserve">0</t>
    </r>
    <r>
      <rPr>
        <sz val="9"/>
        <rFont val="WenQuanYi Zen Hei"/>
        <family val="2"/>
      </rPr>
      <t xml:space="preserve">／</t>
    </r>
    <r>
      <rPr>
        <sz val="9"/>
        <rFont val="Courier New"/>
        <family val="0"/>
        <charset val="1"/>
      </rPr>
      <t xml:space="preserve">CLOSED </t>
    </r>
    <r>
      <rPr>
        <sz val="9"/>
        <rFont val="WenQuanYi Zen Hei"/>
        <family val="2"/>
      </rPr>
      <t xml:space="preserve">に更新
</t>
    </r>
    <r>
      <rPr>
        <sz val="9"/>
        <rFont val="Courier New"/>
        <family val="0"/>
        <charset val="1"/>
      </rPr>
      <t xml:space="preserve">UPDATE t_recall_target t
   SET shipped_qty = 0,
       status = CASE WHEN t.recovered_qty &gt; 0 THEN 'RECOVERED' ELSE 'CLOSED' END,
       close_reason = CASE WHEN t.recovered_qty &gt; 0 THEN t.close_reason ELSE '</t>
    </r>
    <r>
      <rPr>
        <sz val="9"/>
        <rFont val="WenQuanYi Zen Hei"/>
        <family val="2"/>
      </rPr>
      <t xml:space="preserve">自動：出荷取消</t>
    </r>
    <r>
      <rPr>
        <sz val="9"/>
        <rFont val="Courier New"/>
        <family val="0"/>
        <charset val="1"/>
      </rPr>
      <t xml:space="preserve">' END,
       updated_at = now(), updated_by = :user_id
 WHERE t.recall_id = :recall_id AND t.shipped_qty &lt;&gt; 0
   AND NOT EXISTS (SELECT 1 FROM t_shipment_line sl JOIN t_shipment s ON s.id = sl.shipment_id
                   WHERE sl.lot_id = t.lot_id AND s.ship_to_id = t.ship_to_id AND sl.status = 'SHIPPED');</t>
    </r>
  </si>
  <si>
    <t xml:space="preserve">SQL-04</t>
  </si>
  <si>
    <t xml:space="preserve">在庫整合性チェック：現在庫＝移動履歴合計（日次バッチ）</t>
  </si>
  <si>
    <t xml:space="preserve">WITH mv AS (
  SELECT lot_id, location_id, SUM(quantity) AS total FROM t_stock_movement GROUP BY lot_id, location_id
)
SELECT COALESCE(i.lot_id, mv.lot_id) AS lot_id, COALESCE(i.location_id, mv.location_id) AS location_id,
       COALESCE(i.on_hand_qty, 0) AS on_hand_qty, COALESCE(mv.total, 0) AS movement_total
FROM t_inventory i
FULL JOIN mv ON mv.lot_id = i.lot_id AND mv.location_id = i.location_id
WHERE COALESCE(i.on_hand_qty, 0) &lt;&gt; COALESCE(mv.total, 0);</t>
  </si>
  <si>
    <t xml:space="preserve">SQL-05</t>
  </si>
  <si>
    <r>
      <rPr>
        <sz val="10"/>
        <rFont val="WenQuanYi Zen Hei"/>
        <family val="2"/>
      </rPr>
      <t xml:space="preserve">引当整合性チェック：引当済数＝</t>
    </r>
    <r>
      <rPr>
        <sz val="10"/>
        <rFont val="Arial"/>
        <family val="0"/>
        <charset val="1"/>
      </rPr>
      <t xml:space="preserve">ALLOCATED</t>
    </r>
    <r>
      <rPr>
        <sz val="10"/>
        <rFont val="WenQuanYi Zen Hei"/>
        <family val="2"/>
      </rPr>
      <t xml:space="preserve">出荷明細合計（日次バッチ）</t>
    </r>
  </si>
  <si>
    <t xml:space="preserve">SELECT i.lot_id, i.location_id, i.allocated_qty, COALESCE(a.qty, 0) AS allocated_lines
FROM t_inventory i
LEFT JOIN (SELECT lot_id, location_id, SUM(quantity) AS qty FROM t_shipment_line
           WHERE status = 'ALLOCATED' GROUP BY lot_id, location_id) a
       ON a.lot_id = i.lot_id AND a.location_id = i.location_id
WHERE i.allocated_qty &lt;&gt; COALESCE(a.qty, 0);</t>
  </si>
  <si>
    <r>
      <rPr>
        <i val="true"/>
        <sz val="9"/>
        <color rgb="FF595959"/>
        <rFont val="Arial"/>
        <family val="0"/>
        <charset val="1"/>
      </rPr>
      <t xml:space="preserve">DB</t>
    </r>
    <r>
      <rPr>
        <i val="true"/>
        <sz val="9"/>
        <color rgb="FF595959"/>
        <rFont val="WenQuanYi Zen Hei"/>
        <family val="2"/>
      </rPr>
      <t xml:space="preserve">にはコード（英字）を格納し、画面・帳票では名称を表示する</t>
    </r>
  </si>
  <si>
    <t xml:space="preserve">コード種別</t>
  </si>
  <si>
    <t xml:space="preserve">コード</t>
  </si>
  <si>
    <t xml:space="preserve">名称</t>
  </si>
  <si>
    <t xml:space="preserve">ADIPOSE</t>
  </si>
  <si>
    <t xml:space="preserve">ヒト脂肪由来幹細胞</t>
  </si>
  <si>
    <t xml:space="preserve">UMBILICAL</t>
  </si>
  <si>
    <t xml:space="preserve">ヒト臍帯由来</t>
  </si>
  <si>
    <t xml:space="preserve">DENTAL_PULP</t>
  </si>
  <si>
    <t xml:space="preserve">ヒト歯髄由来</t>
  </si>
  <si>
    <t xml:space="preserve">BONE_MARROW</t>
  </si>
  <si>
    <t xml:space="preserve">ヒト骨髄由来</t>
  </si>
  <si>
    <t xml:space="preserve">PLANT</t>
  </si>
  <si>
    <t xml:space="preserve">植物由来</t>
  </si>
  <si>
    <t xml:space="preserve">OTHER</t>
  </si>
  <si>
    <t xml:space="preserve">その他</t>
  </si>
  <si>
    <t xml:space="preserve">FROZEN</t>
  </si>
  <si>
    <t xml:space="preserve">凍結液</t>
  </si>
  <si>
    <t xml:space="preserve">LYOPHILIZED</t>
  </si>
  <si>
    <t xml:space="preserve">凍結乾燥</t>
  </si>
  <si>
    <t xml:space="preserve">LIQUID</t>
  </si>
  <si>
    <t xml:space="preserve">液体（冷蔵）</t>
  </si>
  <si>
    <t xml:space="preserve">管理者</t>
  </si>
  <si>
    <t xml:space="preserve">品質保証</t>
  </si>
  <si>
    <t xml:space="preserve">VIEWER</t>
  </si>
  <si>
    <t xml:space="preserve">閲覧者</t>
  </si>
  <si>
    <t xml:space="preserve">MEDICAL</t>
  </si>
  <si>
    <t xml:space="preserve">医療機関</t>
  </si>
  <si>
    <t xml:space="preserve">医療機関コード必須</t>
  </si>
  <si>
    <t xml:space="preserve">SALON</t>
  </si>
  <si>
    <t xml:space="preserve">サロン</t>
  </si>
  <si>
    <t xml:space="preserve">DISTRIBUTOR</t>
  </si>
  <si>
    <t xml:space="preserve">代理店</t>
  </si>
  <si>
    <t xml:space="preserve">代理店経由の最終販売先は代理店側の管理範囲（課題 参照）</t>
  </si>
  <si>
    <t xml:space="preserve">RESEARCH</t>
  </si>
  <si>
    <t xml:space="preserve">研究機関</t>
  </si>
  <si>
    <t xml:space="preserve">COSMETIC_RAW</t>
  </si>
  <si>
    <t xml:space="preserve">化粧品原料</t>
  </si>
  <si>
    <t xml:space="preserve">RESEARCH_USE</t>
  </si>
  <si>
    <t xml:space="preserve">研究用</t>
  </si>
  <si>
    <t xml:space="preserve">研究用途以外への販売不可</t>
  </si>
  <si>
    <t xml:space="preserve">MEDICAL_USE</t>
  </si>
  <si>
    <t xml:space="preserve">医療機関向け</t>
  </si>
  <si>
    <t xml:space="preserve">医療機関のみ販売可</t>
  </si>
  <si>
    <t xml:space="preserve">M80</t>
  </si>
  <si>
    <t xml:space="preserve">-80℃</t>
  </si>
  <si>
    <r>
      <rPr>
        <sz val="10"/>
        <rFont val="WenQuanYi Zen Hei"/>
        <family val="2"/>
      </rPr>
      <t xml:space="preserve">許容例：</t>
    </r>
    <r>
      <rPr>
        <sz val="10"/>
        <rFont val="Arial"/>
        <family val="0"/>
        <charset val="1"/>
      </rPr>
      <t xml:space="preserve">-90</t>
    </r>
    <r>
      <rPr>
        <sz val="10"/>
        <rFont val="WenQuanYi Zen Hei"/>
        <family val="2"/>
      </rPr>
      <t xml:space="preserve">〜</t>
    </r>
    <r>
      <rPr>
        <sz val="10"/>
        <rFont val="Arial"/>
        <family val="0"/>
        <charset val="1"/>
      </rPr>
      <t xml:space="preserve">-60℃</t>
    </r>
  </si>
  <si>
    <t xml:space="preserve">M20</t>
  </si>
  <si>
    <t xml:space="preserve">-20℃</t>
  </si>
  <si>
    <r>
      <rPr>
        <sz val="10"/>
        <rFont val="WenQuanYi Zen Hei"/>
        <family val="2"/>
      </rPr>
      <t xml:space="preserve">許容例：</t>
    </r>
    <r>
      <rPr>
        <sz val="10"/>
        <rFont val="Arial"/>
        <family val="0"/>
        <charset val="1"/>
      </rPr>
      <t xml:space="preserve">-30</t>
    </r>
    <r>
      <rPr>
        <sz val="10"/>
        <rFont val="WenQuanYi Zen Hei"/>
        <family val="2"/>
      </rPr>
      <t xml:space="preserve">〜</t>
    </r>
    <r>
      <rPr>
        <sz val="10"/>
        <rFont val="Arial"/>
        <family val="0"/>
        <charset val="1"/>
      </rPr>
      <t xml:space="preserve">-15℃</t>
    </r>
  </si>
  <si>
    <t xml:space="preserve">COLD</t>
  </si>
  <si>
    <t xml:space="preserve">2-8℃</t>
  </si>
  <si>
    <r>
      <rPr>
        <sz val="10"/>
        <rFont val="WenQuanYi Zen Hei"/>
        <family val="2"/>
      </rPr>
      <t xml:space="preserve">許容例：</t>
    </r>
    <r>
      <rPr>
        <sz val="10"/>
        <rFont val="Arial"/>
        <family val="0"/>
        <charset val="1"/>
      </rPr>
      <t xml:space="preserve">2</t>
    </r>
    <r>
      <rPr>
        <sz val="10"/>
        <rFont val="WenQuanYi Zen Hei"/>
        <family val="2"/>
      </rPr>
      <t xml:space="preserve">〜</t>
    </r>
    <r>
      <rPr>
        <sz val="10"/>
        <rFont val="Arial"/>
        <family val="0"/>
        <charset val="1"/>
      </rPr>
      <t xml:space="preserve">8℃</t>
    </r>
  </si>
  <si>
    <t xml:space="preserve">RT</t>
  </si>
  <si>
    <t xml:space="preserve">室温</t>
  </si>
  <si>
    <r>
      <rPr>
        <sz val="10"/>
        <rFont val="WenQuanYi Zen Hei"/>
        <family val="2"/>
      </rPr>
      <t xml:space="preserve">許容例：</t>
    </r>
    <r>
      <rPr>
        <sz val="10"/>
        <rFont val="Arial"/>
        <family val="0"/>
        <charset val="1"/>
      </rPr>
      <t xml:space="preserve">1</t>
    </r>
    <r>
      <rPr>
        <sz val="10"/>
        <rFont val="WenQuanYi Zen Hei"/>
        <family val="2"/>
      </rPr>
      <t xml:space="preserve">〜</t>
    </r>
    <r>
      <rPr>
        <sz val="10"/>
        <rFont val="Arial"/>
        <family val="0"/>
        <charset val="1"/>
      </rPr>
      <t xml:space="preserve">30℃</t>
    </r>
  </si>
  <si>
    <t xml:space="preserve">検品待ち</t>
  </si>
  <si>
    <t xml:space="preserve">引当不可</t>
  </si>
  <si>
    <t xml:space="preserve">RELEASED</t>
  </si>
  <si>
    <t xml:space="preserve">合格</t>
  </si>
  <si>
    <t xml:space="preserve">引当可</t>
  </si>
  <si>
    <t xml:space="preserve">HOLD</t>
  </si>
  <si>
    <t xml:space="preserve">REJECTED</t>
  </si>
  <si>
    <t xml:space="preserve">不合格</t>
  </si>
  <si>
    <t xml:space="preserve">RECALLED</t>
  </si>
  <si>
    <t xml:space="preserve">引当不可・出荷停止</t>
  </si>
  <si>
    <t xml:space="preserve">EXPIRED</t>
  </si>
  <si>
    <t xml:space="preserve">期限切れ</t>
  </si>
  <si>
    <t xml:space="preserve">VOID</t>
  </si>
  <si>
    <t xml:space="preserve">無効</t>
  </si>
  <si>
    <t xml:space="preserve">入荷取消により無効</t>
  </si>
  <si>
    <t xml:space="preserve">RECEIPT</t>
  </si>
  <si>
    <t xml:space="preserve">＋</t>
  </si>
  <si>
    <t xml:space="preserve">SHIPMENT</t>
  </si>
  <si>
    <t xml:space="preserve">−</t>
  </si>
  <si>
    <t xml:space="preserve">TRANSFER_OUT</t>
  </si>
  <si>
    <t xml:space="preserve">移動出</t>
  </si>
  <si>
    <t xml:space="preserve">TRANSFER_IN</t>
  </si>
  <si>
    <t xml:space="preserve">移動入</t>
  </si>
  <si>
    <t xml:space="preserve">ADJUST</t>
  </si>
  <si>
    <t xml:space="preserve">棚卸調整</t>
  </si>
  <si>
    <r>
      <rPr>
        <sz val="10"/>
        <rFont val="Arial"/>
        <family val="0"/>
        <charset val="1"/>
      </rPr>
      <t xml:space="preserve">±</t>
    </r>
    <r>
      <rPr>
        <sz val="10"/>
        <rFont val="WenQuanYi Zen Hei"/>
        <family val="2"/>
      </rPr>
      <t xml:space="preserve">、理由必須</t>
    </r>
  </si>
  <si>
    <t xml:space="preserve">DISPOSE</t>
  </si>
  <si>
    <t xml:space="preserve">廃棄</t>
  </si>
  <si>
    <t xml:space="preserve">−、理由必須</t>
  </si>
  <si>
    <t xml:space="preserve">RETURN</t>
  </si>
  <si>
    <t xml:space="preserve">返品戻し</t>
  </si>
  <si>
    <t xml:space="preserve">SUPPLIER_RETURN</t>
  </si>
  <si>
    <t xml:space="preserve">CANCEL</t>
  </si>
  <si>
    <t xml:space="preserve">取消（赤伝）</t>
  </si>
  <si>
    <t xml:space="preserve">元伝票の逆符号</t>
  </si>
  <si>
    <r>
      <rPr>
        <i val="true"/>
        <sz val="9"/>
        <color rgb="FF595959"/>
        <rFont val="Arial"/>
        <family val="0"/>
        <charset val="1"/>
      </rPr>
      <t xml:space="preserve">C</t>
    </r>
    <r>
      <rPr>
        <i val="true"/>
        <sz val="9"/>
        <color rgb="FF595959"/>
        <rFont val="WenQuanYi Zen Hei"/>
        <family val="2"/>
      </rPr>
      <t xml:space="preserve">＝登録</t>
    </r>
    <r>
      <rPr>
        <i val="true"/>
        <sz val="9"/>
        <color rgb="FF595959"/>
        <rFont val="Arial"/>
        <family val="0"/>
        <charset val="1"/>
      </rPr>
      <t xml:space="preserve">/</t>
    </r>
    <r>
      <rPr>
        <i val="true"/>
        <sz val="9"/>
        <color rgb="FF595959"/>
        <rFont val="WenQuanYi Zen Hei"/>
        <family val="2"/>
      </rPr>
      <t xml:space="preserve">更新</t>
    </r>
    <r>
      <rPr>
        <i val="true"/>
        <sz val="9"/>
        <color rgb="FF595959"/>
        <rFont val="Arial"/>
        <family val="0"/>
        <charset val="1"/>
      </rPr>
      <t xml:space="preserve">/</t>
    </r>
    <r>
      <rPr>
        <i val="true"/>
        <sz val="9"/>
        <color rgb="FF595959"/>
        <rFont val="WenQuanYi Zen Hei"/>
        <family val="2"/>
      </rPr>
      <t xml:space="preserve">参照　</t>
    </r>
    <r>
      <rPr>
        <i val="true"/>
        <sz val="9"/>
        <color rgb="FF595959"/>
        <rFont val="Arial"/>
        <family val="0"/>
        <charset val="1"/>
      </rPr>
      <t xml:space="preserve">A</t>
    </r>
    <r>
      <rPr>
        <i val="true"/>
        <sz val="9"/>
        <color rgb="FF595959"/>
        <rFont val="WenQuanYi Zen Hei"/>
        <family val="2"/>
      </rPr>
      <t xml:space="preserve">＝承認・判定</t>
    </r>
    <r>
      <rPr>
        <i val="true"/>
        <sz val="9"/>
        <color rgb="FF595959"/>
        <rFont val="Arial"/>
        <family val="0"/>
        <charset val="1"/>
      </rPr>
      <t xml:space="preserve">/</t>
    </r>
    <r>
      <rPr>
        <i val="true"/>
        <sz val="9"/>
        <color rgb="FF595959"/>
        <rFont val="WenQuanYi Zen Hei"/>
        <family val="2"/>
      </rPr>
      <t xml:space="preserve">参照　</t>
    </r>
    <r>
      <rPr>
        <i val="true"/>
        <sz val="9"/>
        <color rgb="FF595959"/>
        <rFont val="Arial"/>
        <family val="0"/>
        <charset val="1"/>
      </rPr>
      <t xml:space="preserve">R</t>
    </r>
    <r>
      <rPr>
        <i val="true"/>
        <sz val="9"/>
        <color rgb="FF595959"/>
        <rFont val="WenQuanYi Zen Hei"/>
        <family val="2"/>
      </rPr>
      <t xml:space="preserve">＝参照のみ　</t>
    </r>
    <r>
      <rPr>
        <i val="true"/>
        <sz val="9"/>
        <color rgb="FF595959"/>
        <rFont val="Arial"/>
        <family val="0"/>
        <charset val="1"/>
      </rPr>
      <t xml:space="preserve">-</t>
    </r>
    <r>
      <rPr>
        <i val="true"/>
        <sz val="9"/>
        <color rgb="FF595959"/>
        <rFont val="WenQuanYi Zen Hei"/>
        <family val="2"/>
      </rPr>
      <t xml:space="preserve">＝利用不可</t>
    </r>
  </si>
  <si>
    <r>
      <rPr>
        <b val="true"/>
        <sz val="10"/>
        <color rgb="FFFFFFFF"/>
        <rFont val="WenQuanYi Zen Hei"/>
        <family val="2"/>
      </rPr>
      <t xml:space="preserve">管理者
</t>
    </r>
    <r>
      <rPr>
        <b val="true"/>
        <sz val="10"/>
        <color rgb="FFFFFFFF"/>
        <rFont val="Arial"/>
        <family val="0"/>
        <charset val="1"/>
      </rPr>
      <t xml:space="preserve">ADMIN</t>
    </r>
  </si>
  <si>
    <r>
      <rPr>
        <b val="true"/>
        <sz val="10"/>
        <color rgb="FFFFFFFF"/>
        <rFont val="WenQuanYi Zen Hei"/>
        <family val="2"/>
      </rPr>
      <t xml:space="preserve">仕入担当
</t>
    </r>
    <r>
      <rPr>
        <b val="true"/>
        <sz val="10"/>
        <color rgb="FFFFFFFF"/>
        <rFont val="Arial"/>
        <family val="0"/>
        <charset val="1"/>
      </rPr>
      <t xml:space="preserve">PURCHASE</t>
    </r>
  </si>
  <si>
    <r>
      <rPr>
        <b val="true"/>
        <sz val="10"/>
        <color rgb="FFFFFFFF"/>
        <rFont val="WenQuanYi Zen Hei"/>
        <family val="2"/>
      </rPr>
      <t xml:space="preserve">倉庫担当
</t>
    </r>
    <r>
      <rPr>
        <b val="true"/>
        <sz val="10"/>
        <color rgb="FFFFFFFF"/>
        <rFont val="Arial"/>
        <family val="0"/>
        <charset val="1"/>
      </rPr>
      <t xml:space="preserve">WAREHOUSE</t>
    </r>
  </si>
  <si>
    <r>
      <rPr>
        <b val="true"/>
        <sz val="10"/>
        <color rgb="FFFFFFFF"/>
        <rFont val="WenQuanYi Zen Hei"/>
        <family val="2"/>
      </rPr>
      <t xml:space="preserve">営業担当
</t>
    </r>
    <r>
      <rPr>
        <b val="true"/>
        <sz val="10"/>
        <color rgb="FFFFFFFF"/>
        <rFont val="Arial"/>
        <family val="0"/>
        <charset val="1"/>
      </rPr>
      <t xml:space="preserve">SALES</t>
    </r>
  </si>
  <si>
    <r>
      <rPr>
        <b val="true"/>
        <sz val="10"/>
        <color rgb="FFFFFFFF"/>
        <rFont val="WenQuanYi Zen Hei"/>
        <family val="2"/>
      </rPr>
      <t xml:space="preserve">品質保証
</t>
    </r>
    <r>
      <rPr>
        <b val="true"/>
        <sz val="10"/>
        <color rgb="FFFFFFFF"/>
        <rFont val="Arial"/>
        <family val="0"/>
        <charset val="1"/>
      </rPr>
      <t xml:space="preserve">QA</t>
    </r>
  </si>
  <si>
    <r>
      <rPr>
        <b val="true"/>
        <sz val="10"/>
        <color rgb="FFFFFFFF"/>
        <rFont val="WenQuanYi Zen Hei"/>
        <family val="2"/>
      </rPr>
      <t xml:space="preserve">閲覧者
</t>
    </r>
    <r>
      <rPr>
        <b val="true"/>
        <sz val="10"/>
        <color rgb="FFFFFFFF"/>
        <rFont val="Arial"/>
        <family val="0"/>
        <charset val="1"/>
      </rPr>
      <t xml:space="preserve">VIEWER</t>
    </r>
  </si>
  <si>
    <t xml:space="preserve">C</t>
  </si>
  <si>
    <t xml:space="preserve">R</t>
  </si>
  <si>
    <t xml:space="preserve">-</t>
  </si>
  <si>
    <t xml:space="preserve">A</t>
  </si>
  <si>
    <r>
      <rPr>
        <i val="true"/>
        <sz val="9"/>
        <color rgb="FF595959"/>
        <rFont val="Arial"/>
        <family val="0"/>
        <charset val="1"/>
      </rPr>
      <t xml:space="preserve">{xxx} </t>
    </r>
    <r>
      <rPr>
        <i val="true"/>
        <sz val="9"/>
        <color rgb="FF595959"/>
        <rFont val="WenQuanYi Zen Hei"/>
        <family val="2"/>
      </rPr>
      <t xml:space="preserve">は実行時に値を埋め込む</t>
    </r>
  </si>
  <si>
    <r>
      <rPr>
        <b val="true"/>
        <sz val="10"/>
        <color rgb="FFFFFFFF"/>
        <rFont val="WenQuanYi Zen Hei"/>
        <family val="2"/>
      </rPr>
      <t xml:space="preserve">メッセージ</t>
    </r>
    <r>
      <rPr>
        <b val="true"/>
        <sz val="10"/>
        <color rgb="FFFFFFFF"/>
        <rFont val="Arial"/>
        <family val="0"/>
        <charset val="1"/>
      </rPr>
      <t xml:space="preserve">ID</t>
    </r>
  </si>
  <si>
    <t xml:space="preserve">発生条件</t>
  </si>
  <si>
    <t xml:space="preserve">エラー</t>
  </si>
  <si>
    <t xml:space="preserve">他のユーザーにより更新されたか、処理できない状態です。画面を再読込してください。</t>
  </si>
  <si>
    <t xml:space="preserve">ステータス不一致・楽観ロック競合</t>
  </si>
  <si>
    <t xml:space="preserve">MSG-E05</t>
  </si>
  <si>
    <r>
      <rPr>
        <sz val="10"/>
        <rFont val="WenQuanYi Zen Hei"/>
        <family val="2"/>
      </rPr>
      <t xml:space="preserve">仕入先ロット番号「</t>
    </r>
    <r>
      <rPr>
        <sz val="10"/>
        <rFont val="Arial"/>
        <family val="0"/>
        <charset val="1"/>
      </rPr>
      <t xml:space="preserve">{supplier_lot_no}</t>
    </r>
    <r>
      <rPr>
        <sz val="10"/>
        <rFont val="WenQuanYi Zen Hei"/>
        <family val="2"/>
      </rPr>
      <t xml:space="preserve">」は既に使用期限 </t>
    </r>
    <r>
      <rPr>
        <sz val="10"/>
        <rFont val="Arial"/>
        <family val="0"/>
        <charset val="1"/>
      </rPr>
      <t xml:space="preserve">{expires_on} </t>
    </r>
    <r>
      <rPr>
        <sz val="10"/>
        <rFont val="WenQuanYi Zen Hei"/>
        <family val="2"/>
      </rPr>
      <t xml:space="preserve">で登録されています。使用期限を確認してください。</t>
    </r>
  </si>
  <si>
    <r>
      <rPr>
        <sz val="10"/>
        <rFont val="Arial"/>
        <family val="0"/>
        <charset val="1"/>
      </rPr>
      <t xml:space="preserve">BR-15 </t>
    </r>
    <r>
      <rPr>
        <sz val="10"/>
        <rFont val="WenQuanYi Zen Hei"/>
        <family val="2"/>
      </rPr>
      <t xml:space="preserve">分納時の使用期限不一致</t>
    </r>
  </si>
  <si>
    <t xml:space="preserve">MSG-E06</t>
  </si>
  <si>
    <t xml:space="preserve">使用期限は入荷日より後の日付を入力してください。</t>
  </si>
  <si>
    <r>
      <rPr>
        <sz val="10"/>
        <rFont val="WenQuanYi Zen Hei"/>
        <family val="2"/>
      </rPr>
      <t xml:space="preserve">使用期限 </t>
    </r>
    <r>
      <rPr>
        <sz val="10"/>
        <rFont val="Arial"/>
        <family val="0"/>
        <charset val="1"/>
      </rPr>
      <t xml:space="preserve">&lt;= </t>
    </r>
    <r>
      <rPr>
        <sz val="10"/>
        <rFont val="WenQuanYi Zen Hei"/>
        <family val="2"/>
      </rPr>
      <t xml:space="preserve">入荷日</t>
    </r>
  </si>
  <si>
    <r>
      <rPr>
        <sz val="10"/>
        <rFont val="WenQuanYi Zen Hei"/>
        <family val="2"/>
      </rPr>
      <t xml:space="preserve">保管場所「</t>
    </r>
    <r>
      <rPr>
        <sz val="10"/>
        <rFont val="Arial"/>
        <family val="0"/>
        <charset val="1"/>
      </rPr>
      <t xml:space="preserve">{location}</t>
    </r>
    <r>
      <rPr>
        <sz val="10"/>
        <rFont val="WenQuanYi Zen Hei"/>
        <family val="2"/>
      </rPr>
      <t xml:space="preserve">」には入庫できません（温度区分不一致または用途不一致）。</t>
    </r>
  </si>
  <si>
    <r>
      <rPr>
        <sz val="10"/>
        <rFont val="Arial"/>
        <family val="0"/>
        <charset val="1"/>
      </rPr>
      <t xml:space="preserve">BR-06 </t>
    </r>
    <r>
      <rPr>
        <sz val="10"/>
        <rFont val="WenQuanYi Zen Hei"/>
        <family val="2"/>
      </rPr>
      <t xml:space="preserve">違反</t>
    </r>
  </si>
  <si>
    <r>
      <rPr>
        <sz val="10"/>
        <rFont val="WenQuanYi Zen Hei"/>
        <family val="2"/>
      </rPr>
      <t xml:space="preserve">合格（保留解除）には</t>
    </r>
    <r>
      <rPr>
        <sz val="10"/>
        <rFont val="Arial"/>
        <family val="0"/>
        <charset val="1"/>
      </rPr>
      <t xml:space="preserve">COA</t>
    </r>
    <r>
      <rPr>
        <sz val="10"/>
        <rFont val="WenQuanYi Zen Hei"/>
        <family val="2"/>
      </rPr>
      <t xml:space="preserve">（試験成績書）の添付と受入検品の完了が必要です。未検品のロットは『検品待ち』に戻してください。</t>
    </r>
  </si>
  <si>
    <r>
      <rPr>
        <sz val="10"/>
        <rFont val="Arial"/>
        <family val="0"/>
        <charset val="1"/>
      </rPr>
      <t xml:space="preserve">BR-08 / BR-17 </t>
    </r>
    <r>
      <rPr>
        <sz val="10"/>
        <rFont val="WenQuanYi Zen Hei"/>
        <family val="2"/>
      </rPr>
      <t xml:space="preserve">違反</t>
    </r>
  </si>
  <si>
    <t xml:space="preserve">判定理由を入力してください。</t>
  </si>
  <si>
    <t xml:space="preserve">不合格・保留・保留解除で理由未入力</t>
  </si>
  <si>
    <r>
      <rPr>
        <sz val="10"/>
        <rFont val="WenQuanYi Zen Hei"/>
        <family val="2"/>
      </rPr>
      <t xml:space="preserve">商品「</t>
    </r>
    <r>
      <rPr>
        <sz val="10"/>
        <rFont val="Arial"/>
        <family val="0"/>
        <charset val="1"/>
      </rPr>
      <t xml:space="preserve">{product}</t>
    </r>
    <r>
      <rPr>
        <sz val="10"/>
        <rFont val="WenQuanYi Zen Hei"/>
        <family val="2"/>
      </rPr>
      <t xml:space="preserve">」（</t>
    </r>
    <r>
      <rPr>
        <sz val="10"/>
        <rFont val="Arial"/>
        <family val="0"/>
        <charset val="1"/>
      </rPr>
      <t xml:space="preserve">{regulatory_class}</t>
    </r>
    <r>
      <rPr>
        <sz val="10"/>
        <rFont val="WenQuanYi Zen Hei"/>
        <family val="2"/>
      </rPr>
      <t xml:space="preserve">）は顧客区分「</t>
    </r>
    <r>
      <rPr>
        <sz val="10"/>
        <rFont val="Arial"/>
        <family val="0"/>
        <charset val="1"/>
      </rPr>
      <t xml:space="preserve">{customer_type}</t>
    </r>
    <r>
      <rPr>
        <sz val="10"/>
        <rFont val="WenQuanYi Zen Hei"/>
        <family val="2"/>
      </rPr>
      <t xml:space="preserve">」に販売できません。</t>
    </r>
  </si>
  <si>
    <r>
      <rPr>
        <sz val="10"/>
        <rFont val="Arial"/>
        <family val="0"/>
        <charset val="1"/>
      </rPr>
      <t xml:space="preserve">BR-09 </t>
    </r>
    <r>
      <rPr>
        <sz val="10"/>
        <rFont val="WenQuanYi Zen Hei"/>
        <family val="2"/>
      </rPr>
      <t xml:space="preserve">違反</t>
    </r>
  </si>
  <si>
    <t xml:space="preserve">MSG-E11</t>
  </si>
  <si>
    <t xml:space="preserve">顧客または納品先が無効か、納品先が顧客に属していません。</t>
  </si>
  <si>
    <t xml:space="preserve">顧客・納品先不整合</t>
  </si>
  <si>
    <r>
      <rPr>
        <sz val="10"/>
        <rFont val="WenQuanYi Zen Hei"/>
        <family val="2"/>
      </rPr>
      <t xml:space="preserve">ロット「</t>
    </r>
    <r>
      <rPr>
        <sz val="10"/>
        <rFont val="Arial"/>
        <family val="0"/>
        <charset val="1"/>
      </rPr>
      <t xml:space="preserve">{lot_no}</t>
    </r>
    <r>
      <rPr>
        <sz val="10"/>
        <rFont val="WenQuanYi Zen Hei"/>
        <family val="2"/>
      </rPr>
      <t xml:space="preserve">」の引当可能数（</t>
    </r>
    <r>
      <rPr>
        <sz val="10"/>
        <rFont val="Arial"/>
        <family val="0"/>
        <charset val="1"/>
      </rPr>
      <t xml:space="preserve">{available}</t>
    </r>
    <r>
      <rPr>
        <sz val="10"/>
        <rFont val="WenQuanYi Zen Hei"/>
        <family val="2"/>
      </rPr>
      <t xml:space="preserve">）を超えています。</t>
    </r>
  </si>
  <si>
    <t xml:space="preserve">在庫不足・同時更新</t>
  </si>
  <si>
    <t xml:space="preserve">MSG-E13</t>
  </si>
  <si>
    <r>
      <rPr>
        <sz val="10"/>
        <rFont val="WenQuanYi Zen Hei"/>
        <family val="2"/>
      </rPr>
      <t xml:space="preserve">ロット「</t>
    </r>
    <r>
      <rPr>
        <sz val="10"/>
        <rFont val="Arial"/>
        <family val="0"/>
        <charset val="1"/>
      </rPr>
      <t xml:space="preserve">{lot_no}</t>
    </r>
    <r>
      <rPr>
        <sz val="10"/>
        <rFont val="WenQuanYi Zen Hei"/>
        <family val="2"/>
      </rPr>
      <t xml:space="preserve">」は現在出荷できません（</t>
    </r>
    <r>
      <rPr>
        <sz val="10"/>
        <rFont val="Arial"/>
        <family val="0"/>
        <charset val="1"/>
      </rPr>
      <t xml:space="preserve">{status}</t>
    </r>
    <r>
      <rPr>
        <sz val="10"/>
        <rFont val="WenQuanYi Zen Hei"/>
        <family val="2"/>
      </rPr>
      <t xml:space="preserve">／残期間</t>
    </r>
    <r>
      <rPr>
        <sz val="10"/>
        <rFont val="Arial"/>
        <family val="0"/>
        <charset val="1"/>
      </rPr>
      <t xml:space="preserve">{days}</t>
    </r>
    <r>
      <rPr>
        <sz val="10"/>
        <rFont val="WenQuanYi Zen Hei"/>
        <family val="2"/>
      </rPr>
      <t xml:space="preserve">日）。引当をやり直してください。</t>
    </r>
  </si>
  <si>
    <r>
      <rPr>
        <sz val="10"/>
        <rFont val="WenQuanYi Zen Hei"/>
        <family val="2"/>
      </rPr>
      <t xml:space="preserve">出荷確定・手動引当時の再検証</t>
    </r>
    <r>
      <rPr>
        <sz val="10"/>
        <rFont val="Arial"/>
        <family val="0"/>
        <charset val="1"/>
      </rPr>
      <t xml:space="preserve">NG</t>
    </r>
  </si>
  <si>
    <t xml:space="preserve">返品が登録されている出荷は取消できません。</t>
  </si>
  <si>
    <r>
      <rPr>
        <sz val="10"/>
        <rFont val="Arial"/>
        <family val="0"/>
        <charset val="1"/>
      </rPr>
      <t xml:space="preserve">P-06 </t>
    </r>
    <r>
      <rPr>
        <sz val="10"/>
        <rFont val="WenQuanYi Zen Hei"/>
        <family val="2"/>
      </rPr>
      <t xml:space="preserve">返品あり</t>
    </r>
  </si>
  <si>
    <r>
      <rPr>
        <sz val="10"/>
        <rFont val="WenQuanYi Zen Hei"/>
        <family val="2"/>
      </rPr>
      <t xml:space="preserve">返品数量が返品可能数（</t>
    </r>
    <r>
      <rPr>
        <sz val="10"/>
        <rFont val="Arial"/>
        <family val="0"/>
        <charset val="1"/>
      </rPr>
      <t xml:space="preserve">{available}</t>
    </r>
    <r>
      <rPr>
        <sz val="10"/>
        <rFont val="WenQuanYi Zen Hei"/>
        <family val="2"/>
      </rPr>
      <t xml:space="preserve">）を超えています。</t>
    </r>
  </si>
  <si>
    <r>
      <rPr>
        <sz val="10"/>
        <rFont val="Arial"/>
        <family val="0"/>
        <charset val="1"/>
      </rPr>
      <t xml:space="preserve">BR-12 </t>
    </r>
    <r>
      <rPr>
        <sz val="10"/>
        <rFont val="WenQuanYi Zen Hei"/>
        <family val="2"/>
      </rPr>
      <t xml:space="preserve">違反</t>
    </r>
  </si>
  <si>
    <t xml:space="preserve">MSG-E16</t>
  </si>
  <si>
    <t xml:space="preserve">このロットは在庫に戻せません（ロット状態が合格でない、または回収品）。廃棄を選択してください。</t>
  </si>
  <si>
    <r>
      <rPr>
        <sz val="10"/>
        <rFont val="Arial"/>
        <family val="0"/>
        <charset val="1"/>
      </rPr>
      <t xml:space="preserve">P-07 RESTOCK</t>
    </r>
    <r>
      <rPr>
        <sz val="10"/>
        <rFont val="WenQuanYi Zen Hei"/>
        <family val="2"/>
      </rPr>
      <t xml:space="preserve">不可</t>
    </r>
  </si>
  <si>
    <t xml:space="preserve">調整後の在庫数が引当済数を下回ります。先に引当を解除してください。</t>
  </si>
  <si>
    <t xml:space="preserve">MSG-E19</t>
  </si>
  <si>
    <t xml:space="preserve">引当中または出荷済の明細があるため、変更・取消・打切りできません。</t>
  </si>
  <si>
    <r>
      <rPr>
        <sz val="10"/>
        <rFont val="Arial"/>
        <family val="0"/>
        <charset val="1"/>
      </rPr>
      <t xml:space="preserve">P-03 </t>
    </r>
    <r>
      <rPr>
        <sz val="10"/>
        <rFont val="WenQuanYi Zen Hei"/>
        <family val="2"/>
      </rPr>
      <t xml:space="preserve">変更・取消、受注打切り</t>
    </r>
  </si>
  <si>
    <t xml:space="preserve">このロットは出荷・移動・引当が行われているため入荷を取消できません。</t>
  </si>
  <si>
    <t xml:space="preserve">MSG-E21</t>
  </si>
  <si>
    <t xml:space="preserve">入荷実績があるため発注を取消できません。残数打切りを使用してください。</t>
  </si>
  <si>
    <t xml:space="preserve">MSG-E22</t>
  </si>
  <si>
    <t xml:space="preserve">入荷日は当日以前、製造日は入荷日以前の日付を入力してください。</t>
  </si>
  <si>
    <r>
      <rPr>
        <sz val="10"/>
        <rFont val="Arial"/>
        <family val="0"/>
        <charset val="1"/>
      </rPr>
      <t xml:space="preserve">P-01 </t>
    </r>
    <r>
      <rPr>
        <sz val="10"/>
        <rFont val="WenQuanYi Zen Hei"/>
        <family val="2"/>
      </rPr>
      <t xml:space="preserve">日付不正</t>
    </r>
  </si>
  <si>
    <r>
      <rPr>
        <sz val="10"/>
        <rFont val="WenQuanYi Zen Hei"/>
        <family val="2"/>
      </rPr>
      <t xml:space="preserve">出荷（引当）数量が受注残数（</t>
    </r>
    <r>
      <rPr>
        <sz val="10"/>
        <rFont val="Arial"/>
        <family val="0"/>
        <charset val="1"/>
      </rPr>
      <t xml:space="preserve">{remaining}</t>
    </r>
    <r>
      <rPr>
        <sz val="10"/>
        <rFont val="WenQuanYi Zen Hei"/>
        <family val="2"/>
      </rPr>
      <t xml:space="preserve">）を超えています。</t>
    </r>
  </si>
  <si>
    <t xml:space="preserve">P-05 / P-13</t>
  </si>
  <si>
    <r>
      <rPr>
        <sz val="10"/>
        <rFont val="WenQuanYi Zen Hei"/>
        <family val="2"/>
      </rPr>
      <t xml:space="preserve">未完了の回収対象顧客が </t>
    </r>
    <r>
      <rPr>
        <sz val="10"/>
        <rFont val="Arial"/>
        <family val="0"/>
        <charset val="1"/>
      </rPr>
      <t xml:space="preserve">{count} </t>
    </r>
    <r>
      <rPr>
        <sz val="10"/>
        <rFont val="WenQuanYi Zen Hei"/>
        <family val="2"/>
      </rPr>
      <t xml:space="preserve">件あるため完了できません。</t>
    </r>
  </si>
  <si>
    <t xml:space="preserve">MSG-E25</t>
  </si>
  <si>
    <r>
      <rPr>
        <sz val="10"/>
        <rFont val="WenQuanYi Zen Hei"/>
        <family val="2"/>
      </rPr>
      <t xml:space="preserve">ロット「</t>
    </r>
    <r>
      <rPr>
        <sz val="10"/>
        <rFont val="Arial"/>
        <family val="0"/>
        <charset val="1"/>
      </rPr>
      <t xml:space="preserve">{lot_no}</t>
    </r>
    <r>
      <rPr>
        <sz val="10"/>
        <rFont val="WenQuanYi Zen Hei"/>
        <family val="2"/>
      </rPr>
      <t xml:space="preserve">」は </t>
    </r>
    <r>
      <rPr>
        <sz val="10"/>
        <rFont val="Arial"/>
        <family val="0"/>
        <charset val="1"/>
      </rPr>
      <t xml:space="preserve">{status} </t>
    </r>
    <r>
      <rPr>
        <sz val="10"/>
        <rFont val="WenQuanYi Zen Hei"/>
        <family val="2"/>
      </rPr>
      <t xml:space="preserve">のため入荷できません。新しい仕入先ロット番号で登録するか仕入先に確認してください。</t>
    </r>
  </si>
  <si>
    <r>
      <rPr>
        <sz val="10"/>
        <rFont val="Arial"/>
        <family val="0"/>
        <charset val="1"/>
      </rPr>
      <t xml:space="preserve">P-01 </t>
    </r>
    <r>
      <rPr>
        <sz val="10"/>
        <rFont val="WenQuanYi Zen Hei"/>
        <family val="2"/>
      </rPr>
      <t xml:space="preserve">分納先ロットが </t>
    </r>
    <r>
      <rPr>
        <sz val="10"/>
        <rFont val="Arial"/>
        <family val="0"/>
        <charset val="1"/>
      </rPr>
      <t xml:space="preserve">REJECTED/RECALLED/EXPIRED</t>
    </r>
  </si>
  <si>
    <t xml:space="preserve">回収中のロットです。回収対象（納品先・ロットが一致し、完了していない回収案件）を選択してください。</t>
  </si>
  <si>
    <r>
      <rPr>
        <sz val="10"/>
        <rFont val="Arial"/>
        <family val="0"/>
        <charset val="1"/>
      </rPr>
      <t xml:space="preserve">P-07 </t>
    </r>
    <r>
      <rPr>
        <sz val="10"/>
        <rFont val="WenQuanYi Zen Hei"/>
        <family val="2"/>
      </rPr>
      <t xml:space="preserve">回収品の指定漏れ・不整合</t>
    </r>
  </si>
  <si>
    <r>
      <rPr>
        <sz val="10"/>
        <rFont val="WenQuanYi Zen Hei"/>
        <family val="2"/>
      </rPr>
      <t xml:space="preserve">無効（</t>
    </r>
    <r>
      <rPr>
        <sz val="10"/>
        <rFont val="Arial"/>
        <family val="0"/>
        <charset val="1"/>
      </rPr>
      <t xml:space="preserve">VOID</t>
    </r>
    <r>
      <rPr>
        <sz val="10"/>
        <rFont val="WenQuanYi Zen Hei"/>
        <family val="2"/>
      </rPr>
      <t xml:space="preserve">）のロットは回収対象に指定できません。</t>
    </r>
  </si>
  <si>
    <t xml:space="preserve">隔離保管場所の在庫はこの画面から移動・調整・廃棄できません（返品判定・分納受入判定・仕入先返品を使用）。</t>
  </si>
  <si>
    <r>
      <rPr>
        <sz val="10"/>
        <rFont val="WenQuanYi Zen Hei"/>
        <family val="2"/>
      </rPr>
      <t xml:space="preserve">現在のステータス（</t>
    </r>
    <r>
      <rPr>
        <sz val="10"/>
        <rFont val="Arial"/>
        <family val="0"/>
        <charset val="1"/>
      </rPr>
      <t xml:space="preserve">{status}</t>
    </r>
    <r>
      <rPr>
        <sz val="10"/>
        <rFont val="WenQuanYi Zen Hei"/>
        <family val="2"/>
      </rPr>
      <t xml:space="preserve">）からはこの操作を実行できません。</t>
    </r>
  </si>
  <si>
    <r>
      <rPr>
        <sz val="10"/>
        <rFont val="Arial"/>
        <family val="0"/>
        <charset val="1"/>
      </rPr>
      <t xml:space="preserve">P-15 / P-17 </t>
    </r>
    <r>
      <rPr>
        <sz val="10"/>
        <rFont val="WenQuanYi Zen Hei"/>
        <family val="2"/>
      </rPr>
      <t xml:space="preserve">遷移不可</t>
    </r>
  </si>
  <si>
    <r>
      <rPr>
        <sz val="10"/>
        <rFont val="WenQuanYi Zen Hei"/>
        <family val="2"/>
      </rPr>
      <t xml:space="preserve">出所伝票（</t>
    </r>
    <r>
      <rPr>
        <sz val="10"/>
        <rFont val="Arial"/>
        <family val="0"/>
        <charset val="1"/>
      </rPr>
      <t xml:space="preserve">{ref}</t>
    </r>
    <r>
      <rPr>
        <sz val="10"/>
        <rFont val="WenQuanYi Zen Hei"/>
        <family val="2"/>
      </rPr>
      <t xml:space="preserve">）の払出し可能数（</t>
    </r>
    <r>
      <rPr>
        <sz val="10"/>
        <rFont val="Arial"/>
        <family val="0"/>
        <charset val="1"/>
      </rPr>
      <t xml:space="preserve">{available}</t>
    </r>
    <r>
      <rPr>
        <sz val="10"/>
        <rFont val="WenQuanYi Zen Hei"/>
        <family val="2"/>
      </rPr>
      <t xml:space="preserve">）を超えているか、既に判定済です。</t>
    </r>
  </si>
  <si>
    <r>
      <rPr>
        <sz val="10"/>
        <rFont val="Arial"/>
        <family val="0"/>
        <charset val="1"/>
      </rPr>
      <t xml:space="preserve">P-00 </t>
    </r>
    <r>
      <rPr>
        <sz val="10"/>
        <rFont val="WenQuanYi Zen Hei"/>
        <family val="2"/>
      </rPr>
      <t xml:space="preserve">ステップ</t>
    </r>
    <r>
      <rPr>
        <sz val="10"/>
        <rFont val="Arial"/>
        <family val="0"/>
        <charset val="1"/>
      </rPr>
      <t xml:space="preserve">7 / P-16 / P-17</t>
    </r>
  </si>
  <si>
    <t xml:space="preserve">MSG-E31</t>
  </si>
  <si>
    <t xml:space="preserve">変更後の受注は与信限度額を超えます。引当済の出荷があるため、先に引当を解除してから変更してください。</t>
  </si>
  <si>
    <r>
      <rPr>
        <sz val="10"/>
        <rFont val="Arial"/>
        <family val="0"/>
        <charset val="1"/>
      </rPr>
      <t xml:space="preserve">P-03 </t>
    </r>
    <r>
      <rPr>
        <sz val="10"/>
        <rFont val="WenQuanYi Zen Hei"/>
        <family val="2"/>
      </rPr>
      <t xml:space="preserve">与信再判定</t>
    </r>
  </si>
  <si>
    <t xml:space="preserve">警告</t>
  </si>
  <si>
    <r>
      <rPr>
        <sz val="10"/>
        <rFont val="WenQuanYi Zen Hei"/>
        <family val="2"/>
      </rPr>
      <t xml:space="preserve">到着時温度が保管温度区分の許容範囲外です。</t>
    </r>
    <r>
      <rPr>
        <sz val="10"/>
        <rFont val="Arial"/>
        <family val="0"/>
        <charset val="1"/>
      </rPr>
      <t xml:space="preserve">QA</t>
    </r>
    <r>
      <rPr>
        <sz val="10"/>
        <rFont val="WenQuanYi Zen Hei"/>
        <family val="2"/>
      </rPr>
      <t xml:space="preserve">に通知されます。</t>
    </r>
  </si>
  <si>
    <t xml:space="preserve">入荷時温度逸脱</t>
  </si>
  <si>
    <t xml:space="preserve">MSG-W02</t>
  </si>
  <si>
    <t xml:space="preserve">入荷数量が発注残数を超えています。登録してよろしいですか？</t>
  </si>
  <si>
    <t xml:space="preserve">過剰入荷</t>
  </si>
  <si>
    <r>
      <rPr>
        <sz val="10"/>
        <rFont val="WenQuanYi Zen Hei"/>
        <family val="2"/>
      </rPr>
      <t xml:space="preserve">与信限度額を超えます（与信残高</t>
    </r>
    <r>
      <rPr>
        <sz val="10"/>
        <rFont val="Arial"/>
        <family val="0"/>
        <charset val="1"/>
      </rPr>
      <t xml:space="preserve">{balance}</t>
    </r>
    <r>
      <rPr>
        <sz val="10"/>
        <rFont val="WenQuanYi Zen Hei"/>
        <family val="2"/>
      </rPr>
      <t xml:space="preserve">円＋今回</t>
    </r>
    <r>
      <rPr>
        <sz val="10"/>
        <rFont val="Arial"/>
        <family val="0"/>
        <charset val="1"/>
      </rPr>
      <t xml:space="preserve">{amount}</t>
    </r>
    <r>
      <rPr>
        <sz val="10"/>
        <rFont val="WenQuanYi Zen Hei"/>
        <family val="2"/>
      </rPr>
      <t xml:space="preserve">円 ＞ 限度額</t>
    </r>
    <r>
      <rPr>
        <sz val="10"/>
        <rFont val="Arial"/>
        <family val="0"/>
        <charset val="1"/>
      </rPr>
      <t xml:space="preserve">{limit}</t>
    </r>
    <r>
      <rPr>
        <sz val="10"/>
        <rFont val="WenQuanYi Zen Hei"/>
        <family val="2"/>
      </rPr>
      <t xml:space="preserve">円）。管理者の承認が必要です。</t>
    </r>
  </si>
  <si>
    <r>
      <rPr>
        <sz val="10"/>
        <rFont val="WenQuanYi Zen Hei"/>
        <family val="2"/>
      </rPr>
      <t xml:space="preserve">引当可能な在庫が不足しています（不足数量：</t>
    </r>
    <r>
      <rPr>
        <sz val="10"/>
        <rFont val="Arial"/>
        <family val="0"/>
        <charset val="1"/>
      </rPr>
      <t xml:space="preserve">{shortage}</t>
    </r>
    <r>
      <rPr>
        <sz val="10"/>
        <rFont val="WenQuanYi Zen Hei"/>
        <family val="2"/>
      </rPr>
      <t xml:space="preserve">）。</t>
    </r>
  </si>
  <si>
    <r>
      <rPr>
        <sz val="10"/>
        <rFont val="Arial"/>
        <family val="0"/>
        <charset val="1"/>
      </rPr>
      <t xml:space="preserve">P-04 </t>
    </r>
    <r>
      <rPr>
        <sz val="10"/>
        <rFont val="WenQuanYi Zen Hei"/>
        <family val="2"/>
      </rPr>
      <t xml:space="preserve">一部引当</t>
    </r>
  </si>
  <si>
    <r>
      <rPr>
        <sz val="10"/>
        <rFont val="WenQuanYi Zen Hei"/>
        <family val="2"/>
      </rPr>
      <t xml:space="preserve">温度逸脱を検知しました（</t>
    </r>
    <r>
      <rPr>
        <sz val="10"/>
        <rFont val="Arial"/>
        <family val="0"/>
        <charset val="1"/>
      </rPr>
      <t xml:space="preserve">{location}</t>
    </r>
    <r>
      <rPr>
        <sz val="10"/>
        <rFont val="WenQuanYi Zen Hei"/>
        <family val="2"/>
      </rPr>
      <t xml:space="preserve">：</t>
    </r>
    <r>
      <rPr>
        <sz val="10"/>
        <rFont val="Arial"/>
        <family val="0"/>
        <charset val="1"/>
      </rPr>
      <t xml:space="preserve">{temperature}℃</t>
    </r>
    <r>
      <rPr>
        <sz val="10"/>
        <rFont val="WenQuanYi Zen Hei"/>
        <family val="2"/>
      </rPr>
      <t xml:space="preserve">）。該当ロットを保留にしました。</t>
    </r>
  </si>
  <si>
    <t xml:space="preserve">このロットには温度逸脱の履歴があります。評価結果を確認の上で判定してください。</t>
  </si>
  <si>
    <r>
      <rPr>
        <sz val="10"/>
        <rFont val="Arial"/>
        <family val="0"/>
        <charset val="1"/>
      </rPr>
      <t xml:space="preserve">P-02 </t>
    </r>
    <r>
      <rPr>
        <sz val="10"/>
        <rFont val="WenQuanYi Zen Hei"/>
        <family val="2"/>
      </rPr>
      <t xml:space="preserve">逸脱履歴あり</t>
    </r>
  </si>
  <si>
    <r>
      <rPr>
        <sz val="10"/>
        <rFont val="WenQuanYi Zen Hei"/>
        <family val="2"/>
      </rPr>
      <t xml:space="preserve">回収対象ロットに未処分の在庫（</t>
    </r>
    <r>
      <rPr>
        <sz val="10"/>
        <rFont val="Arial"/>
        <family val="0"/>
        <charset val="1"/>
      </rPr>
      <t xml:space="preserve">{qty}</t>
    </r>
    <r>
      <rPr>
        <sz val="10"/>
        <rFont val="WenQuanYi Zen Hei"/>
        <family val="2"/>
      </rPr>
      <t xml:space="preserve">）が残っています。</t>
    </r>
  </si>
  <si>
    <r>
      <rPr>
        <b val="true"/>
        <sz val="10"/>
        <color rgb="FFFFFFFF"/>
        <rFont val="WenQuanYi Zen Hei"/>
        <family val="2"/>
      </rPr>
      <t xml:space="preserve">帳票</t>
    </r>
    <r>
      <rPr>
        <b val="true"/>
        <sz val="10"/>
        <color rgb="FFFFFFFF"/>
        <rFont val="Arial"/>
        <family val="0"/>
        <charset val="1"/>
      </rPr>
      <t xml:space="preserve">ID</t>
    </r>
  </si>
  <si>
    <t xml:space="preserve">帳票名</t>
  </si>
  <si>
    <t xml:space="preserve">形式</t>
  </si>
  <si>
    <t xml:space="preserve">主な出力項目</t>
  </si>
  <si>
    <t xml:space="preserve">RP-01</t>
  </si>
  <si>
    <t xml:space="preserve">発注書</t>
  </si>
  <si>
    <t xml:space="preserve">PDF</t>
  </si>
  <si>
    <t xml:space="preserve">発注番号・仕入先・商品・数量・単価・納期</t>
  </si>
  <si>
    <t xml:space="preserve">RP-02</t>
  </si>
  <si>
    <t xml:space="preserve">納品書</t>
  </si>
  <si>
    <t xml:space="preserve">出荷番号・顧客・納品先・商品・ロット番号・使用期限・数量・保管温度</t>
  </si>
  <si>
    <t xml:space="preserve">RP-03</t>
  </si>
  <si>
    <r>
      <rPr>
        <sz val="10"/>
        <rFont val="WenQuanYi Zen Hei"/>
        <family val="2"/>
      </rPr>
      <t xml:space="preserve">画面</t>
    </r>
    <r>
      <rPr>
        <sz val="10"/>
        <rFont val="Arial"/>
        <family val="0"/>
        <charset val="1"/>
      </rPr>
      <t xml:space="preserve">/CSV</t>
    </r>
  </si>
  <si>
    <t xml:space="preserve">期間・仕入先・商品</t>
  </si>
  <si>
    <t xml:space="preserve">入荷数量・金額、入荷取消・仕入先返品（マイナス）、純仕入</t>
  </si>
  <si>
    <t xml:space="preserve">RP-04</t>
  </si>
  <si>
    <t xml:space="preserve">期間・顧客・商品・営業担当</t>
  </si>
  <si>
    <t xml:space="preserve">数量・売上・原価・粗利・粗利率</t>
  </si>
  <si>
    <t xml:space="preserve">RP-05</t>
  </si>
  <si>
    <t xml:space="preserve">期間・商品・ロット</t>
  </si>
  <si>
    <t xml:space="preserve">期首在庫・入荷・出荷・取消・返品・仕入先返品・移動・調整・廃棄・期末在庫（移動区分別）</t>
  </si>
  <si>
    <t xml:space="preserve">RP-06</t>
  </si>
  <si>
    <t xml:space="preserve">PDF/CSV</t>
  </si>
  <si>
    <r>
      <rPr>
        <sz val="10"/>
        <rFont val="WenQuanYi Zen Hei"/>
        <family val="2"/>
      </rPr>
      <t xml:space="preserve">ロット番号 </t>
    </r>
    <r>
      <rPr>
        <sz val="10"/>
        <rFont val="Arial"/>
        <family val="0"/>
        <charset val="1"/>
      </rPr>
      <t xml:space="preserve">or </t>
    </r>
    <r>
      <rPr>
        <sz val="10"/>
        <rFont val="WenQuanYi Zen Hei"/>
        <family val="2"/>
      </rPr>
      <t xml:space="preserve">顧客</t>
    </r>
  </si>
  <si>
    <t xml:space="preserve">入荷情報・検品結果・出荷先・出荷日・数量・返品・回収状況</t>
  </si>
  <si>
    <t xml:space="preserve">RP-07</t>
  </si>
  <si>
    <t xml:space="preserve">回収対象顧客リスト</t>
  </si>
  <si>
    <t xml:space="preserve">顧客・納品先・担当者・連絡先・ロット・出荷正味数量・連絡状況・回収数量</t>
  </si>
  <si>
    <t xml:space="preserve">RP-08</t>
  </si>
  <si>
    <t xml:space="preserve">CSV</t>
  </si>
  <si>
    <r>
      <rPr>
        <sz val="10"/>
        <rFont val="WenQuanYi Zen Hei"/>
        <family val="2"/>
      </rPr>
      <t xml:space="preserve">期間・種別（売上</t>
    </r>
    <r>
      <rPr>
        <sz val="10"/>
        <rFont val="Arial"/>
        <family val="0"/>
        <charset val="1"/>
      </rPr>
      <t xml:space="preserve">/</t>
    </r>
    <r>
      <rPr>
        <sz val="10"/>
        <rFont val="WenQuanYi Zen Hei"/>
        <family val="2"/>
      </rPr>
      <t xml:space="preserve">仕入）</t>
    </r>
  </si>
  <si>
    <t xml:space="preserve">日付・取引先・勘定科目・金額・税区分・伝票番号</t>
  </si>
  <si>
    <r>
      <rPr>
        <b val="true"/>
        <sz val="10"/>
        <color rgb="FFFFFFFF"/>
        <rFont val="WenQuanYi Zen Hei"/>
        <family val="2"/>
      </rPr>
      <t xml:space="preserve">バッチ</t>
    </r>
    <r>
      <rPr>
        <b val="true"/>
        <sz val="10"/>
        <color rgb="FFFFFFFF"/>
        <rFont val="Arial"/>
        <family val="0"/>
        <charset val="1"/>
      </rPr>
      <t xml:space="preserve">ID</t>
    </r>
  </si>
  <si>
    <t xml:space="preserve">バッチ名</t>
  </si>
  <si>
    <t xml:space="preserve">実行タイミング</t>
  </si>
  <si>
    <t xml:space="preserve">処理内容</t>
  </si>
  <si>
    <t xml:space="preserve">失敗時対応</t>
  </si>
  <si>
    <t xml:space="preserve">B-01</t>
  </si>
  <si>
    <t xml:space="preserve">期限切れ判定</t>
  </si>
  <si>
    <r>
      <rPr>
        <sz val="10"/>
        <rFont val="WenQuanYi Zen Hei"/>
        <family val="2"/>
      </rPr>
      <t xml:space="preserve">毎日 </t>
    </r>
    <r>
      <rPr>
        <sz val="10"/>
        <rFont val="Arial"/>
        <family val="0"/>
        <charset val="1"/>
      </rPr>
      <t xml:space="preserve">1:00</t>
    </r>
  </si>
  <si>
    <r>
      <rPr>
        <sz val="10"/>
        <rFont val="Arial"/>
        <family val="0"/>
        <charset val="1"/>
      </rPr>
      <t xml:space="preserve">expires_on &lt; </t>
    </r>
    <r>
      <rPr>
        <sz val="10"/>
        <rFont val="WenQuanYi Zen Hei"/>
        <family val="2"/>
      </rPr>
      <t xml:space="preserve">当日 の </t>
    </r>
    <r>
      <rPr>
        <sz val="10"/>
        <rFont val="Arial"/>
        <family val="0"/>
        <charset val="1"/>
      </rPr>
      <t xml:space="preserve">RELEASED/HOLD </t>
    </r>
    <r>
      <rPr>
        <sz val="10"/>
        <rFont val="WenQuanYi Zen Hei"/>
        <family val="2"/>
      </rPr>
      <t xml:space="preserve">ロットを </t>
    </r>
    <r>
      <rPr>
        <sz val="10"/>
        <rFont val="Arial"/>
        <family val="0"/>
        <charset val="1"/>
      </rPr>
      <t xml:space="preserve">EXPIRED </t>
    </r>
    <r>
      <rPr>
        <sz val="10"/>
        <rFont val="WenQuanYi Zen Hei"/>
        <family val="2"/>
      </rPr>
      <t xml:space="preserve">に更新（履歴記録）し、</t>
    </r>
    <r>
      <rPr>
        <sz val="10"/>
        <rFont val="Arial"/>
        <family val="0"/>
        <charset val="1"/>
      </rPr>
      <t xml:space="preserve">P-11 </t>
    </r>
    <r>
      <rPr>
        <sz val="10"/>
        <rFont val="WenQuanYi Zen Hei"/>
        <family val="2"/>
      </rPr>
      <t xml:space="preserve">で引当を解除して影響受注を通知</t>
    </r>
  </si>
  <si>
    <t xml:space="preserve">管理者へメール。翌日再実行で冪等に処理</t>
  </si>
  <si>
    <t xml:space="preserve">B-02</t>
  </si>
  <si>
    <t xml:space="preserve">アラート生成</t>
  </si>
  <si>
    <r>
      <rPr>
        <sz val="10"/>
        <rFont val="WenQuanYi Zen Hei"/>
        <family val="2"/>
      </rPr>
      <t xml:space="preserve">毎日 </t>
    </r>
    <r>
      <rPr>
        <sz val="10"/>
        <rFont val="Arial"/>
        <family val="0"/>
        <charset val="1"/>
      </rPr>
      <t xml:space="preserve">1:10</t>
    </r>
  </si>
  <si>
    <r>
      <rPr>
        <sz val="10"/>
        <rFont val="Arial"/>
        <family val="0"/>
        <charset val="1"/>
      </rPr>
      <t xml:space="preserve">BR-16 </t>
    </r>
    <r>
      <rPr>
        <sz val="10"/>
        <rFont val="WenQuanYi Zen Hei"/>
        <family val="2"/>
      </rPr>
      <t xml:space="preserve">の条件（期限</t>
    </r>
    <r>
      <rPr>
        <sz val="10"/>
        <rFont val="Arial"/>
        <family val="0"/>
        <charset val="1"/>
      </rPr>
      <t xml:space="preserve">90/30</t>
    </r>
    <r>
      <rPr>
        <sz val="10"/>
        <rFont val="WenQuanYi Zen Hei"/>
        <family val="2"/>
      </rPr>
      <t xml:space="preserve">日・発注点・回収未対応</t>
    </r>
    <r>
      <rPr>
        <sz val="10"/>
        <rFont val="Arial"/>
        <family val="0"/>
        <charset val="1"/>
      </rPr>
      <t xml:space="preserve">7</t>
    </r>
    <r>
      <rPr>
        <sz val="10"/>
        <rFont val="WenQuanYi Zen Hei"/>
        <family val="2"/>
      </rPr>
      <t xml:space="preserve">日超）でアラートを生成しメール送信</t>
    </r>
  </si>
  <si>
    <t xml:space="preserve">同上</t>
  </si>
  <si>
    <t xml:space="preserve">B-03</t>
  </si>
  <si>
    <t xml:space="preserve">在庫・引当整合性チェック</t>
  </si>
  <si>
    <r>
      <rPr>
        <sz val="10"/>
        <rFont val="WenQuanYi Zen Hei"/>
        <family val="2"/>
      </rPr>
      <t xml:space="preserve">毎日 </t>
    </r>
    <r>
      <rPr>
        <sz val="10"/>
        <rFont val="Arial"/>
        <family val="0"/>
        <charset val="1"/>
      </rPr>
      <t xml:space="preserve">1:30</t>
    </r>
  </si>
  <si>
    <r>
      <rPr>
        <sz val="10"/>
        <rFont val="Arial"/>
        <family val="0"/>
        <charset val="1"/>
      </rPr>
      <t xml:space="preserve">SQL-04</t>
    </r>
    <r>
      <rPr>
        <sz val="10"/>
        <rFont val="WenQuanYi Zen Hei"/>
        <family val="2"/>
      </rPr>
      <t xml:space="preserve">・</t>
    </r>
    <r>
      <rPr>
        <sz val="10"/>
        <rFont val="Arial"/>
        <family val="0"/>
        <charset val="1"/>
      </rPr>
      <t xml:space="preserve">SQL-05 </t>
    </r>
    <r>
      <rPr>
        <sz val="10"/>
        <rFont val="WenQuanYi Zen Hei"/>
        <family val="2"/>
      </rPr>
      <t xml:space="preserve">を実行し不一致があれば管理者へ通知（自動補正はしない）</t>
    </r>
  </si>
  <si>
    <t xml:space="preserve">不一致内容を監査ログに記録</t>
  </si>
  <si>
    <t xml:space="preserve">B-04</t>
  </si>
  <si>
    <r>
      <rPr>
        <sz val="10"/>
        <rFont val="WenQuanYi Zen Hei"/>
        <family val="2"/>
      </rPr>
      <t xml:space="preserve">温度</t>
    </r>
    <r>
      <rPr>
        <sz val="10"/>
        <rFont val="Arial"/>
        <family val="0"/>
        <charset val="1"/>
      </rPr>
      <t xml:space="preserve">CSV</t>
    </r>
    <r>
      <rPr>
        <sz val="10"/>
        <rFont val="WenQuanYi Zen Hei"/>
        <family val="2"/>
      </rPr>
      <t xml:space="preserve">取込</t>
    </r>
  </si>
  <si>
    <r>
      <rPr>
        <sz val="10"/>
        <rFont val="WenQuanYi Zen Hei"/>
        <family val="2"/>
      </rPr>
      <t xml:space="preserve">毎時 </t>
    </r>
    <r>
      <rPr>
        <sz val="10"/>
        <rFont val="Arial"/>
        <family val="0"/>
        <charset val="1"/>
      </rPr>
      <t xml:space="preserve">0</t>
    </r>
    <r>
      <rPr>
        <sz val="10"/>
        <rFont val="WenQuanYi Zen Hei"/>
        <family val="2"/>
      </rPr>
      <t xml:space="preserve">分</t>
    </r>
  </si>
  <si>
    <r>
      <rPr>
        <sz val="10"/>
        <rFont val="WenQuanYi Zen Hei"/>
        <family val="2"/>
      </rPr>
      <t xml:space="preserve">所定フォルダの温度ロガー</t>
    </r>
    <r>
      <rPr>
        <sz val="10"/>
        <rFont val="Arial"/>
        <family val="0"/>
        <charset val="1"/>
      </rPr>
      <t xml:space="preserve">CSV</t>
    </r>
    <r>
      <rPr>
        <sz val="10"/>
        <rFont val="WenQuanYi Zen Hei"/>
        <family val="2"/>
      </rPr>
      <t xml:space="preserve">を取込み </t>
    </r>
    <r>
      <rPr>
        <sz val="10"/>
        <rFont val="Arial"/>
        <family val="0"/>
        <charset val="1"/>
      </rPr>
      <t xml:space="preserve">P-09 </t>
    </r>
    <r>
      <rPr>
        <sz val="10"/>
        <rFont val="WenQuanYi Zen Hei"/>
        <family val="2"/>
      </rPr>
      <t xml:space="preserve">を実行（測定日時が過去でも </t>
    </r>
    <r>
      <rPr>
        <sz val="10"/>
        <rFont val="Arial"/>
        <family val="0"/>
        <charset val="1"/>
      </rPr>
      <t xml:space="preserve">P-09 </t>
    </r>
    <r>
      <rPr>
        <sz val="10"/>
        <rFont val="WenQuanYi Zen Hei"/>
        <family val="2"/>
      </rPr>
      <t xml:space="preserve">ステップ</t>
    </r>
    <r>
      <rPr>
        <sz val="10"/>
        <rFont val="Arial"/>
        <family val="0"/>
        <charset val="1"/>
      </rPr>
      <t xml:space="preserve">2</t>
    </r>
    <r>
      <rPr>
        <sz val="10"/>
        <rFont val="WenQuanYi Zen Hei"/>
        <family val="2"/>
      </rPr>
      <t xml:space="preserve">〜</t>
    </r>
    <r>
      <rPr>
        <sz val="10"/>
        <rFont val="Arial"/>
        <family val="0"/>
        <charset val="1"/>
      </rPr>
      <t xml:space="preserve">4</t>
    </r>
    <r>
      <rPr>
        <sz val="10"/>
        <rFont val="WenQuanYi Zen Hei"/>
        <family val="2"/>
      </rPr>
      <t xml:space="preserve">で遡及判定）</t>
    </r>
  </si>
  <si>
    <t xml:space="preserve">取込エラー行を管理者へ通知</t>
  </si>
  <si>
    <t xml:space="preserve">B-05</t>
  </si>
  <si>
    <t xml:space="preserve">バックアップ確認</t>
  </si>
  <si>
    <r>
      <rPr>
        <sz val="10"/>
        <rFont val="WenQuanYi Zen Hei"/>
        <family val="2"/>
      </rPr>
      <t xml:space="preserve">毎日 </t>
    </r>
    <r>
      <rPr>
        <sz val="10"/>
        <rFont val="Arial"/>
        <family val="0"/>
        <charset val="1"/>
      </rPr>
      <t xml:space="preserve">6:00</t>
    </r>
  </si>
  <si>
    <t xml:space="preserve">前日バックアップの成否を確認</t>
  </si>
  <si>
    <t xml:space="preserve">失敗時は管理者へ通知</t>
  </si>
  <si>
    <t xml:space="preserve">要件</t>
  </si>
  <si>
    <t xml:space="preserve">性能</t>
  </si>
  <si>
    <t xml:space="preserve">画面応答</t>
  </si>
  <si>
    <r>
      <rPr>
        <sz val="10"/>
        <rFont val="WenQuanYi Zen Hei"/>
        <family val="2"/>
      </rPr>
      <t xml:space="preserve">通常の画面表示・検索は</t>
    </r>
    <r>
      <rPr>
        <sz val="10"/>
        <rFont val="Arial"/>
        <family val="0"/>
        <charset val="1"/>
      </rPr>
      <t xml:space="preserve">3</t>
    </r>
    <r>
      <rPr>
        <sz val="10"/>
        <rFont val="WenQuanYi Zen Hei"/>
        <family val="2"/>
      </rPr>
      <t xml:space="preserve">秒以内（データ量：想定規模の</t>
    </r>
    <r>
      <rPr>
        <sz val="10"/>
        <rFont val="Arial"/>
        <family val="0"/>
        <charset val="1"/>
      </rPr>
      <t xml:space="preserve">5</t>
    </r>
    <r>
      <rPr>
        <sz val="10"/>
        <rFont val="WenQuanYi Zen Hei"/>
        <family val="2"/>
      </rPr>
      <t xml:space="preserve">年分）</t>
    </r>
  </si>
  <si>
    <t xml:space="preserve">トレース検索</t>
  </si>
  <si>
    <r>
      <rPr>
        <sz val="10"/>
        <rFont val="WenQuanYi Zen Hei"/>
        <family val="2"/>
      </rPr>
      <t xml:space="preserve">ロット→顧客／顧客→ロットの追跡結果を</t>
    </r>
    <r>
      <rPr>
        <sz val="10"/>
        <rFont val="Arial"/>
        <family val="0"/>
        <charset val="1"/>
      </rPr>
      <t xml:space="preserve">2</t>
    </r>
    <r>
      <rPr>
        <sz val="10"/>
        <rFont val="WenQuanYi Zen Hei"/>
        <family val="2"/>
      </rPr>
      <t xml:space="preserve">秒以内に表示</t>
    </r>
  </si>
  <si>
    <t xml:space="preserve">可用性</t>
  </si>
  <si>
    <t xml:space="preserve">稼働時間</t>
  </si>
  <si>
    <r>
      <rPr>
        <sz val="10"/>
        <rFont val="WenQuanYi Zen Hei"/>
        <family val="2"/>
      </rPr>
      <t xml:space="preserve">平日 </t>
    </r>
    <r>
      <rPr>
        <sz val="10"/>
        <rFont val="Arial"/>
        <family val="0"/>
        <charset val="1"/>
      </rPr>
      <t xml:space="preserve">8:00</t>
    </r>
    <r>
      <rPr>
        <sz val="10"/>
        <rFont val="WenQuanYi Zen Hei"/>
        <family val="2"/>
      </rPr>
      <t xml:space="preserve">〜</t>
    </r>
    <r>
      <rPr>
        <sz val="10"/>
        <rFont val="Arial"/>
        <family val="0"/>
        <charset val="1"/>
      </rPr>
      <t xml:space="preserve">20:00 </t>
    </r>
    <r>
      <rPr>
        <sz val="10"/>
        <rFont val="WenQuanYi Zen Hei"/>
        <family val="2"/>
      </rPr>
      <t xml:space="preserve">の稼働率 </t>
    </r>
    <r>
      <rPr>
        <sz val="10"/>
        <rFont val="Arial"/>
        <family val="0"/>
        <charset val="1"/>
      </rPr>
      <t xml:space="preserve">99.5%</t>
    </r>
    <r>
      <rPr>
        <sz val="10"/>
        <rFont val="WenQuanYi Zen Hei"/>
        <family val="2"/>
      </rPr>
      <t xml:space="preserve">以上。計画停止は事前通知</t>
    </r>
  </si>
  <si>
    <t xml:space="preserve">データ保全</t>
  </si>
  <si>
    <t xml:space="preserve">バックアップ</t>
  </si>
  <si>
    <r>
      <rPr>
        <sz val="10"/>
        <rFont val="Arial"/>
        <family val="0"/>
        <charset val="1"/>
      </rPr>
      <t xml:space="preserve">DB</t>
    </r>
    <r>
      <rPr>
        <sz val="10"/>
        <rFont val="WenQuanYi Zen Hei"/>
        <family val="2"/>
      </rPr>
      <t xml:space="preserve">は日次フルバックアップ＋</t>
    </r>
    <r>
      <rPr>
        <sz val="10"/>
        <rFont val="Arial"/>
        <family val="0"/>
        <charset val="1"/>
      </rPr>
      <t xml:space="preserve">PITR</t>
    </r>
    <r>
      <rPr>
        <sz val="10"/>
        <rFont val="WenQuanYi Zen Hei"/>
        <family val="2"/>
      </rPr>
      <t xml:space="preserve">（</t>
    </r>
    <r>
      <rPr>
        <sz val="10"/>
        <rFont val="Arial"/>
        <family val="0"/>
        <charset val="1"/>
      </rPr>
      <t xml:space="preserve">7</t>
    </r>
    <r>
      <rPr>
        <sz val="10"/>
        <rFont val="WenQuanYi Zen Hei"/>
        <family val="2"/>
      </rPr>
      <t xml:space="preserve">日）。バックアップは別リージョンへ保管</t>
    </r>
  </si>
  <si>
    <t xml:space="preserve">保存期間</t>
  </si>
  <si>
    <r>
      <rPr>
        <sz val="10"/>
        <rFont val="WenQuanYi Zen Hei"/>
        <family val="2"/>
      </rPr>
      <t xml:space="preserve">トレーサビリティ関連データ（ロット・入出荷・回収・監査ログ）は最低</t>
    </r>
    <r>
      <rPr>
        <sz val="10"/>
        <rFont val="Arial"/>
        <family val="0"/>
        <charset val="1"/>
      </rPr>
      <t xml:space="preserve">10</t>
    </r>
    <r>
      <rPr>
        <sz val="10"/>
        <rFont val="WenQuanYi Zen Hei"/>
        <family val="2"/>
      </rPr>
      <t xml:space="preserve">年保存。法令・契約要件を確認の上確定</t>
    </r>
  </si>
  <si>
    <t xml:space="preserve">セキュリティ</t>
  </si>
  <si>
    <t xml:space="preserve">認証</t>
  </si>
  <si>
    <r>
      <rPr>
        <sz val="10"/>
        <rFont val="WenQuanYi Zen Hei"/>
        <family val="2"/>
      </rPr>
      <t xml:space="preserve">パスワード</t>
    </r>
    <r>
      <rPr>
        <sz val="10"/>
        <rFont val="Arial"/>
        <family val="0"/>
        <charset val="1"/>
      </rPr>
      <t xml:space="preserve">12</t>
    </r>
    <r>
      <rPr>
        <sz val="10"/>
        <rFont val="WenQuanYi Zen Hei"/>
        <family val="2"/>
      </rPr>
      <t xml:space="preserve">文字以上＋</t>
    </r>
    <r>
      <rPr>
        <sz val="10"/>
        <rFont val="Arial"/>
        <family val="0"/>
        <charset val="1"/>
      </rPr>
      <t xml:space="preserve">2</t>
    </r>
    <r>
      <rPr>
        <sz val="10"/>
        <rFont val="WenQuanYi Zen Hei"/>
        <family val="2"/>
      </rPr>
      <t xml:space="preserve">要素認証。</t>
    </r>
    <r>
      <rPr>
        <sz val="10"/>
        <rFont val="Arial"/>
        <family val="0"/>
        <charset val="1"/>
      </rPr>
      <t xml:space="preserve">5</t>
    </r>
    <r>
      <rPr>
        <sz val="10"/>
        <rFont val="WenQuanYi Zen Hei"/>
        <family val="2"/>
      </rPr>
      <t xml:space="preserve">回失敗でロック。セッション</t>
    </r>
    <r>
      <rPr>
        <sz val="10"/>
        <rFont val="Arial"/>
        <family val="0"/>
        <charset val="1"/>
      </rPr>
      <t xml:space="preserve">30</t>
    </r>
    <r>
      <rPr>
        <sz val="10"/>
        <rFont val="WenQuanYi Zen Hei"/>
        <family val="2"/>
      </rPr>
      <t xml:space="preserve">分無操作でタイムアウト</t>
    </r>
  </si>
  <si>
    <t xml:space="preserve">認可</t>
  </si>
  <si>
    <r>
      <rPr>
        <sz val="10"/>
        <rFont val="WenQuanYi Zen Hei"/>
        <family val="2"/>
      </rPr>
      <t xml:space="preserve">ロールベースアクセス制御（権限マトリクス 参照）。</t>
    </r>
    <r>
      <rPr>
        <sz val="10"/>
        <rFont val="Arial"/>
        <family val="0"/>
        <charset val="1"/>
      </rPr>
      <t xml:space="preserve">API</t>
    </r>
    <r>
      <rPr>
        <sz val="10"/>
        <rFont val="WenQuanYi Zen Hei"/>
        <family val="2"/>
      </rPr>
      <t xml:space="preserve">でもサーバー側で権限検証</t>
    </r>
  </si>
  <si>
    <t xml:space="preserve">通信・保存</t>
  </si>
  <si>
    <r>
      <rPr>
        <sz val="10"/>
        <rFont val="WenQuanYi Zen Hei"/>
        <family val="2"/>
      </rPr>
      <t xml:space="preserve">通信は</t>
    </r>
    <r>
      <rPr>
        <sz val="10"/>
        <rFont val="Arial"/>
        <family val="0"/>
        <charset val="1"/>
      </rPr>
      <t xml:space="preserve">TLS1.2</t>
    </r>
    <r>
      <rPr>
        <sz val="10"/>
        <rFont val="WenQuanYi Zen Hei"/>
        <family val="2"/>
      </rPr>
      <t xml:space="preserve">以上。</t>
    </r>
    <r>
      <rPr>
        <sz val="10"/>
        <rFont val="Arial"/>
        <family val="0"/>
        <charset val="1"/>
      </rPr>
      <t xml:space="preserve">DB</t>
    </r>
    <r>
      <rPr>
        <sz val="10"/>
        <rFont val="WenQuanYi Zen Hei"/>
        <family val="2"/>
      </rPr>
      <t xml:space="preserve">・ファイルストレージは保存時暗号化</t>
    </r>
  </si>
  <si>
    <t xml:space="preserve">個人情報</t>
  </si>
  <si>
    <t xml:space="preserve">顧客担当者の氏名・連絡先は個人情報として扱い、出力操作は監査ログに記録</t>
  </si>
  <si>
    <t xml:space="preserve">監査性</t>
  </si>
  <si>
    <r>
      <rPr>
        <sz val="10"/>
        <rFont val="WenQuanYi Zen Hei"/>
        <family val="2"/>
      </rPr>
      <t xml:space="preserve">登録・更新・取消・ステータス変更・</t>
    </r>
    <r>
      <rPr>
        <sz val="10"/>
        <rFont val="Arial"/>
        <family val="0"/>
        <charset val="1"/>
      </rPr>
      <t xml:space="preserve">CSV/PDF</t>
    </r>
    <r>
      <rPr>
        <sz val="10"/>
        <rFont val="WenQuanYi Zen Hei"/>
        <family val="2"/>
      </rPr>
      <t xml:space="preserve">出力・ログインを記録。ログは追記のみで改変不可</t>
    </r>
  </si>
  <si>
    <t xml:space="preserve">電子記録</t>
  </si>
  <si>
    <r>
      <rPr>
        <sz val="10"/>
        <rFont val="WenQuanYi Zen Hei"/>
        <family val="2"/>
      </rPr>
      <t xml:space="preserve">確定済伝票の変更履歴（誰が・いつ・何を）を保持（</t>
    </r>
    <r>
      <rPr>
        <sz val="10"/>
        <rFont val="Arial"/>
        <family val="0"/>
        <charset val="1"/>
      </rPr>
      <t xml:space="preserve">ER/ES</t>
    </r>
    <r>
      <rPr>
        <sz val="10"/>
        <rFont val="WenQuanYi Zen Hei"/>
        <family val="2"/>
      </rPr>
      <t xml:space="preserve">指針等の要否は課題として確認）</t>
    </r>
  </si>
  <si>
    <t xml:space="preserve">運用</t>
  </si>
  <si>
    <t xml:space="preserve">日次バッチ</t>
  </si>
  <si>
    <r>
      <rPr>
        <sz val="10"/>
        <rFont val="WenQuanYi Zen Hei"/>
        <family val="2"/>
      </rPr>
      <t xml:space="preserve">毎日 </t>
    </r>
    <r>
      <rPr>
        <sz val="10"/>
        <rFont val="Arial"/>
        <family val="0"/>
        <charset val="1"/>
      </rPr>
      <t xml:space="preserve">1:00 </t>
    </r>
    <r>
      <rPr>
        <sz val="10"/>
        <rFont val="WenQuanYi Zen Hei"/>
        <family val="2"/>
      </rPr>
      <t xml:space="preserve">に期限切れ判定・アラート生成・在庫</t>
    </r>
    <r>
      <rPr>
        <sz val="10"/>
        <rFont val="Arial"/>
        <family val="0"/>
        <charset val="1"/>
      </rPr>
      <t xml:space="preserve">/</t>
    </r>
    <r>
      <rPr>
        <sz val="10"/>
        <rFont val="WenQuanYi Zen Hei"/>
        <family val="2"/>
      </rPr>
      <t xml:space="preserve">引当整合性チェックを実行（バッチ一覧 参照）</t>
    </r>
  </si>
  <si>
    <t xml:space="preserve">データ</t>
  </si>
  <si>
    <t xml:space="preserve">日時</t>
  </si>
  <si>
    <r>
      <rPr>
        <sz val="10"/>
        <rFont val="WenQuanYi Zen Hei"/>
        <family val="2"/>
      </rPr>
      <t xml:space="preserve">日時は全て </t>
    </r>
    <r>
      <rPr>
        <sz val="10"/>
        <rFont val="Arial"/>
        <family val="0"/>
        <charset val="1"/>
      </rPr>
      <t xml:space="preserve">TIMESTAMPTZ</t>
    </r>
    <r>
      <rPr>
        <sz val="10"/>
        <rFont val="WenQuanYi Zen Hei"/>
        <family val="2"/>
      </rPr>
      <t xml:space="preserve">（</t>
    </r>
    <r>
      <rPr>
        <sz val="10"/>
        <rFont val="Arial"/>
        <family val="0"/>
        <charset val="1"/>
      </rPr>
      <t xml:space="preserve">UTC</t>
    </r>
    <r>
      <rPr>
        <sz val="10"/>
        <rFont val="WenQuanYi Zen Hei"/>
        <family val="2"/>
      </rPr>
      <t xml:space="preserve">保存・画面は</t>
    </r>
    <r>
      <rPr>
        <sz val="10"/>
        <rFont val="Arial"/>
        <family val="0"/>
        <charset val="1"/>
      </rPr>
      <t xml:space="preserve">JST</t>
    </r>
    <r>
      <rPr>
        <sz val="10"/>
        <rFont val="WenQuanYi Zen Hei"/>
        <family val="2"/>
      </rPr>
      <t xml:space="preserve">表示）</t>
    </r>
  </si>
  <si>
    <t xml:space="preserve">排他制御</t>
  </si>
  <si>
    <r>
      <rPr>
        <sz val="10"/>
        <rFont val="WenQuanYi Zen Hei"/>
        <family val="2"/>
      </rPr>
      <t xml:space="preserve">画面編集は楽観ロック（</t>
    </r>
    <r>
      <rPr>
        <sz val="10"/>
        <rFont val="Arial"/>
        <family val="0"/>
        <charset val="1"/>
      </rPr>
      <t xml:space="preserve">version</t>
    </r>
    <r>
      <rPr>
        <sz val="10"/>
        <rFont val="WenQuanYi Zen Hei"/>
        <family val="2"/>
      </rPr>
      <t xml:space="preserve">）、在庫・ロット・出荷の確定処理は行ロック（処理詳細 参照）。ロック順序は ロット→在庫→伝票 に統一しデッドロックを防ぐ（処理詳細 </t>
    </r>
    <r>
      <rPr>
        <sz val="10"/>
        <rFont val="Arial"/>
        <family val="0"/>
        <charset val="1"/>
      </rPr>
      <t xml:space="preserve">P-00</t>
    </r>
    <r>
      <rPr>
        <sz val="10"/>
        <rFont val="WenQuanYi Zen Hei"/>
        <family val="2"/>
      </rPr>
      <t xml:space="preserve">）</t>
    </r>
  </si>
  <si>
    <t xml:space="preserve">マスタ移行</t>
  </si>
  <si>
    <r>
      <rPr>
        <sz val="10"/>
        <rFont val="WenQuanYi Zen Hei"/>
        <family val="2"/>
      </rPr>
      <t xml:space="preserve">初期データ（仕入先・商品・顧客・現在庫ロット）は</t>
    </r>
    <r>
      <rPr>
        <sz val="10"/>
        <rFont val="Arial"/>
        <family val="0"/>
        <charset val="1"/>
      </rPr>
      <t xml:space="preserve">CSV</t>
    </r>
    <r>
      <rPr>
        <sz val="10"/>
        <rFont val="WenQuanYi Zen Hei"/>
        <family val="2"/>
      </rPr>
      <t xml:space="preserve">テンプレートで一括取込。移行ロットは使用期限・初回入荷日・原価単価・ステータスを必須とし、</t>
    </r>
    <r>
      <rPr>
        <sz val="10"/>
        <rFont val="Arial"/>
        <family val="0"/>
        <charset val="1"/>
      </rPr>
      <t xml:space="preserve">RECEIPT</t>
    </r>
    <r>
      <rPr>
        <sz val="10"/>
        <rFont val="WenQuanYi Zen Hei"/>
        <family val="2"/>
      </rPr>
      <t xml:space="preserve">（参照伝票種別</t>
    </r>
    <r>
      <rPr>
        <sz val="10"/>
        <rFont val="Arial"/>
        <family val="0"/>
        <charset val="1"/>
      </rPr>
      <t xml:space="preserve">=migration</t>
    </r>
    <r>
      <rPr>
        <sz val="10"/>
        <rFont val="WenQuanYi Zen Hei"/>
        <family val="2"/>
      </rPr>
      <t xml:space="preserve">）の移動履歴を生成。初期管理者は </t>
    </r>
    <r>
      <rPr>
        <sz val="10"/>
        <rFont val="Arial"/>
        <family val="0"/>
        <charset val="1"/>
      </rPr>
      <t xml:space="preserve">created_by/updated_by </t>
    </r>
    <r>
      <rPr>
        <sz val="10"/>
        <rFont val="WenQuanYi Zen Hei"/>
        <family val="2"/>
      </rPr>
      <t xml:space="preserve">が自己参照となるため </t>
    </r>
    <r>
      <rPr>
        <sz val="10"/>
        <rFont val="Arial"/>
        <family val="0"/>
        <charset val="1"/>
      </rPr>
      <t xml:space="preserve">id=1 </t>
    </r>
    <r>
      <rPr>
        <sz val="10"/>
        <rFont val="WenQuanYi Zen Hei"/>
        <family val="2"/>
      </rPr>
      <t xml:space="preserve">を明示して最初に投入する。バッチ・自動処理用のシステムユーザー（</t>
    </r>
    <r>
      <rPr>
        <sz val="10"/>
        <rFont val="Arial"/>
        <family val="0"/>
        <charset val="1"/>
      </rPr>
      <t xml:space="preserve">id=2, role=ADMIN, </t>
    </r>
    <r>
      <rPr>
        <sz val="10"/>
        <rFont val="WenQuanYi Zen Hei"/>
        <family val="2"/>
      </rPr>
      <t xml:space="preserve">ログイン不可）も同時に投入し、</t>
    </r>
    <r>
      <rPr>
        <sz val="10"/>
        <rFont val="Arial"/>
        <family val="0"/>
        <charset val="1"/>
      </rPr>
      <t xml:space="preserve">created_by/updated_by </t>
    </r>
    <r>
      <rPr>
        <sz val="10"/>
        <rFont val="WenQuanYi Zen Hei"/>
        <family val="2"/>
      </rPr>
      <t xml:space="preserve">に使用する</t>
    </r>
  </si>
  <si>
    <t xml:space="preserve">UI</t>
  </si>
  <si>
    <t xml:space="preserve">対応端末</t>
  </si>
  <si>
    <r>
      <rPr>
        <sz val="10"/>
        <rFont val="Arial"/>
        <family val="0"/>
        <charset val="1"/>
      </rPr>
      <t xml:space="preserve">PC</t>
    </r>
    <r>
      <rPr>
        <sz val="10"/>
        <rFont val="WenQuanYi Zen Hei"/>
        <family val="2"/>
      </rPr>
      <t xml:space="preserve">ブラウザ（</t>
    </r>
    <r>
      <rPr>
        <sz val="10"/>
        <rFont val="Arial"/>
        <family val="0"/>
        <charset val="1"/>
      </rPr>
      <t xml:space="preserve">Chrome/Edge</t>
    </r>
    <r>
      <rPr>
        <sz val="10"/>
        <rFont val="WenQuanYi Zen Hei"/>
        <family val="2"/>
      </rPr>
      <t xml:space="preserve">最新）。在庫照会・入出荷はタブレット表示に対応</t>
    </r>
  </si>
  <si>
    <t xml:space="preserve">バーコード</t>
  </si>
  <si>
    <r>
      <rPr>
        <sz val="10"/>
        <rFont val="WenQuanYi Zen Hei"/>
        <family val="2"/>
      </rPr>
      <t xml:space="preserve">（将来）ロットラベルのバーコード</t>
    </r>
    <r>
      <rPr>
        <sz val="10"/>
        <rFont val="Arial"/>
        <family val="0"/>
        <charset val="1"/>
      </rPr>
      <t xml:space="preserve">/QR</t>
    </r>
    <r>
      <rPr>
        <sz val="10"/>
        <rFont val="WenQuanYi Zen Hei"/>
        <family val="2"/>
      </rPr>
      <t xml:space="preserve">印字・読取に対応。ロット番号は英数字とハイフンのみ・最大</t>
    </r>
    <r>
      <rPr>
        <sz val="10"/>
        <rFont val="Arial"/>
        <family val="0"/>
        <charset val="1"/>
      </rPr>
      <t xml:space="preserve">30</t>
    </r>
    <r>
      <rPr>
        <sz val="10"/>
        <rFont val="WenQuanYi Zen Hei"/>
        <family val="2"/>
      </rPr>
      <t xml:space="preserve">文字（</t>
    </r>
    <r>
      <rPr>
        <sz val="10"/>
        <rFont val="Arial"/>
        <family val="0"/>
        <charset val="1"/>
      </rPr>
      <t xml:space="preserve">Code128/QR</t>
    </r>
    <r>
      <rPr>
        <sz val="10"/>
        <rFont val="WenQuanYi Zen Hei"/>
        <family val="2"/>
      </rPr>
      <t xml:space="preserve">で表現可能）とする</t>
    </r>
  </si>
  <si>
    <t xml:space="preserve">拡張性</t>
  </si>
  <si>
    <t xml:space="preserve">簡易版（段階導入）</t>
  </si>
  <si>
    <r>
      <rPr>
        <sz val="10"/>
        <rFont val="WenQuanYi Zen Hei"/>
        <family val="2"/>
      </rPr>
      <t xml:space="preserve">第</t>
    </r>
    <r>
      <rPr>
        <sz val="10"/>
        <rFont val="Arial"/>
        <family val="0"/>
        <charset val="1"/>
      </rPr>
      <t xml:space="preserve">1</t>
    </r>
    <r>
      <rPr>
        <sz val="10"/>
        <rFont val="WenQuanYi Zen Hei"/>
        <family val="2"/>
      </rPr>
      <t xml:space="preserve">段階として </t>
    </r>
    <r>
      <rPr>
        <sz val="10"/>
        <rFont val="Arial"/>
        <family val="0"/>
        <charset val="1"/>
      </rPr>
      <t xml:space="preserve">Google </t>
    </r>
    <r>
      <rPr>
        <sz val="10"/>
        <rFont val="WenQuanYi Zen Hei"/>
        <family val="2"/>
      </rPr>
      <t xml:space="preserve">スプレッドシート＋</t>
    </r>
    <r>
      <rPr>
        <sz val="10"/>
        <rFont val="Arial"/>
        <family val="0"/>
        <charset val="1"/>
      </rPr>
      <t xml:space="preserve">AppSheet </t>
    </r>
    <r>
      <rPr>
        <sz val="10"/>
        <rFont val="WenQuanYi Zen Hei"/>
        <family val="2"/>
      </rPr>
      <t xml:space="preserve">で本設計のテーブル構造をシート化して運用し、件数・利用者増加時に</t>
    </r>
    <r>
      <rPr>
        <sz val="10"/>
        <rFont val="Arial"/>
        <family val="0"/>
        <charset val="1"/>
      </rPr>
      <t xml:space="preserve">Web</t>
    </r>
    <r>
      <rPr>
        <sz val="10"/>
        <rFont val="WenQuanYi Zen Hei"/>
        <family val="2"/>
      </rPr>
      <t xml:space="preserve">アプリへ移行可能とする（テーブル・コード値は共通）</t>
    </r>
  </si>
  <si>
    <r>
      <rPr>
        <i val="true"/>
        <sz val="9"/>
        <color rgb="FF595959"/>
        <rFont val="WenQuanYi Zen Hei"/>
        <family val="2"/>
      </rPr>
      <t xml:space="preserve">黄色セル（ステータス・回答欄）に記入してください。例：ステータス</t>
    </r>
    <r>
      <rPr>
        <i val="true"/>
        <sz val="9"/>
        <color rgb="FF595959"/>
        <rFont val="Arial"/>
        <family val="0"/>
        <charset val="1"/>
      </rPr>
      <t xml:space="preserve">=</t>
    </r>
    <r>
      <rPr>
        <i val="true"/>
        <sz val="9"/>
        <color rgb="FF595959"/>
        <rFont val="WenQuanYi Zen Hei"/>
        <family val="2"/>
      </rPr>
      <t xml:space="preserve">回答済、回答</t>
    </r>
    <r>
      <rPr>
        <i val="true"/>
        <sz val="9"/>
        <color rgb="FF595959"/>
        <rFont val="Arial"/>
        <family val="0"/>
        <charset val="1"/>
      </rPr>
      <t xml:space="preserve">=</t>
    </r>
    <r>
      <rPr>
        <i val="true"/>
        <sz val="9"/>
        <color rgb="FF595959"/>
        <rFont val="WenQuanYi Zen Hei"/>
        <family val="2"/>
      </rPr>
      <t xml:space="preserve">「化粧品原料のみ取扱い」</t>
    </r>
  </si>
  <si>
    <t xml:space="preserve">対応方針</t>
  </si>
  <si>
    <t xml:space="preserve">期限</t>
  </si>
  <si>
    <t xml:space="preserve">回答・決定事項（記入欄）</t>
  </si>
  <si>
    <t xml:space="preserve">Q-01</t>
  </si>
  <si>
    <t xml:space="preserve">法規制</t>
  </si>
  <si>
    <t xml:space="preserve">取り扱うエクソソーム製品の法的区分（化粧品原料・研究用・医療用途等）と、販売可能な顧客区分の確定。再生医療等安全性確保法の改正等による規制対象化の動向確認。</t>
  </si>
  <si>
    <t xml:space="preserve">薬事専門家・行政書士へ確認し、販売可否ルール初期値を確定</t>
  </si>
  <si>
    <t xml:space="preserve">要件定義完了まで</t>
  </si>
  <si>
    <t xml:space="preserve">未対応</t>
  </si>
  <si>
    <t xml:space="preserve">Q-02</t>
  </si>
  <si>
    <t xml:space="preserve">トレーサビリティ記録の法定保存期間の確認。</t>
  </si>
  <si>
    <t xml:space="preserve">確認結果で非機能要件『保存期間』を確定</t>
  </si>
  <si>
    <t xml:space="preserve">Q-03</t>
  </si>
  <si>
    <t xml:space="preserve">代理店経由で販売した場合、最終販売先（代理店の顧客）まで管理するか。</t>
  </si>
  <si>
    <r>
      <rPr>
        <sz val="10"/>
        <rFont val="WenQuanYi Zen Hei"/>
        <family val="2"/>
      </rPr>
      <t xml:space="preserve">代理店に販売報告をもらい</t>
    </r>
    <r>
      <rPr>
        <sz val="10"/>
        <rFont val="Arial"/>
        <family val="0"/>
        <charset val="1"/>
      </rPr>
      <t xml:space="preserve">CSV</t>
    </r>
    <r>
      <rPr>
        <sz val="10"/>
        <rFont val="WenQuanYi Zen Hei"/>
        <family val="2"/>
      </rPr>
      <t xml:space="preserve">取込する案を検討</t>
    </r>
  </si>
  <si>
    <t xml:space="preserve">基本設計完了まで</t>
  </si>
  <si>
    <t xml:space="preserve">Q-04</t>
  </si>
  <si>
    <r>
      <rPr>
        <sz val="10"/>
        <rFont val="Arial"/>
        <family val="0"/>
        <charset val="1"/>
      </rPr>
      <t xml:space="preserve">1</t>
    </r>
    <r>
      <rPr>
        <sz val="10"/>
        <rFont val="WenQuanYi Zen Hei"/>
        <family val="2"/>
      </rPr>
      <t xml:space="preserve">ロットを小分け（リパック）して販売するケースの有無。</t>
    </r>
  </si>
  <si>
    <r>
      <rPr>
        <sz val="10"/>
        <rFont val="WenQuanYi Zen Hei"/>
        <family val="2"/>
      </rPr>
      <t xml:space="preserve">有りの場合は親子ロット（</t>
    </r>
    <r>
      <rPr>
        <sz val="10"/>
        <rFont val="Arial"/>
        <family val="0"/>
        <charset val="1"/>
      </rPr>
      <t xml:space="preserve">t_lot </t>
    </r>
    <r>
      <rPr>
        <sz val="10"/>
        <rFont val="WenQuanYi Zen Hei"/>
        <family val="2"/>
      </rPr>
      <t xml:space="preserve">に </t>
    </r>
    <r>
      <rPr>
        <sz val="10"/>
        <rFont val="Arial"/>
        <family val="0"/>
        <charset val="1"/>
      </rPr>
      <t xml:space="preserve">parent_lot_id</t>
    </r>
    <r>
      <rPr>
        <sz val="10"/>
        <rFont val="WenQuanYi Zen Hei"/>
        <family val="2"/>
      </rPr>
      <t xml:space="preserve">）を追加</t>
    </r>
  </si>
  <si>
    <t xml:space="preserve">Q-05</t>
  </si>
  <si>
    <t xml:space="preserve">サンプル（無償出荷）もトレース対象とするか。</t>
  </si>
  <si>
    <t xml:space="preserve">対象とする前提で、受注に『無償』区分を追加する案</t>
  </si>
  <si>
    <t xml:space="preserve">Q-06</t>
  </si>
  <si>
    <r>
      <rPr>
        <sz val="10"/>
        <rFont val="WenQuanYi Zen Hei"/>
        <family val="2"/>
      </rPr>
      <t xml:space="preserve">温度ロガー機器からの自動取込（</t>
    </r>
    <r>
      <rPr>
        <sz val="10"/>
        <rFont val="Arial"/>
        <family val="0"/>
        <charset val="1"/>
      </rPr>
      <t xml:space="preserve">API/CSV</t>
    </r>
    <r>
      <rPr>
        <sz val="10"/>
        <rFont val="WenQuanYi Zen Hei"/>
        <family val="2"/>
      </rPr>
      <t xml:space="preserve">）の要否と機種。</t>
    </r>
  </si>
  <si>
    <r>
      <rPr>
        <sz val="10"/>
        <rFont val="WenQuanYi Zen Hei"/>
        <family val="2"/>
      </rPr>
      <t xml:space="preserve">当面は</t>
    </r>
    <r>
      <rPr>
        <sz val="10"/>
        <rFont val="Arial"/>
        <family val="0"/>
        <charset val="1"/>
      </rPr>
      <t xml:space="preserve">CSV</t>
    </r>
    <r>
      <rPr>
        <sz val="10"/>
        <rFont val="WenQuanYi Zen Hei"/>
        <family val="2"/>
      </rPr>
      <t xml:space="preserve">取込で対応</t>
    </r>
  </si>
  <si>
    <t xml:space="preserve">詳細設計まで</t>
  </si>
  <si>
    <t xml:space="preserve">Q-07</t>
  </si>
  <si>
    <r>
      <rPr>
        <sz val="10"/>
        <rFont val="WenQuanYi Zen Hei"/>
        <family val="2"/>
      </rPr>
      <t xml:space="preserve">会計ソフト（</t>
    </r>
    <r>
      <rPr>
        <sz val="10"/>
        <rFont val="Arial"/>
        <family val="0"/>
        <charset val="1"/>
      </rPr>
      <t xml:space="preserve">freee/</t>
    </r>
    <r>
      <rPr>
        <sz val="10"/>
        <rFont val="WenQuanYi Zen Hei"/>
        <family val="2"/>
      </rPr>
      <t xml:space="preserve">マネーフォワード</t>
    </r>
    <r>
      <rPr>
        <sz val="10"/>
        <rFont val="Arial"/>
        <family val="0"/>
        <charset val="1"/>
      </rPr>
      <t xml:space="preserve">/</t>
    </r>
    <r>
      <rPr>
        <sz val="10"/>
        <rFont val="WenQuanYi Zen Hei"/>
        <family val="2"/>
      </rPr>
      <t xml:space="preserve">弥生 等）の機種と取込形式。</t>
    </r>
  </si>
  <si>
    <r>
      <rPr>
        <sz val="10"/>
        <rFont val="WenQuanYi Zen Hei"/>
        <family val="2"/>
      </rPr>
      <t xml:space="preserve">機種確定後に</t>
    </r>
    <r>
      <rPr>
        <sz val="10"/>
        <rFont val="Arial"/>
        <family val="0"/>
        <charset val="1"/>
      </rPr>
      <t xml:space="preserve">RP-08</t>
    </r>
    <r>
      <rPr>
        <sz val="10"/>
        <rFont val="WenQuanYi Zen Hei"/>
        <family val="2"/>
      </rPr>
      <t xml:space="preserve">の項目確定</t>
    </r>
  </si>
  <si>
    <t xml:space="preserve">Q-09</t>
  </si>
  <si>
    <t xml:space="preserve">与信残高の算出方法（入金情報を会計ソフトから取込むか）。</t>
  </si>
  <si>
    <r>
      <rPr>
        <sz val="10"/>
        <rFont val="WenQuanYi Zen Hei"/>
        <family val="2"/>
      </rPr>
      <t xml:space="preserve">当面は </t>
    </r>
    <r>
      <rPr>
        <sz val="10"/>
        <rFont val="Arial"/>
        <family val="0"/>
        <charset val="1"/>
      </rPr>
      <t xml:space="preserve">BR-11 </t>
    </r>
    <r>
      <rPr>
        <sz val="10"/>
        <rFont val="WenQuanYi Zen Hei"/>
        <family val="2"/>
      </rPr>
      <t xml:space="preserve">の簡易算出。会計連携で入金データ取込を検討</t>
    </r>
  </si>
  <si>
    <t xml:space="preserve">Q-10</t>
  </si>
  <si>
    <t xml:space="preserve">温度逸脱時の保留単位。現設計はロット単位（他保管場所の同ロットも停止＝安全側）。保管場所単位にするか。</t>
  </si>
  <si>
    <r>
      <rPr>
        <sz val="10"/>
        <rFont val="Arial"/>
        <family val="0"/>
        <charset val="1"/>
      </rPr>
      <t xml:space="preserve">QA</t>
    </r>
    <r>
      <rPr>
        <sz val="10"/>
        <rFont val="WenQuanYi Zen Hei"/>
        <family val="2"/>
      </rPr>
      <t xml:space="preserve">と協議。保管場所単位にする場合は </t>
    </r>
    <r>
      <rPr>
        <sz val="10"/>
        <rFont val="Arial"/>
        <family val="0"/>
        <charset val="1"/>
      </rPr>
      <t xml:space="preserve">t_inventory </t>
    </r>
    <r>
      <rPr>
        <sz val="10"/>
        <rFont val="WenQuanYi Zen Hei"/>
        <family val="2"/>
      </rPr>
      <t xml:space="preserve">に保留フラグを追加</t>
    </r>
  </si>
  <si>
    <t xml:space="preserve">Q-08</t>
  </si>
  <si>
    <r>
      <rPr>
        <sz val="10"/>
        <rFont val="WenQuanYi Zen Hei"/>
        <family val="2"/>
      </rPr>
      <t xml:space="preserve">第</t>
    </r>
    <r>
      <rPr>
        <sz val="10"/>
        <rFont val="Arial"/>
        <family val="0"/>
        <charset val="1"/>
      </rPr>
      <t xml:space="preserve">1</t>
    </r>
    <r>
      <rPr>
        <sz val="10"/>
        <rFont val="WenQuanYi Zen Hei"/>
        <family val="2"/>
      </rPr>
      <t xml:space="preserve">段階をスプレッドシート＋</t>
    </r>
    <r>
      <rPr>
        <sz val="10"/>
        <rFont val="Arial"/>
        <family val="0"/>
        <charset val="1"/>
      </rPr>
      <t xml:space="preserve">AppSheet </t>
    </r>
    <r>
      <rPr>
        <sz val="10"/>
        <rFont val="WenQuanYi Zen Hei"/>
        <family val="2"/>
      </rPr>
      <t xml:space="preserve">で始めるか、</t>
    </r>
    <r>
      <rPr>
        <sz val="10"/>
        <rFont val="Arial"/>
        <family val="0"/>
        <charset val="1"/>
      </rPr>
      <t xml:space="preserve">Web</t>
    </r>
    <r>
      <rPr>
        <sz val="10"/>
        <rFont val="WenQuanYi Zen Hei"/>
        <family val="2"/>
      </rPr>
      <t xml:space="preserve">アプリで始めるか。</t>
    </r>
  </si>
  <si>
    <t xml:space="preserve">件数・予算・開始時期で判断</t>
  </si>
</sst>
</file>

<file path=xl/styles.xml><?xml version="1.0" encoding="utf-8"?>
<styleSheet xmlns="http://schemas.openxmlformats.org/spreadsheetml/2006/main">
  <numFmts count="2">
    <numFmt numFmtId="164" formatCode="General"/>
    <numFmt numFmtId="165" formatCode="General"/>
  </numFmts>
  <fonts count="23">
    <font>
      <sz val="11"/>
      <color theme="1"/>
      <name val="Calibri"/>
      <family val="2"/>
      <charset val="1"/>
    </font>
    <font>
      <sz val="10"/>
      <name val="Arial"/>
      <family val="0"/>
    </font>
    <font>
      <sz val="10"/>
      <name val="Arial"/>
      <family val="0"/>
    </font>
    <font>
      <sz val="10"/>
      <name val="Arial"/>
      <family val="0"/>
    </font>
    <font>
      <b val="true"/>
      <sz val="16"/>
      <color rgb="FF1F4E5F"/>
      <name val="WenQuanYi Zen Hei"/>
      <family val="2"/>
    </font>
    <font>
      <b val="true"/>
      <sz val="16"/>
      <color rgb="FF1F4E5F"/>
      <name val="Arial"/>
      <family val="0"/>
      <charset val="1"/>
    </font>
    <font>
      <b val="true"/>
      <sz val="14"/>
      <name val="WenQuanYi Zen Hei"/>
      <family val="2"/>
    </font>
    <font>
      <b val="true"/>
      <sz val="10"/>
      <name val="WenQuanYi Zen Hei"/>
      <family val="2"/>
    </font>
    <font>
      <sz val="10"/>
      <name val="Arial"/>
      <family val="0"/>
      <charset val="1"/>
    </font>
    <font>
      <sz val="10"/>
      <name val="WenQuanYi Zen Hei"/>
      <family val="2"/>
    </font>
    <font>
      <b val="true"/>
      <sz val="11"/>
      <color rgb="FF1F4E5F"/>
      <name val="WenQuanYi Zen Hei"/>
      <family val="2"/>
    </font>
    <font>
      <b val="true"/>
      <sz val="10"/>
      <color rgb="FFFFFFFF"/>
      <name val="Arial"/>
      <family val="0"/>
      <charset val="1"/>
    </font>
    <font>
      <b val="true"/>
      <sz val="10"/>
      <color rgb="FFFFFFFF"/>
      <name val="WenQuanYi Zen Hei"/>
      <family val="2"/>
    </font>
    <font>
      <u val="single"/>
      <sz val="10"/>
      <color rgb="FF0563C1"/>
      <name val="WenQuanYi Zen Hei"/>
      <family val="2"/>
    </font>
    <font>
      <u val="single"/>
      <sz val="10"/>
      <color rgb="FF0563C1"/>
      <name val="Arial"/>
      <family val="0"/>
      <charset val="1"/>
    </font>
    <font>
      <i val="true"/>
      <sz val="9"/>
      <color rgb="FF595959"/>
      <name val="WenQuanYi Zen Hei"/>
      <family val="2"/>
    </font>
    <font>
      <i val="true"/>
      <sz val="9"/>
      <color rgb="FF595959"/>
      <name val="Arial"/>
      <family val="0"/>
      <charset val="1"/>
    </font>
    <font>
      <b val="true"/>
      <sz val="11"/>
      <color rgb="FF1F4E5F"/>
      <name val="Arial"/>
      <family val="0"/>
      <charset val="1"/>
    </font>
    <font>
      <b val="true"/>
      <sz val="10"/>
      <name val="Arial"/>
      <family val="0"/>
      <charset val="1"/>
    </font>
    <font>
      <sz val="9"/>
      <name val="Courier New"/>
      <family val="0"/>
      <charset val="1"/>
    </font>
    <font>
      <sz val="9"/>
      <name val="WenQuanYi Zen Hei"/>
      <family val="2"/>
    </font>
    <font>
      <sz val="10"/>
      <color rgb="FFA6A6A6"/>
      <name val="Arial"/>
      <family val="0"/>
      <charset val="1"/>
    </font>
    <font>
      <sz val="10"/>
      <name val="Arial"/>
      <family val="2"/>
    </font>
  </fonts>
  <fills count="7">
    <fill>
      <patternFill patternType="none"/>
    </fill>
    <fill>
      <patternFill patternType="gray125"/>
    </fill>
    <fill>
      <patternFill patternType="solid">
        <fgColor rgb="FF1F4E5F"/>
        <bgColor rgb="FF333333"/>
      </patternFill>
    </fill>
    <fill>
      <patternFill patternType="solid">
        <fgColor rgb="FFD9E7EC"/>
        <bgColor rgb="FFE2EFDA"/>
      </patternFill>
    </fill>
    <fill>
      <patternFill patternType="solid">
        <fgColor rgb="FFFFF2CC"/>
        <bgColor rgb="FFE2EFDA"/>
      </patternFill>
    </fill>
    <fill>
      <patternFill patternType="solid">
        <fgColor rgb="FFFFFF00"/>
        <bgColor rgb="FFFFFF00"/>
      </patternFill>
    </fill>
    <fill>
      <patternFill patternType="solid">
        <fgColor rgb="FFE2EFDA"/>
        <bgColor rgb="FFD9E7EC"/>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12"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D9E7EC"/>
          <bgColor rgb="FF000000"/>
        </patternFill>
      </fill>
    </dxf>
    <dxf>
      <fill>
        <patternFill patternType="solid">
          <fgColor rgb="FF0563C1"/>
          <bgColor rgb="FF000000"/>
        </patternFill>
      </fill>
    </dxf>
    <dxf>
      <fill>
        <patternFill patternType="solid">
          <fgColor rgb="FFFFF2CC"/>
          <bgColor rgb="FF000000"/>
        </patternFill>
      </fill>
    </dxf>
    <dxf>
      <fill>
        <patternFill patternType="solid">
          <fgColor rgb="FFE2EFDA"/>
          <bgColor rgb="FF000000"/>
        </patternFill>
      </fill>
    </dxf>
    <dxf>
      <fill>
        <patternFill patternType="solid">
          <fgColor rgb="FFA6A6A6"/>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7EC"/>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hyperlink" Target="EXO-TRACE_&#35443;&#32048;&#35373;&#35336;&#26360;.xlsx" TargetMode="External"/><Relationship Id="rId3" Type="http://schemas.openxmlformats.org/officeDocument/2006/relationships/hyperlink" Target="EXO-TRACE_&#35443;&#32048;&#35373;&#35336;&#26360;.xlsx" TargetMode="External"/><Relationship Id="rId4" Type="http://schemas.openxmlformats.org/officeDocument/2006/relationships/hyperlink" Target="EXO-TRACE_&#35443;&#32048;&#35373;&#35336;&#26360;.xlsx" TargetMode="External"/><Relationship Id="rId5" Type="http://schemas.openxmlformats.org/officeDocument/2006/relationships/hyperlink" Target="EXO-TRACE_&#35443;&#32048;&#35373;&#35336;&#26360;.xlsx" TargetMode="External"/><Relationship Id="rId6" Type="http://schemas.openxmlformats.org/officeDocument/2006/relationships/hyperlink" Target="EXO-TRACE_&#35443;&#32048;&#35373;&#35336;&#26360;.xlsx" TargetMode="External"/><Relationship Id="rId7" Type="http://schemas.openxmlformats.org/officeDocument/2006/relationships/hyperlink" Target="EXO-TRACE_&#35443;&#32048;&#35373;&#35336;&#26360;.xlsx" TargetMode="External"/><Relationship Id="rId8" Type="http://schemas.openxmlformats.org/officeDocument/2006/relationships/hyperlink" Target="EXO-TRACE_&#35443;&#32048;&#35373;&#35336;&#26360;.xlsx" TargetMode="External"/><Relationship Id="rId9" Type="http://schemas.openxmlformats.org/officeDocument/2006/relationships/hyperlink" Target="EXO-TRACE_&#35443;&#32048;&#35373;&#35336;&#26360;.xlsx" TargetMode="External"/><Relationship Id="rId10" Type="http://schemas.openxmlformats.org/officeDocument/2006/relationships/hyperlink" Target="EXO-TRACE_&#35443;&#32048;&#35373;&#35336;&#26360;.xlsx" TargetMode="External"/><Relationship Id="rId11" Type="http://schemas.openxmlformats.org/officeDocument/2006/relationships/hyperlink" Target="EXO-TRACE_&#35443;&#32048;&#35373;&#35336;&#26360;.xlsx" TargetMode="External"/><Relationship Id="rId12" Type="http://schemas.openxmlformats.org/officeDocument/2006/relationships/hyperlink" Target="EXO-TRACE_&#35443;&#32048;&#35373;&#35336;&#26360;.xlsx" TargetMode="External"/><Relationship Id="rId13" Type="http://schemas.openxmlformats.org/officeDocument/2006/relationships/hyperlink" Target="EXO-TRACE_&#35443;&#32048;&#35373;&#35336;&#26360;.xlsx" TargetMode="External"/><Relationship Id="rId14" Type="http://schemas.openxmlformats.org/officeDocument/2006/relationships/hyperlink" Target="EXO-TRACE_&#35443;&#32048;&#35373;&#35336;&#26360;.xlsx" TargetMode="External"/><Relationship Id="rId15" Type="http://schemas.openxmlformats.org/officeDocument/2006/relationships/hyperlink" Target="EXO-TRACE_&#35443;&#32048;&#35373;&#35336;&#26360;.xlsx" TargetMode="External"/><Relationship Id="rId16" Type="http://schemas.openxmlformats.org/officeDocument/2006/relationships/hyperlink" Target="EXO-TRACE_&#35443;&#32048;&#35373;&#35336;&#26360;.xlsx" TargetMode="External"/><Relationship Id="rId17" Type="http://schemas.openxmlformats.org/officeDocument/2006/relationships/hyperlink" Target="EXO-TRACE_&#35443;&#32048;&#35373;&#35336;&#26360;.xlsx" TargetMode="External"/><Relationship Id="rId18" Type="http://schemas.openxmlformats.org/officeDocument/2006/relationships/hyperlink" Target="EXO-TRACE_&#35443;&#32048;&#35373;&#35336;&#26360;.xlsx" TargetMode="External"/><Relationship Id="rId19" Type="http://schemas.openxmlformats.org/officeDocument/2006/relationships/hyperlink" Target="EXO-TRACE_&#35443;&#32048;&#35373;&#35336;&#26360;.xlsx" TargetMode="External"/><Relationship Id="rId20" Type="http://schemas.openxmlformats.org/officeDocument/2006/relationships/hyperlink" Target="EXO-TRACE_&#35443;&#32048;&#35373;&#35336;&#26360;.xlsx" TargetMode="External"/><Relationship Id="rId21" Type="http://schemas.openxmlformats.org/officeDocument/2006/relationships/hyperlink" Target="EXO-TRACE_&#35443;&#32048;&#35373;&#35336;&#26360;.xlsx" TargetMode="External"/><Relationship Id="rId22" Type="http://schemas.openxmlformats.org/officeDocument/2006/relationships/hyperlink" Target="EXO-TRACE_&#35443;&#32048;&#35373;&#35336;&#26360;.xlsx" TargetMode="External"/><Relationship Id="rId23" Type="http://schemas.openxmlformats.org/officeDocument/2006/relationships/hyperlink" Target="EXO-TRACE_&#35443;&#32048;&#35373;&#35336;&#26360;.xlsx" TargetMode="External"/>
</Relationships>
</file>

<file path=xl/worksheets/_rels/sheet2.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hyperlink" Target="EXO-TRACE_&#35443;&#32048;&#35373;&#35336;&#26360;.xlsx" TargetMode="External"/><Relationship Id="rId3" Type="http://schemas.openxmlformats.org/officeDocument/2006/relationships/hyperlink" Target="EXO-TRACE_&#35443;&#32048;&#35373;&#35336;&#26360;.xlsx" TargetMode="External"/><Relationship Id="rId4" Type="http://schemas.openxmlformats.org/officeDocument/2006/relationships/hyperlink" Target="EXO-TRACE_&#35443;&#32048;&#35373;&#35336;&#26360;.xlsx" TargetMode="External"/><Relationship Id="rId5" Type="http://schemas.openxmlformats.org/officeDocument/2006/relationships/hyperlink" Target="EXO-TRACE_&#35443;&#32048;&#35373;&#35336;&#26360;.xlsx" TargetMode="External"/><Relationship Id="rId6" Type="http://schemas.openxmlformats.org/officeDocument/2006/relationships/hyperlink" Target="EXO-TRACE_&#35443;&#32048;&#35373;&#35336;&#26360;.xlsx" TargetMode="External"/><Relationship Id="rId7" Type="http://schemas.openxmlformats.org/officeDocument/2006/relationships/hyperlink" Target="EXO-TRACE_&#35443;&#32048;&#35373;&#35336;&#26360;.xlsx" TargetMode="External"/><Relationship Id="rId8" Type="http://schemas.openxmlformats.org/officeDocument/2006/relationships/hyperlink" Target="EXO-TRACE_&#35443;&#32048;&#35373;&#35336;&#26360;.xlsx" TargetMode="External"/><Relationship Id="rId9" Type="http://schemas.openxmlformats.org/officeDocument/2006/relationships/hyperlink" Target="EXO-TRACE_&#35443;&#32048;&#35373;&#35336;&#26360;.xlsx" TargetMode="External"/><Relationship Id="rId10" Type="http://schemas.openxmlformats.org/officeDocument/2006/relationships/hyperlink" Target="EXO-TRACE_&#35443;&#32048;&#35373;&#35336;&#26360;.xlsx" TargetMode="External"/><Relationship Id="rId11" Type="http://schemas.openxmlformats.org/officeDocument/2006/relationships/hyperlink" Target="EXO-TRACE_&#35443;&#32048;&#35373;&#35336;&#26360;.xlsx" TargetMode="External"/><Relationship Id="rId12" Type="http://schemas.openxmlformats.org/officeDocument/2006/relationships/hyperlink" Target="EXO-TRACE_&#35443;&#32048;&#35373;&#35336;&#26360;.xlsx" TargetMode="External"/><Relationship Id="rId13" Type="http://schemas.openxmlformats.org/officeDocument/2006/relationships/hyperlink" Target="EXO-TRACE_&#35443;&#32048;&#35373;&#35336;&#26360;.xlsx" TargetMode="External"/><Relationship Id="rId14" Type="http://schemas.openxmlformats.org/officeDocument/2006/relationships/hyperlink" Target="EXO-TRACE_&#35443;&#32048;&#35373;&#35336;&#26360;.xlsx" TargetMode="External"/><Relationship Id="rId15" Type="http://schemas.openxmlformats.org/officeDocument/2006/relationships/hyperlink" Target="EXO-TRACE_&#35443;&#32048;&#35373;&#35336;&#26360;.xlsx" TargetMode="External"/><Relationship Id="rId16" Type="http://schemas.openxmlformats.org/officeDocument/2006/relationships/hyperlink" Target="EXO-TRACE_&#35443;&#32048;&#35373;&#35336;&#26360;.xlsx" TargetMode="External"/><Relationship Id="rId17" Type="http://schemas.openxmlformats.org/officeDocument/2006/relationships/hyperlink" Target="EXO-TRACE_&#35443;&#32048;&#35373;&#35336;&#26360;.xlsx" TargetMode="External"/><Relationship Id="rId18" Type="http://schemas.openxmlformats.org/officeDocument/2006/relationships/hyperlink" Target="EXO-TRACE_&#35443;&#32048;&#35373;&#35336;&#26360;.xlsx" TargetMode="External"/><Relationship Id="rId19" Type="http://schemas.openxmlformats.org/officeDocument/2006/relationships/hyperlink" Target="EXO-TRACE_&#35443;&#32048;&#35373;&#35336;&#26360;.xlsx" TargetMode="External"/><Relationship Id="rId20" Type="http://schemas.openxmlformats.org/officeDocument/2006/relationships/hyperlink" Target="EXO-TRACE_&#35443;&#32048;&#35373;&#35336;&#26360;.xlsx" TargetMode="External"/><Relationship Id="rId21" Type="http://schemas.openxmlformats.org/officeDocument/2006/relationships/hyperlink" Target="EXO-TRACE_&#35443;&#32048;&#35373;&#35336;&#26360;.xlsx" TargetMode="External"/><Relationship Id="rId22" Type="http://schemas.openxmlformats.org/officeDocument/2006/relationships/hyperlink" Target="EXO-TRACE_&#35443;&#32048;&#35373;&#35336;&#26360;.xlsx" TargetMode="External"/><Relationship Id="rId23" Type="http://schemas.openxmlformats.org/officeDocument/2006/relationships/hyperlink" Target="EXO-TRACE_&#35443;&#32048;&#35373;&#35336;&#26360;.xlsx" TargetMode="External"/><Relationship Id="rId24" Type="http://schemas.openxmlformats.org/officeDocument/2006/relationships/hyperlink" Target="EXO-TRACE_&#35443;&#32048;&#35373;&#35336;&#26360;.xlsx" TargetMode="External"/><Relationship Id="rId25" Type="http://schemas.openxmlformats.org/officeDocument/2006/relationships/hyperlink" Target="EXO-TRACE_&#35443;&#32048;&#35373;&#35336;&#26360;.xlsx" TargetMode="External"/><Relationship Id="rId26" Type="http://schemas.openxmlformats.org/officeDocument/2006/relationships/hyperlink" Target="EXO-TRACE_&#35443;&#32048;&#35373;&#35336;&#26360;.xlsx" TargetMode="External"/><Relationship Id="rId27" Type="http://schemas.openxmlformats.org/officeDocument/2006/relationships/hyperlink" Target="EXO-TRACE_&#35443;&#32048;&#35373;&#35336;&#26360;.xlsx" TargetMode="External"/><Relationship Id="rId28"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hyperlink" Target="EXO-TRACE_&#35443;&#32048;&#35373;&#35336;&#26360;.xlsx" TargetMode="External"/>
</Relationships>
</file>

<file path=xl/worksheets/_rels/sheet17.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hyperlink" Target="EXO-TRACE_&#35443;&#32048;&#35373;&#35336;&#26360;.xlsx" TargetMode="External"/><Relationship Id="rId2" Type="http://schemas.openxmlformats.org/officeDocument/2006/relationships/drawing" Target="../drawings/drawing21.x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hyperlink" Target="EXO-TRACE_&#35443;&#32048;&#35373;&#35336;&#26360;.xlsx" TargetMode="External"/><Relationship Id="rId3" Type="http://schemas.openxmlformats.org/officeDocument/2006/relationships/drawing" Target="../drawings/drawing22.xml"/><Relationship Id="rId4"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26"/>
    <col collapsed="false" customWidth="true" hidden="false" outlineLevel="0" max="3" min="3" style="0" width="60"/>
  </cols>
  <sheetData>
    <row r="1" customFormat="false" ht="20.85" hidden="false" customHeight="false" outlineLevel="0" collapsed="false">
      <c r="A1" s="1" t="s">
        <v>0</v>
      </c>
    </row>
    <row r="2" customFormat="false" ht="17.3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5</v>
      </c>
    </row>
    <row r="7" customFormat="false" ht="15" hidden="false" customHeight="false" outlineLevel="0" collapsed="false">
      <c r="A7" s="3" t="s">
        <v>7</v>
      </c>
      <c r="B7" s="4" t="s">
        <v>8</v>
      </c>
    </row>
    <row r="8" customFormat="false" ht="15" hidden="false" customHeight="false" outlineLevel="0" collapsed="false">
      <c r="A8" s="3" t="s">
        <v>9</v>
      </c>
      <c r="B8" s="4" t="s">
        <v>10</v>
      </c>
    </row>
    <row r="10" customFormat="false" ht="15" hidden="false" customHeight="false" outlineLevel="0" collapsed="false">
      <c r="A10" s="5" t="s">
        <v>11</v>
      </c>
    </row>
    <row r="11" customFormat="false" ht="15" hidden="false" customHeight="false" outlineLevel="0" collapsed="false">
      <c r="A11" s="6" t="s">
        <v>12</v>
      </c>
      <c r="B11" s="7" t="n">
        <f aca="false">COUNTA(機能一覧!A4:A2000)</f>
        <v>34</v>
      </c>
    </row>
    <row r="12" customFormat="false" ht="15" hidden="false" customHeight="false" outlineLevel="0" collapsed="false">
      <c r="A12" s="6" t="s">
        <v>13</v>
      </c>
      <c r="B12" s="7" t="n">
        <f aca="false">COUNTIF(機能一覧!E:E,"MUST")</f>
        <v>27</v>
      </c>
    </row>
    <row r="13" customFormat="false" ht="15" hidden="false" customHeight="false" outlineLevel="0" collapsed="false">
      <c r="A13" s="6" t="s">
        <v>14</v>
      </c>
      <c r="B13" s="7" t="n">
        <f aca="false">COUNTA(画面一覧!A4:A2000)</f>
        <v>24</v>
      </c>
    </row>
    <row r="14" customFormat="false" ht="15" hidden="false" customHeight="false" outlineLevel="0" collapsed="false">
      <c r="A14" s="6" t="s">
        <v>15</v>
      </c>
      <c r="B14" s="7" t="n">
        <f aca="false">COUNTA(画面項目定義!A4:A2000)</f>
        <v>155</v>
      </c>
    </row>
    <row r="15" customFormat="false" ht="15" hidden="false" customHeight="false" outlineLevel="0" collapsed="false">
      <c r="A15" s="8" t="s">
        <v>16</v>
      </c>
      <c r="B15" s="7" t="n">
        <f aca="false">COUNTA(API一覧!A4:A2000)</f>
        <v>50</v>
      </c>
    </row>
    <row r="16" customFormat="false" ht="15" hidden="false" customHeight="false" outlineLevel="0" collapsed="false">
      <c r="A16" s="6" t="s">
        <v>17</v>
      </c>
      <c r="B16" s="7" t="n">
        <f aca="false">COUNTA(テーブル一覧!A4:A2000)</f>
        <v>26</v>
      </c>
    </row>
    <row r="17" customFormat="false" ht="15" hidden="false" customHeight="false" outlineLevel="0" collapsed="false">
      <c r="A17" s="6" t="s">
        <v>18</v>
      </c>
      <c r="B17" s="7" t="n">
        <f aca="false">SUM(テーブル一覧!E:E)</f>
        <v>353</v>
      </c>
    </row>
    <row r="18" customFormat="false" ht="15" hidden="false" customHeight="false" outlineLevel="0" collapsed="false">
      <c r="A18" s="6" t="s">
        <v>19</v>
      </c>
      <c r="B18" s="7" t="n">
        <f aca="false">COUNTA(業務ルール!A4:A2000)</f>
        <v>20</v>
      </c>
    </row>
    <row r="19" customFormat="false" ht="15" hidden="false" customHeight="false" outlineLevel="0" collapsed="false">
      <c r="A19" s="6" t="s">
        <v>20</v>
      </c>
      <c r="B19" s="7" t="n">
        <f aca="false">COUNTIF(課題一覧!F:F,"未対応")</f>
        <v>10</v>
      </c>
    </row>
    <row r="20" customFormat="false" ht="15" hidden="false" customHeight="false" outlineLevel="0" collapsed="false">
      <c r="A20" s="6" t="s">
        <v>21</v>
      </c>
      <c r="B20" s="7" t="n">
        <f aca="false">COUNTA(レビュー記録!A4:A2000)</f>
        <v>50</v>
      </c>
    </row>
    <row r="21" customFormat="false" ht="15" hidden="false" customHeight="false" outlineLevel="0" collapsed="false">
      <c r="A21" s="6" t="s">
        <v>22</v>
      </c>
      <c r="B21" s="7" t="n">
        <f aca="false">COUNTIF(レビュー記録!F:F,"対応済")</f>
        <v>50</v>
      </c>
    </row>
    <row r="23" customFormat="false" ht="15" hidden="false" customHeight="false" outlineLevel="0" collapsed="false">
      <c r="A23" s="5" t="s">
        <v>23</v>
      </c>
    </row>
    <row r="24" customFormat="false" ht="15" hidden="false" customHeight="false" outlineLevel="0" collapsed="false">
      <c r="A24" s="9" t="s">
        <v>24</v>
      </c>
      <c r="B24" s="10" t="s">
        <v>25</v>
      </c>
      <c r="C24" s="10" t="s">
        <v>26</v>
      </c>
    </row>
    <row r="25" customFormat="false" ht="15" hidden="false" customHeight="false" outlineLevel="0" collapsed="false">
      <c r="A25" s="11" t="n">
        <v>1</v>
      </c>
      <c r="B25" s="12" t="s">
        <v>27</v>
      </c>
      <c r="C25" s="6" t="s">
        <v>28</v>
      </c>
    </row>
    <row r="26" customFormat="false" ht="15" hidden="false" customHeight="false" outlineLevel="0" collapsed="false">
      <c r="A26" s="11" t="n">
        <v>2</v>
      </c>
      <c r="B26" s="12" t="s">
        <v>29</v>
      </c>
      <c r="C26" s="6" t="s">
        <v>30</v>
      </c>
    </row>
    <row r="27" customFormat="false" ht="15" hidden="false" customHeight="false" outlineLevel="0" collapsed="false">
      <c r="A27" s="11" t="n">
        <v>3</v>
      </c>
      <c r="B27" s="12" t="s">
        <v>31</v>
      </c>
      <c r="C27" s="6" t="s">
        <v>32</v>
      </c>
    </row>
    <row r="28" customFormat="false" ht="15" hidden="false" customHeight="false" outlineLevel="0" collapsed="false">
      <c r="A28" s="11" t="n">
        <v>4</v>
      </c>
      <c r="B28" s="12" t="s">
        <v>33</v>
      </c>
      <c r="C28" s="6" t="s">
        <v>34</v>
      </c>
    </row>
    <row r="29" customFormat="false" ht="15" hidden="false" customHeight="false" outlineLevel="0" collapsed="false">
      <c r="A29" s="11" t="n">
        <v>5</v>
      </c>
      <c r="B29" s="12" t="s">
        <v>35</v>
      </c>
      <c r="C29" s="6" t="s">
        <v>36</v>
      </c>
    </row>
    <row r="30" customFormat="false" ht="15" hidden="false" customHeight="false" outlineLevel="0" collapsed="false">
      <c r="A30" s="11" t="n">
        <v>6</v>
      </c>
      <c r="B30" s="12" t="s">
        <v>37</v>
      </c>
      <c r="C30" s="6" t="s">
        <v>38</v>
      </c>
    </row>
    <row r="31" customFormat="false" ht="15" hidden="false" customHeight="false" outlineLevel="0" collapsed="false">
      <c r="A31" s="11" t="n">
        <v>7</v>
      </c>
      <c r="B31" s="12" t="s">
        <v>39</v>
      </c>
      <c r="C31" s="6" t="s">
        <v>40</v>
      </c>
    </row>
    <row r="32" customFormat="false" ht="15" hidden="false" customHeight="false" outlineLevel="0" collapsed="false">
      <c r="A32" s="11" t="n">
        <v>8</v>
      </c>
      <c r="B32" s="13" t="s">
        <v>41</v>
      </c>
      <c r="C32" s="8" t="s">
        <v>42</v>
      </c>
    </row>
    <row r="33" customFormat="false" ht="15" hidden="false" customHeight="false" outlineLevel="0" collapsed="false">
      <c r="A33" s="11" t="n">
        <v>9</v>
      </c>
      <c r="B33" s="12" t="s">
        <v>43</v>
      </c>
      <c r="C33" s="6" t="s">
        <v>44</v>
      </c>
    </row>
    <row r="34" customFormat="false" ht="15" hidden="false" customHeight="false" outlineLevel="0" collapsed="false">
      <c r="A34" s="11" t="n">
        <v>10</v>
      </c>
      <c r="B34" s="12" t="s">
        <v>45</v>
      </c>
      <c r="C34" s="6" t="s">
        <v>46</v>
      </c>
    </row>
    <row r="35" customFormat="false" ht="15" hidden="false" customHeight="false" outlineLevel="0" collapsed="false">
      <c r="A35" s="11" t="n">
        <v>11</v>
      </c>
      <c r="B35" s="12" t="s">
        <v>47</v>
      </c>
      <c r="C35" s="6" t="s">
        <v>48</v>
      </c>
    </row>
    <row r="36" customFormat="false" ht="15" hidden="false" customHeight="false" outlineLevel="0" collapsed="false">
      <c r="A36" s="11" t="n">
        <v>12</v>
      </c>
      <c r="B36" s="12" t="s">
        <v>49</v>
      </c>
      <c r="C36" s="6" t="s">
        <v>50</v>
      </c>
    </row>
    <row r="37" customFormat="false" ht="15" hidden="false" customHeight="false" outlineLevel="0" collapsed="false">
      <c r="A37" s="11" t="n">
        <v>13</v>
      </c>
      <c r="B37" s="12" t="s">
        <v>51</v>
      </c>
      <c r="C37" s="6" t="s">
        <v>52</v>
      </c>
    </row>
    <row r="38" customFormat="false" ht="15" hidden="false" customHeight="false" outlineLevel="0" collapsed="false">
      <c r="A38" s="11" t="n">
        <v>14</v>
      </c>
      <c r="B38" s="12" t="s">
        <v>53</v>
      </c>
      <c r="C38" s="6" t="s">
        <v>54</v>
      </c>
    </row>
    <row r="39" customFormat="false" ht="15" hidden="false" customHeight="false" outlineLevel="0" collapsed="false">
      <c r="A39" s="11" t="n">
        <v>15</v>
      </c>
      <c r="B39" s="13" t="s">
        <v>55</v>
      </c>
      <c r="C39" s="8" t="s">
        <v>56</v>
      </c>
    </row>
    <row r="40" customFormat="false" ht="15" hidden="false" customHeight="false" outlineLevel="0" collapsed="false">
      <c r="A40" s="11" t="n">
        <v>16</v>
      </c>
      <c r="B40" s="12" t="s">
        <v>57</v>
      </c>
      <c r="C40" s="6" t="s">
        <v>58</v>
      </c>
    </row>
    <row r="41" customFormat="false" ht="15" hidden="false" customHeight="false" outlineLevel="0" collapsed="false">
      <c r="A41" s="11" t="n">
        <v>17</v>
      </c>
      <c r="B41" s="12" t="s">
        <v>59</v>
      </c>
      <c r="C41" s="6" t="s">
        <v>60</v>
      </c>
    </row>
    <row r="42" customFormat="false" ht="15" hidden="false" customHeight="false" outlineLevel="0" collapsed="false">
      <c r="A42" s="11" t="n">
        <v>18</v>
      </c>
      <c r="B42" s="12" t="s">
        <v>61</v>
      </c>
      <c r="C42" s="6" t="s">
        <v>62</v>
      </c>
    </row>
    <row r="43" customFormat="false" ht="15" hidden="false" customHeight="false" outlineLevel="0" collapsed="false">
      <c r="A43" s="11" t="n">
        <v>19</v>
      </c>
      <c r="B43" s="12" t="s">
        <v>63</v>
      </c>
      <c r="C43" s="6" t="s">
        <v>64</v>
      </c>
    </row>
    <row r="44" customFormat="false" ht="15" hidden="false" customHeight="false" outlineLevel="0" collapsed="false">
      <c r="A44" s="11" t="n">
        <v>20</v>
      </c>
      <c r="B44" s="12" t="s">
        <v>65</v>
      </c>
      <c r="C44" s="6" t="s">
        <v>66</v>
      </c>
    </row>
    <row r="45" customFormat="false" ht="15" hidden="false" customHeight="false" outlineLevel="0" collapsed="false">
      <c r="A45" s="11" t="n">
        <v>21</v>
      </c>
      <c r="B45" s="12" t="s">
        <v>67</v>
      </c>
      <c r="C45" s="6" t="s">
        <v>68</v>
      </c>
    </row>
    <row r="46" customFormat="false" ht="15" hidden="false" customHeight="false" outlineLevel="0" collapsed="false">
      <c r="A46" s="11" t="n">
        <v>22</v>
      </c>
      <c r="B46" s="12" t="s">
        <v>69</v>
      </c>
      <c r="C46" s="6" t="s">
        <v>70</v>
      </c>
    </row>
    <row r="47" customFormat="false" ht="15" hidden="false" customHeight="false" outlineLevel="0" collapsed="false">
      <c r="A47" s="11" t="n">
        <v>23</v>
      </c>
      <c r="B47" s="12" t="s">
        <v>71</v>
      </c>
      <c r="C47" s="6" t="s">
        <v>72</v>
      </c>
    </row>
    <row r="49" customFormat="false" ht="15" hidden="false" customHeight="false" outlineLevel="0" collapsed="false">
      <c r="A49" s="5" t="s">
        <v>73</v>
      </c>
    </row>
    <row r="50" customFormat="false" ht="15" hidden="false" customHeight="false" outlineLevel="0" collapsed="false">
      <c r="A50" s="14"/>
      <c r="B50" s="15" t="s">
        <v>74</v>
      </c>
    </row>
    <row r="51" customFormat="false" ht="15" hidden="false" customHeight="false" outlineLevel="0" collapsed="false">
      <c r="A51" s="16"/>
      <c r="B51" s="15" t="s">
        <v>75</v>
      </c>
    </row>
    <row r="52" customFormat="false" ht="15" hidden="false" customHeight="false" outlineLevel="0" collapsed="false">
      <c r="A52" s="17"/>
      <c r="B52" s="15" t="s">
        <v>76</v>
      </c>
    </row>
    <row r="53" customFormat="false" ht="15" hidden="false" customHeight="false" outlineLevel="0" collapsed="false">
      <c r="A53" s="18"/>
      <c r="B53" s="15" t="s">
        <v>77</v>
      </c>
    </row>
  </sheetData>
  <hyperlinks>
    <hyperlink ref="B25" r:id="rId1" location="'改訂履歴'!A1" display="改訂履歴"/>
    <hyperlink ref="B26" r:id="rId2" location="'レビュー記録'!A1" display="レビュー記録"/>
    <hyperlink ref="B27" r:id="rId3" location="'システム概要'!A1" display="システム概要"/>
    <hyperlink ref="B28" r:id="rId4" location="'業務フロー'!A1" display="業務フロー"/>
    <hyperlink ref="B29" r:id="rId5" location="'機能一覧'!A1" display="機能一覧"/>
    <hyperlink ref="B30" r:id="rId6" location="'画面一覧'!A1" display="画面一覧"/>
    <hyperlink ref="B31" r:id="rId7" location="'画面項目定義'!A1" display="画面項目定義"/>
    <hyperlink ref="B32" r:id="rId8" location="'API一覧'!A1" display="API一覧"/>
    <hyperlink ref="B33" r:id="rId9" location="'処理詳細'!A1" display="処理詳細"/>
    <hyperlink ref="B34" r:id="rId10" location="'業務ルール'!A1" display="業務ルール"/>
    <hyperlink ref="B35" r:id="rId11" location="'状態遷移'!A1" display="状態遷移"/>
    <hyperlink ref="B36" r:id="rId12" location="'テーブル一覧'!A1" display="テーブル一覧"/>
    <hyperlink ref="B37" r:id="rId13" location="'項目定義'!A1" display="項目定義"/>
    <hyperlink ref="B38" r:id="rId14" location="'インデックス・制約'!A1" display="インデックス・制約"/>
    <hyperlink ref="B39" r:id="rId15" location="'DDL'!A1" display="DDL"/>
    <hyperlink ref="B40" r:id="rId16" location="'主要SQL'!A1" display="主要SQL"/>
    <hyperlink ref="B41" r:id="rId17" location="'コード定義'!A1" display="コード定義"/>
    <hyperlink ref="B42" r:id="rId18" location="'権限マトリクス'!A1" display="権限マトリクス"/>
    <hyperlink ref="B43" r:id="rId19" location="'メッセージ一覧'!A1" display="メッセージ一覧"/>
    <hyperlink ref="B44" r:id="rId20" location="'帳票一覧'!A1" display="帳票一覧"/>
    <hyperlink ref="B45" r:id="rId21" location="'バッチ一覧'!A1" display="バッチ一覧"/>
    <hyperlink ref="B46" r:id="rId22" location="'非機能要件'!A1" display="非機能要件"/>
    <hyperlink ref="B47" r:id="rId23" location="'課題一覧'!A1" display="課題一覧"/>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0"/>
    <col collapsed="false" customWidth="true" hidden="false" outlineLevel="0" max="4" min="4" style="0" width="90"/>
    <col collapsed="false" customWidth="true" hidden="false" outlineLevel="0" max="5" min="5" style="0" width="14"/>
  </cols>
  <sheetData>
    <row r="1" customFormat="false" ht="15" hidden="false" customHeight="false" outlineLevel="0" collapsed="false">
      <c r="A1" s="5" t="s">
        <v>27</v>
      </c>
      <c r="E1" s="19" t="s">
        <v>78</v>
      </c>
    </row>
    <row r="3" customFormat="false" ht="15" hidden="false" customHeight="false" outlineLevel="0" collapsed="false">
      <c r="A3" s="10" t="s">
        <v>79</v>
      </c>
      <c r="B3" s="10" t="s">
        <v>80</v>
      </c>
      <c r="C3" s="10" t="s">
        <v>81</v>
      </c>
      <c r="D3" s="10" t="s">
        <v>26</v>
      </c>
      <c r="E3" s="10" t="s">
        <v>82</v>
      </c>
    </row>
    <row r="4" customFormat="false" ht="15" hidden="false" customHeight="false" outlineLevel="0" collapsed="false">
      <c r="A4" s="11" t="s">
        <v>83</v>
      </c>
      <c r="B4" s="11" t="s">
        <v>5</v>
      </c>
      <c r="C4" s="20" t="s">
        <v>84</v>
      </c>
      <c r="D4" s="21" t="s">
        <v>85</v>
      </c>
      <c r="E4" s="22" t="s">
        <v>86</v>
      </c>
    </row>
    <row r="5" customFormat="false" ht="26.85" hidden="false" customHeight="false" outlineLevel="0" collapsed="false">
      <c r="A5" s="11" t="s">
        <v>87</v>
      </c>
      <c r="B5" s="11" t="s">
        <v>5</v>
      </c>
      <c r="C5" s="20" t="s">
        <v>88</v>
      </c>
      <c r="D5" s="21" t="s">
        <v>89</v>
      </c>
      <c r="E5" s="22" t="s">
        <v>86</v>
      </c>
    </row>
    <row r="6" customFormat="false" ht="26.85" hidden="false" customHeight="false" outlineLevel="0" collapsed="false">
      <c r="A6" s="11" t="s">
        <v>90</v>
      </c>
      <c r="B6" s="11" t="s">
        <v>5</v>
      </c>
      <c r="C6" s="20" t="s">
        <v>88</v>
      </c>
      <c r="D6" s="21" t="s">
        <v>91</v>
      </c>
      <c r="E6" s="22" t="s">
        <v>86</v>
      </c>
    </row>
    <row r="7" customFormat="false" ht="39.55" hidden="false" customHeight="false" outlineLevel="0" collapsed="false">
      <c r="A7" s="11" t="s">
        <v>92</v>
      </c>
      <c r="B7" s="11" t="s">
        <v>5</v>
      </c>
      <c r="C7" s="20" t="s">
        <v>88</v>
      </c>
      <c r="D7" s="21" t="s">
        <v>93</v>
      </c>
      <c r="E7" s="22" t="s">
        <v>86</v>
      </c>
    </row>
    <row r="8" customFormat="false" ht="26.85" hidden="false" customHeight="false" outlineLevel="0" collapsed="false">
      <c r="A8" s="11" t="s">
        <v>3</v>
      </c>
      <c r="B8" s="11" t="s">
        <v>5</v>
      </c>
      <c r="C8" s="20" t="s">
        <v>94</v>
      </c>
      <c r="D8" s="21" t="s">
        <v>95</v>
      </c>
      <c r="E8" s="22" t="s">
        <v>86</v>
      </c>
    </row>
  </sheetData>
  <autoFilter ref="A3:E8"/>
  <hyperlinks>
    <hyperlink ref="E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8"/>
    <col collapsed="false" customWidth="true" hidden="false" outlineLevel="0" max="5" min="4" style="0" width="60"/>
    <col collapsed="false" customWidth="true" hidden="false" outlineLevel="0" max="6" min="6" style="0" width="9"/>
    <col collapsed="false" customWidth="true" hidden="false" outlineLevel="0" max="7" min="7" style="0" width="8"/>
  </cols>
  <sheetData>
    <row r="1" customFormat="false" ht="15" hidden="false" customHeight="false" outlineLevel="0" collapsed="false">
      <c r="A1" s="5" t="s">
        <v>96</v>
      </c>
      <c r="G1" s="19" t="s">
        <v>78</v>
      </c>
    </row>
    <row r="2" customFormat="false" ht="15" hidden="false" customHeight="false" outlineLevel="0" collapsed="false">
      <c r="A2" s="23" t="s">
        <v>97</v>
      </c>
    </row>
    <row r="3" customFormat="false" ht="15" hidden="false" customHeight="false" outlineLevel="0" collapsed="false">
      <c r="A3" s="9" t="s">
        <v>24</v>
      </c>
      <c r="B3" s="10" t="s">
        <v>98</v>
      </c>
      <c r="C3" s="10" t="s">
        <v>99</v>
      </c>
      <c r="D3" s="10" t="s">
        <v>100</v>
      </c>
      <c r="E3" s="10" t="s">
        <v>101</v>
      </c>
      <c r="F3" s="10" t="s">
        <v>102</v>
      </c>
      <c r="G3" s="10" t="s">
        <v>103</v>
      </c>
    </row>
    <row r="4" customFormat="false" ht="15" hidden="false" customHeight="false" outlineLevel="0" collapsed="false">
      <c r="A4" s="11" t="s">
        <v>104</v>
      </c>
      <c r="B4" s="11" t="n">
        <v>1</v>
      </c>
      <c r="C4" s="21" t="s">
        <v>105</v>
      </c>
      <c r="D4" s="22" t="s">
        <v>106</v>
      </c>
      <c r="E4" s="22" t="s">
        <v>107</v>
      </c>
      <c r="F4" s="20" t="s">
        <v>108</v>
      </c>
      <c r="G4" s="11" t="s">
        <v>87</v>
      </c>
    </row>
    <row r="5" customFormat="false" ht="15" hidden="false" customHeight="false" outlineLevel="0" collapsed="false">
      <c r="A5" s="11" t="s">
        <v>109</v>
      </c>
      <c r="B5" s="11" t="n">
        <v>1</v>
      </c>
      <c r="C5" s="21" t="s">
        <v>110</v>
      </c>
      <c r="D5" s="22" t="s">
        <v>111</v>
      </c>
      <c r="E5" s="21" t="s">
        <v>112</v>
      </c>
      <c r="F5" s="20" t="s">
        <v>108</v>
      </c>
      <c r="G5" s="11" t="s">
        <v>87</v>
      </c>
    </row>
    <row r="6" customFormat="false" ht="26.85" hidden="false" customHeight="false" outlineLevel="0" collapsed="false">
      <c r="A6" s="11" t="s">
        <v>113</v>
      </c>
      <c r="B6" s="11" t="n">
        <v>1</v>
      </c>
      <c r="C6" s="21" t="s">
        <v>110</v>
      </c>
      <c r="D6" s="22" t="s">
        <v>114</v>
      </c>
      <c r="E6" s="21" t="s">
        <v>115</v>
      </c>
      <c r="F6" s="20" t="s">
        <v>108</v>
      </c>
      <c r="G6" s="11" t="s">
        <v>87</v>
      </c>
    </row>
    <row r="7" customFormat="false" ht="15" hidden="false" customHeight="false" outlineLevel="0" collapsed="false">
      <c r="A7" s="11" t="s">
        <v>116</v>
      </c>
      <c r="B7" s="11" t="n">
        <v>1</v>
      </c>
      <c r="C7" s="21" t="s">
        <v>110</v>
      </c>
      <c r="D7" s="21" t="s">
        <v>117</v>
      </c>
      <c r="E7" s="22" t="s">
        <v>118</v>
      </c>
      <c r="F7" s="20" t="s">
        <v>108</v>
      </c>
      <c r="G7" s="11" t="s">
        <v>87</v>
      </c>
    </row>
    <row r="8" customFormat="false" ht="15" hidden="false" customHeight="false" outlineLevel="0" collapsed="false">
      <c r="A8" s="11" t="s">
        <v>119</v>
      </c>
      <c r="B8" s="11" t="n">
        <v>1</v>
      </c>
      <c r="C8" s="21" t="s">
        <v>110</v>
      </c>
      <c r="D8" s="21" t="s">
        <v>120</v>
      </c>
      <c r="E8" s="22" t="s">
        <v>121</v>
      </c>
      <c r="F8" s="20" t="s">
        <v>108</v>
      </c>
      <c r="G8" s="11" t="s">
        <v>87</v>
      </c>
    </row>
    <row r="9" customFormat="false" ht="15" hidden="false" customHeight="false" outlineLevel="0" collapsed="false">
      <c r="A9" s="11" t="s">
        <v>122</v>
      </c>
      <c r="B9" s="11" t="n">
        <v>1</v>
      </c>
      <c r="C9" s="21" t="s">
        <v>123</v>
      </c>
      <c r="D9" s="21" t="s">
        <v>124</v>
      </c>
      <c r="E9" s="21" t="s">
        <v>125</v>
      </c>
      <c r="F9" s="20" t="s">
        <v>108</v>
      </c>
      <c r="G9" s="11" t="s">
        <v>87</v>
      </c>
    </row>
    <row r="10" customFormat="false" ht="26.85" hidden="false" customHeight="false" outlineLevel="0" collapsed="false">
      <c r="A10" s="11" t="s">
        <v>126</v>
      </c>
      <c r="B10" s="11" t="n">
        <v>1</v>
      </c>
      <c r="C10" s="21" t="s">
        <v>123</v>
      </c>
      <c r="D10" s="21" t="s">
        <v>127</v>
      </c>
      <c r="E10" s="21" t="s">
        <v>128</v>
      </c>
      <c r="F10" s="20" t="s">
        <v>108</v>
      </c>
      <c r="G10" s="11" t="s">
        <v>87</v>
      </c>
    </row>
    <row r="11" customFormat="false" ht="15" hidden="false" customHeight="false" outlineLevel="0" collapsed="false">
      <c r="A11" s="11" t="s">
        <v>129</v>
      </c>
      <c r="B11" s="11" t="n">
        <v>1</v>
      </c>
      <c r="C11" s="21" t="s">
        <v>130</v>
      </c>
      <c r="D11" s="21" t="s">
        <v>131</v>
      </c>
      <c r="E11" s="22" t="s">
        <v>132</v>
      </c>
      <c r="F11" s="20" t="s">
        <v>108</v>
      </c>
      <c r="G11" s="11" t="s">
        <v>87</v>
      </c>
    </row>
    <row r="12" customFormat="false" ht="26.85" hidden="false" customHeight="false" outlineLevel="0" collapsed="false">
      <c r="A12" s="11" t="s">
        <v>133</v>
      </c>
      <c r="B12" s="11" t="n">
        <v>2</v>
      </c>
      <c r="C12" s="21" t="s">
        <v>134</v>
      </c>
      <c r="D12" s="21" t="s">
        <v>135</v>
      </c>
      <c r="E12" s="22" t="s">
        <v>136</v>
      </c>
      <c r="F12" s="20" t="s">
        <v>108</v>
      </c>
      <c r="G12" s="11" t="s">
        <v>90</v>
      </c>
    </row>
    <row r="13" customFormat="false" ht="26.85" hidden="false" customHeight="false" outlineLevel="0" collapsed="false">
      <c r="A13" s="11" t="s">
        <v>137</v>
      </c>
      <c r="B13" s="11" t="n">
        <v>2</v>
      </c>
      <c r="C13" s="21" t="s">
        <v>138</v>
      </c>
      <c r="D13" s="22" t="s">
        <v>139</v>
      </c>
      <c r="E13" s="21" t="s">
        <v>140</v>
      </c>
      <c r="F13" s="20" t="s">
        <v>108</v>
      </c>
      <c r="G13" s="11" t="s">
        <v>90</v>
      </c>
    </row>
    <row r="14" customFormat="false" ht="26.85" hidden="false" customHeight="false" outlineLevel="0" collapsed="false">
      <c r="A14" s="11" t="s">
        <v>141</v>
      </c>
      <c r="B14" s="11" t="n">
        <v>2</v>
      </c>
      <c r="C14" s="21" t="s">
        <v>47</v>
      </c>
      <c r="D14" s="22" t="s">
        <v>142</v>
      </c>
      <c r="E14" s="21" t="s">
        <v>143</v>
      </c>
      <c r="F14" s="20" t="s">
        <v>108</v>
      </c>
      <c r="G14" s="11" t="s">
        <v>90</v>
      </c>
    </row>
    <row r="15" customFormat="false" ht="26.85" hidden="false" customHeight="false" outlineLevel="0" collapsed="false">
      <c r="A15" s="11" t="s">
        <v>144</v>
      </c>
      <c r="B15" s="11" t="n">
        <v>2</v>
      </c>
      <c r="C15" s="21" t="s">
        <v>145</v>
      </c>
      <c r="D15" s="21" t="s">
        <v>146</v>
      </c>
      <c r="E15" s="21" t="s">
        <v>147</v>
      </c>
      <c r="F15" s="20" t="s">
        <v>108</v>
      </c>
      <c r="G15" s="11" t="s">
        <v>90</v>
      </c>
    </row>
    <row r="16" customFormat="false" ht="26.85" hidden="false" customHeight="false" outlineLevel="0" collapsed="false">
      <c r="A16" s="11" t="s">
        <v>148</v>
      </c>
      <c r="B16" s="11" t="n">
        <v>2</v>
      </c>
      <c r="C16" s="21" t="s">
        <v>149</v>
      </c>
      <c r="D16" s="21" t="s">
        <v>150</v>
      </c>
      <c r="E16" s="22" t="s">
        <v>151</v>
      </c>
      <c r="F16" s="20" t="s">
        <v>108</v>
      </c>
      <c r="G16" s="11" t="s">
        <v>90</v>
      </c>
    </row>
    <row r="17" customFormat="false" ht="26.85" hidden="false" customHeight="false" outlineLevel="0" collapsed="false">
      <c r="A17" s="11" t="s">
        <v>152</v>
      </c>
      <c r="B17" s="11" t="n">
        <v>2</v>
      </c>
      <c r="C17" s="21" t="s">
        <v>153</v>
      </c>
      <c r="D17" s="22" t="s">
        <v>154</v>
      </c>
      <c r="E17" s="22" t="s">
        <v>155</v>
      </c>
      <c r="F17" s="20" t="s">
        <v>108</v>
      </c>
      <c r="G17" s="11" t="s">
        <v>90</v>
      </c>
    </row>
    <row r="18" customFormat="false" ht="15" hidden="false" customHeight="false" outlineLevel="0" collapsed="false">
      <c r="A18" s="11" t="s">
        <v>156</v>
      </c>
      <c r="B18" s="11" t="n">
        <v>2</v>
      </c>
      <c r="C18" s="21" t="s">
        <v>157</v>
      </c>
      <c r="D18" s="21" t="s">
        <v>158</v>
      </c>
      <c r="E18" s="21" t="s">
        <v>159</v>
      </c>
      <c r="F18" s="20" t="s">
        <v>108</v>
      </c>
      <c r="G18" s="11" t="s">
        <v>90</v>
      </c>
    </row>
    <row r="19" customFormat="false" ht="26.85" hidden="false" customHeight="false" outlineLevel="0" collapsed="false">
      <c r="A19" s="11" t="s">
        <v>160</v>
      </c>
      <c r="B19" s="11" t="n">
        <v>2</v>
      </c>
      <c r="C19" s="21" t="s">
        <v>161</v>
      </c>
      <c r="D19" s="21" t="s">
        <v>162</v>
      </c>
      <c r="E19" s="22" t="s">
        <v>163</v>
      </c>
      <c r="F19" s="20" t="s">
        <v>108</v>
      </c>
      <c r="G19" s="11" t="s">
        <v>90</v>
      </c>
    </row>
    <row r="20" customFormat="false" ht="15" hidden="false" customHeight="false" outlineLevel="0" collapsed="false">
      <c r="A20" s="11" t="s">
        <v>164</v>
      </c>
      <c r="B20" s="11" t="n">
        <v>2</v>
      </c>
      <c r="C20" s="21" t="s">
        <v>161</v>
      </c>
      <c r="D20" s="22" t="s">
        <v>165</v>
      </c>
      <c r="E20" s="22" t="s">
        <v>166</v>
      </c>
      <c r="F20" s="20" t="s">
        <v>108</v>
      </c>
      <c r="G20" s="11" t="s">
        <v>90</v>
      </c>
    </row>
    <row r="21" customFormat="false" ht="15" hidden="false" customHeight="false" outlineLevel="0" collapsed="false">
      <c r="A21" s="11" t="s">
        <v>167</v>
      </c>
      <c r="B21" s="11" t="n">
        <v>2</v>
      </c>
      <c r="C21" s="21" t="s">
        <v>45</v>
      </c>
      <c r="D21" s="21" t="s">
        <v>168</v>
      </c>
      <c r="E21" s="21" t="s">
        <v>169</v>
      </c>
      <c r="F21" s="20" t="s">
        <v>108</v>
      </c>
      <c r="G21" s="11" t="s">
        <v>90</v>
      </c>
    </row>
    <row r="22" customFormat="false" ht="15" hidden="false" customHeight="false" outlineLevel="0" collapsed="false">
      <c r="A22" s="11" t="s">
        <v>170</v>
      </c>
      <c r="B22" s="11" t="n">
        <v>2</v>
      </c>
      <c r="C22" s="21" t="s">
        <v>171</v>
      </c>
      <c r="D22" s="21" t="s">
        <v>172</v>
      </c>
      <c r="E22" s="22" t="s">
        <v>173</v>
      </c>
      <c r="F22" s="20" t="s">
        <v>108</v>
      </c>
      <c r="G22" s="11" t="s">
        <v>90</v>
      </c>
    </row>
    <row r="23" customFormat="false" ht="15" hidden="false" customHeight="false" outlineLevel="0" collapsed="false">
      <c r="A23" s="11" t="s">
        <v>174</v>
      </c>
      <c r="B23" s="11" t="n">
        <v>2</v>
      </c>
      <c r="C23" s="21" t="s">
        <v>175</v>
      </c>
      <c r="D23" s="21" t="s">
        <v>176</v>
      </c>
      <c r="E23" s="22" t="s">
        <v>177</v>
      </c>
      <c r="F23" s="20" t="s">
        <v>108</v>
      </c>
      <c r="G23" s="11" t="s">
        <v>90</v>
      </c>
    </row>
    <row r="24" customFormat="false" ht="26.85" hidden="false" customHeight="false" outlineLevel="0" collapsed="false">
      <c r="A24" s="11" t="s">
        <v>178</v>
      </c>
      <c r="B24" s="11" t="n">
        <v>2</v>
      </c>
      <c r="C24" s="21" t="s">
        <v>145</v>
      </c>
      <c r="D24" s="21" t="s">
        <v>179</v>
      </c>
      <c r="E24" s="22" t="s">
        <v>180</v>
      </c>
      <c r="F24" s="20" t="s">
        <v>108</v>
      </c>
      <c r="G24" s="11" t="s">
        <v>90</v>
      </c>
    </row>
    <row r="25" customFormat="false" ht="26.85" hidden="false" customHeight="false" outlineLevel="0" collapsed="false">
      <c r="A25" s="11" t="s">
        <v>181</v>
      </c>
      <c r="B25" s="11" t="n">
        <v>2</v>
      </c>
      <c r="C25" s="22" t="s">
        <v>182</v>
      </c>
      <c r="D25" s="22" t="s">
        <v>183</v>
      </c>
      <c r="E25" s="22" t="s">
        <v>184</v>
      </c>
      <c r="F25" s="20" t="s">
        <v>108</v>
      </c>
      <c r="G25" s="11" t="s">
        <v>90</v>
      </c>
    </row>
    <row r="26" customFormat="false" ht="26.85" hidden="false" customHeight="false" outlineLevel="0" collapsed="false">
      <c r="A26" s="11" t="s">
        <v>185</v>
      </c>
      <c r="B26" s="11" t="n">
        <v>2</v>
      </c>
      <c r="C26" s="21" t="s">
        <v>186</v>
      </c>
      <c r="D26" s="21" t="s">
        <v>187</v>
      </c>
      <c r="E26" s="22" t="s">
        <v>188</v>
      </c>
      <c r="F26" s="20" t="s">
        <v>108</v>
      </c>
      <c r="G26" s="11" t="s">
        <v>90</v>
      </c>
    </row>
    <row r="27" customFormat="false" ht="15" hidden="false" customHeight="false" outlineLevel="0" collapsed="false">
      <c r="A27" s="11" t="s">
        <v>189</v>
      </c>
      <c r="B27" s="11" t="n">
        <v>2</v>
      </c>
      <c r="C27" s="21" t="s">
        <v>161</v>
      </c>
      <c r="D27" s="21" t="s">
        <v>190</v>
      </c>
      <c r="E27" s="22" t="s">
        <v>191</v>
      </c>
      <c r="F27" s="20" t="s">
        <v>108</v>
      </c>
      <c r="G27" s="11" t="s">
        <v>90</v>
      </c>
    </row>
    <row r="28" customFormat="false" ht="26.85" hidden="false" customHeight="false" outlineLevel="0" collapsed="false">
      <c r="A28" s="11" t="s">
        <v>192</v>
      </c>
      <c r="B28" s="11" t="n">
        <v>2</v>
      </c>
      <c r="C28" s="21" t="s">
        <v>161</v>
      </c>
      <c r="D28" s="21" t="s">
        <v>193</v>
      </c>
      <c r="E28" s="21" t="s">
        <v>194</v>
      </c>
      <c r="F28" s="20" t="s">
        <v>108</v>
      </c>
      <c r="G28" s="11" t="s">
        <v>90</v>
      </c>
    </row>
    <row r="29" customFormat="false" ht="26.85" hidden="false" customHeight="false" outlineLevel="0" collapsed="false">
      <c r="A29" s="11" t="s">
        <v>195</v>
      </c>
      <c r="B29" s="11" t="n">
        <v>2</v>
      </c>
      <c r="C29" s="22" t="s">
        <v>196</v>
      </c>
      <c r="D29" s="22" t="s">
        <v>197</v>
      </c>
      <c r="E29" s="22" t="s">
        <v>198</v>
      </c>
      <c r="F29" s="20" t="s">
        <v>108</v>
      </c>
      <c r="G29" s="11" t="s">
        <v>90</v>
      </c>
    </row>
    <row r="30" customFormat="false" ht="26.85" hidden="false" customHeight="false" outlineLevel="0" collapsed="false">
      <c r="A30" s="11" t="s">
        <v>199</v>
      </c>
      <c r="B30" s="11" t="n">
        <v>2</v>
      </c>
      <c r="C30" s="21" t="s">
        <v>200</v>
      </c>
      <c r="D30" s="22" t="s">
        <v>201</v>
      </c>
      <c r="E30" s="21" t="s">
        <v>202</v>
      </c>
      <c r="F30" s="20" t="s">
        <v>108</v>
      </c>
      <c r="G30" s="11" t="s">
        <v>90</v>
      </c>
    </row>
    <row r="31" customFormat="false" ht="26.85" hidden="false" customHeight="false" outlineLevel="0" collapsed="false">
      <c r="A31" s="11" t="s">
        <v>203</v>
      </c>
      <c r="B31" s="11" t="n">
        <v>2</v>
      </c>
      <c r="C31" s="21" t="s">
        <v>204</v>
      </c>
      <c r="D31" s="21" t="s">
        <v>205</v>
      </c>
      <c r="E31" s="22" t="s">
        <v>206</v>
      </c>
      <c r="F31" s="20" t="s">
        <v>108</v>
      </c>
      <c r="G31" s="11" t="s">
        <v>90</v>
      </c>
    </row>
    <row r="32" customFormat="false" ht="26.85" hidden="false" customHeight="false" outlineLevel="0" collapsed="false">
      <c r="A32" s="11" t="s">
        <v>207</v>
      </c>
      <c r="B32" s="11" t="n">
        <v>2</v>
      </c>
      <c r="C32" s="21" t="s">
        <v>208</v>
      </c>
      <c r="D32" s="22" t="s">
        <v>209</v>
      </c>
      <c r="E32" s="21" t="s">
        <v>210</v>
      </c>
      <c r="F32" s="20" t="s">
        <v>108</v>
      </c>
      <c r="G32" s="11" t="s">
        <v>90</v>
      </c>
    </row>
    <row r="33" customFormat="false" ht="26.85" hidden="false" customHeight="false" outlineLevel="0" collapsed="false">
      <c r="A33" s="11" t="s">
        <v>211</v>
      </c>
      <c r="B33" s="11" t="n">
        <v>3</v>
      </c>
      <c r="C33" s="21" t="s">
        <v>149</v>
      </c>
      <c r="D33" s="21" t="s">
        <v>212</v>
      </c>
      <c r="E33" s="21" t="s">
        <v>213</v>
      </c>
      <c r="F33" s="20" t="s">
        <v>108</v>
      </c>
      <c r="G33" s="11" t="s">
        <v>92</v>
      </c>
    </row>
    <row r="34" customFormat="false" ht="15" hidden="false" customHeight="false" outlineLevel="0" collapsed="false">
      <c r="A34" s="11" t="s">
        <v>214</v>
      </c>
      <c r="B34" s="11" t="n">
        <v>3</v>
      </c>
      <c r="C34" s="21" t="s">
        <v>47</v>
      </c>
      <c r="D34" s="21" t="s">
        <v>215</v>
      </c>
      <c r="E34" s="22" t="s">
        <v>216</v>
      </c>
      <c r="F34" s="20" t="s">
        <v>108</v>
      </c>
      <c r="G34" s="11" t="s">
        <v>92</v>
      </c>
    </row>
    <row r="35" customFormat="false" ht="38.05" hidden="false" customHeight="false" outlineLevel="0" collapsed="false">
      <c r="A35" s="11" t="s">
        <v>217</v>
      </c>
      <c r="B35" s="11" t="n">
        <v>3</v>
      </c>
      <c r="C35" s="21" t="s">
        <v>134</v>
      </c>
      <c r="D35" s="21" t="s">
        <v>218</v>
      </c>
      <c r="E35" s="22" t="s">
        <v>219</v>
      </c>
      <c r="F35" s="20" t="s">
        <v>108</v>
      </c>
      <c r="G35" s="11" t="s">
        <v>92</v>
      </c>
    </row>
    <row r="36" customFormat="false" ht="26.85" hidden="false" customHeight="false" outlineLevel="0" collapsed="false">
      <c r="A36" s="11" t="s">
        <v>220</v>
      </c>
      <c r="B36" s="11" t="n">
        <v>3</v>
      </c>
      <c r="C36" s="22" t="s">
        <v>221</v>
      </c>
      <c r="D36" s="21" t="s">
        <v>222</v>
      </c>
      <c r="E36" s="22" t="s">
        <v>223</v>
      </c>
      <c r="F36" s="20" t="s">
        <v>108</v>
      </c>
      <c r="G36" s="11" t="s">
        <v>92</v>
      </c>
    </row>
    <row r="37" customFormat="false" ht="26.85" hidden="false" customHeight="false" outlineLevel="0" collapsed="false">
      <c r="A37" s="11" t="s">
        <v>224</v>
      </c>
      <c r="B37" s="11" t="n">
        <v>3</v>
      </c>
      <c r="C37" s="21" t="s">
        <v>43</v>
      </c>
      <c r="D37" s="22" t="s">
        <v>225</v>
      </c>
      <c r="E37" s="22" t="s">
        <v>226</v>
      </c>
      <c r="F37" s="20" t="s">
        <v>108</v>
      </c>
      <c r="G37" s="11" t="s">
        <v>92</v>
      </c>
    </row>
    <row r="38" customFormat="false" ht="15" hidden="false" customHeight="false" outlineLevel="0" collapsed="false">
      <c r="A38" s="11" t="s">
        <v>227</v>
      </c>
      <c r="B38" s="11" t="n">
        <v>3</v>
      </c>
      <c r="C38" s="21" t="s">
        <v>43</v>
      </c>
      <c r="D38" s="21" t="s">
        <v>228</v>
      </c>
      <c r="E38" s="22" t="s">
        <v>229</v>
      </c>
      <c r="F38" s="20" t="s">
        <v>108</v>
      </c>
      <c r="G38" s="11" t="s">
        <v>92</v>
      </c>
    </row>
    <row r="39" customFormat="false" ht="15" hidden="false" customHeight="false" outlineLevel="0" collapsed="false">
      <c r="A39" s="11" t="s">
        <v>230</v>
      </c>
      <c r="B39" s="11" t="n">
        <v>3</v>
      </c>
      <c r="C39" s="21" t="s">
        <v>231</v>
      </c>
      <c r="D39" s="21" t="s">
        <v>232</v>
      </c>
      <c r="E39" s="21" t="s">
        <v>233</v>
      </c>
      <c r="F39" s="20" t="s">
        <v>108</v>
      </c>
      <c r="G39" s="11" t="s">
        <v>92</v>
      </c>
    </row>
    <row r="40" customFormat="false" ht="26.85" hidden="false" customHeight="false" outlineLevel="0" collapsed="false">
      <c r="A40" s="11" t="s">
        <v>234</v>
      </c>
      <c r="B40" s="11" t="n">
        <v>3</v>
      </c>
      <c r="C40" s="21" t="s">
        <v>235</v>
      </c>
      <c r="D40" s="21" t="s">
        <v>236</v>
      </c>
      <c r="E40" s="22" t="s">
        <v>237</v>
      </c>
      <c r="F40" s="20" t="s">
        <v>108</v>
      </c>
      <c r="G40" s="11" t="s">
        <v>92</v>
      </c>
    </row>
    <row r="41" customFormat="false" ht="15" hidden="false" customHeight="false" outlineLevel="0" collapsed="false">
      <c r="A41" s="11" t="s">
        <v>238</v>
      </c>
      <c r="B41" s="11" t="n">
        <v>3</v>
      </c>
      <c r="C41" s="21" t="s">
        <v>239</v>
      </c>
      <c r="D41" s="21" t="s">
        <v>240</v>
      </c>
      <c r="E41" s="21" t="s">
        <v>241</v>
      </c>
      <c r="F41" s="20" t="s">
        <v>108</v>
      </c>
      <c r="G41" s="11" t="s">
        <v>92</v>
      </c>
    </row>
    <row r="42" customFormat="false" ht="26.85" hidden="false" customHeight="false" outlineLevel="0" collapsed="false">
      <c r="A42" s="11" t="s">
        <v>242</v>
      </c>
      <c r="B42" s="11" t="n">
        <v>3</v>
      </c>
      <c r="C42" s="21" t="s">
        <v>235</v>
      </c>
      <c r="D42" s="22" t="s">
        <v>243</v>
      </c>
      <c r="E42" s="22" t="s">
        <v>244</v>
      </c>
      <c r="F42" s="20" t="s">
        <v>108</v>
      </c>
      <c r="G42" s="11" t="s">
        <v>92</v>
      </c>
    </row>
    <row r="43" customFormat="false" ht="26.85" hidden="false" customHeight="false" outlineLevel="0" collapsed="false">
      <c r="A43" s="11" t="s">
        <v>245</v>
      </c>
      <c r="B43" s="11" t="n">
        <v>3</v>
      </c>
      <c r="C43" s="21" t="s">
        <v>43</v>
      </c>
      <c r="D43" s="22" t="s">
        <v>246</v>
      </c>
      <c r="E43" s="22" t="s">
        <v>247</v>
      </c>
      <c r="F43" s="20" t="s">
        <v>108</v>
      </c>
      <c r="G43" s="11" t="s">
        <v>92</v>
      </c>
    </row>
    <row r="44" customFormat="false" ht="15" hidden="false" customHeight="false" outlineLevel="0" collapsed="false">
      <c r="A44" s="11" t="s">
        <v>248</v>
      </c>
      <c r="B44" s="11" t="n">
        <v>3</v>
      </c>
      <c r="C44" s="21" t="s">
        <v>249</v>
      </c>
      <c r="D44" s="21" t="s">
        <v>250</v>
      </c>
      <c r="E44" s="22" t="s">
        <v>251</v>
      </c>
      <c r="F44" s="20" t="s">
        <v>108</v>
      </c>
      <c r="G44" s="11" t="s">
        <v>92</v>
      </c>
    </row>
    <row r="45" customFormat="false" ht="26.85" hidden="false" customHeight="false" outlineLevel="0" collapsed="false">
      <c r="A45" s="11" t="s">
        <v>252</v>
      </c>
      <c r="B45" s="11" t="n">
        <v>3</v>
      </c>
      <c r="C45" s="21" t="s">
        <v>200</v>
      </c>
      <c r="D45" s="21" t="s">
        <v>253</v>
      </c>
      <c r="E45" s="22" t="s">
        <v>254</v>
      </c>
      <c r="F45" s="20" t="s">
        <v>108</v>
      </c>
      <c r="G45" s="11" t="s">
        <v>92</v>
      </c>
    </row>
    <row r="46" customFormat="false" ht="15" hidden="false" customHeight="false" outlineLevel="0" collapsed="false">
      <c r="A46" s="11" t="s">
        <v>255</v>
      </c>
      <c r="B46" s="11" t="n">
        <v>3</v>
      </c>
      <c r="C46" s="21" t="s">
        <v>47</v>
      </c>
      <c r="D46" s="21" t="s">
        <v>256</v>
      </c>
      <c r="E46" s="22" t="s">
        <v>257</v>
      </c>
      <c r="F46" s="20" t="s">
        <v>108</v>
      </c>
      <c r="G46" s="11" t="s">
        <v>92</v>
      </c>
    </row>
    <row r="47" customFormat="false" ht="26.85" hidden="false" customHeight="false" outlineLevel="0" collapsed="false">
      <c r="A47" s="11" t="s">
        <v>258</v>
      </c>
      <c r="B47" s="11" t="n">
        <v>3</v>
      </c>
      <c r="C47" s="22" t="s">
        <v>259</v>
      </c>
      <c r="D47" s="21" t="s">
        <v>260</v>
      </c>
      <c r="E47" s="22" t="s">
        <v>261</v>
      </c>
      <c r="F47" s="20" t="s">
        <v>108</v>
      </c>
      <c r="G47" s="11" t="s">
        <v>92</v>
      </c>
    </row>
    <row r="48" customFormat="false" ht="26.85" hidden="false" customHeight="false" outlineLevel="0" collapsed="false">
      <c r="A48" s="11" t="s">
        <v>262</v>
      </c>
      <c r="B48" s="11" t="n">
        <v>4</v>
      </c>
      <c r="C48" s="21" t="s">
        <v>263</v>
      </c>
      <c r="D48" s="21" t="s">
        <v>264</v>
      </c>
      <c r="E48" s="21" t="s">
        <v>265</v>
      </c>
      <c r="F48" s="20" t="s">
        <v>108</v>
      </c>
      <c r="G48" s="11" t="s">
        <v>3</v>
      </c>
    </row>
    <row r="49" customFormat="false" ht="26.85" hidden="false" customHeight="false" outlineLevel="0" collapsed="false">
      <c r="A49" s="11" t="s">
        <v>266</v>
      </c>
      <c r="B49" s="11" t="n">
        <v>4</v>
      </c>
      <c r="C49" s="21" t="s">
        <v>267</v>
      </c>
      <c r="D49" s="22" t="s">
        <v>268</v>
      </c>
      <c r="E49" s="22" t="s">
        <v>269</v>
      </c>
      <c r="F49" s="20" t="s">
        <v>108</v>
      </c>
      <c r="G49" s="11" t="s">
        <v>3</v>
      </c>
    </row>
    <row r="50" customFormat="false" ht="15" hidden="false" customHeight="false" outlineLevel="0" collapsed="false">
      <c r="A50" s="11" t="s">
        <v>270</v>
      </c>
      <c r="B50" s="11" t="n">
        <v>4</v>
      </c>
      <c r="C50" s="21" t="s">
        <v>271</v>
      </c>
      <c r="D50" s="21" t="s">
        <v>272</v>
      </c>
      <c r="E50" s="21" t="s">
        <v>273</v>
      </c>
      <c r="F50" s="20" t="s">
        <v>108</v>
      </c>
      <c r="G50" s="11" t="s">
        <v>3</v>
      </c>
    </row>
    <row r="51" customFormat="false" ht="15" hidden="false" customHeight="false" outlineLevel="0" collapsed="false">
      <c r="A51" s="11" t="s">
        <v>274</v>
      </c>
      <c r="B51" s="11" t="n">
        <v>4</v>
      </c>
      <c r="C51" s="21" t="s">
        <v>275</v>
      </c>
      <c r="D51" s="22" t="s">
        <v>276</v>
      </c>
      <c r="E51" s="22" t="s">
        <v>277</v>
      </c>
      <c r="F51" s="20" t="s">
        <v>108</v>
      </c>
      <c r="G51" s="11" t="s">
        <v>3</v>
      </c>
    </row>
    <row r="52" customFormat="false" ht="26.85" hidden="false" customHeight="false" outlineLevel="0" collapsed="false">
      <c r="A52" s="11" t="s">
        <v>278</v>
      </c>
      <c r="B52" s="11" t="n">
        <v>4</v>
      </c>
      <c r="C52" s="21" t="s">
        <v>279</v>
      </c>
      <c r="D52" s="22" t="s">
        <v>280</v>
      </c>
      <c r="E52" s="22" t="s">
        <v>281</v>
      </c>
      <c r="F52" s="20" t="s">
        <v>108</v>
      </c>
      <c r="G52" s="11" t="s">
        <v>3</v>
      </c>
    </row>
    <row r="53" customFormat="false" ht="25.35" hidden="false" customHeight="false" outlineLevel="0" collapsed="false">
      <c r="A53" s="11" t="s">
        <v>282</v>
      </c>
      <c r="B53" s="11" t="n">
        <v>4</v>
      </c>
      <c r="C53" s="21" t="s">
        <v>283</v>
      </c>
      <c r="D53" s="21" t="s">
        <v>284</v>
      </c>
      <c r="E53" s="21" t="s">
        <v>285</v>
      </c>
      <c r="F53" s="20" t="s">
        <v>108</v>
      </c>
      <c r="G53" s="11" t="s">
        <v>3</v>
      </c>
    </row>
  </sheetData>
  <autoFilter ref="A3:G53"/>
  <hyperlinks>
    <hyperlink ref="G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5" hidden="false" customHeight="false" outlineLevel="0" collapsed="false">
      <c r="A1" s="5" t="s">
        <v>31</v>
      </c>
      <c r="B1" s="19" t="s">
        <v>78</v>
      </c>
    </row>
    <row r="3" customFormat="false" ht="15" hidden="false" customHeight="false" outlineLevel="0" collapsed="false">
      <c r="A3" s="10" t="s">
        <v>286</v>
      </c>
      <c r="B3" s="10" t="s">
        <v>26</v>
      </c>
    </row>
    <row r="4" customFormat="false" ht="26.85" hidden="false" customHeight="false" outlineLevel="0" collapsed="false">
      <c r="A4" s="24" t="s">
        <v>287</v>
      </c>
      <c r="B4" s="21" t="s">
        <v>288</v>
      </c>
    </row>
    <row r="5" customFormat="false" ht="26.85" hidden="false" customHeight="false" outlineLevel="0" collapsed="false">
      <c r="A5" s="24" t="s">
        <v>289</v>
      </c>
      <c r="B5" s="21" t="s">
        <v>290</v>
      </c>
    </row>
    <row r="6" customFormat="false" ht="26.85" hidden="false" customHeight="false" outlineLevel="0" collapsed="false">
      <c r="A6" s="24" t="s">
        <v>291</v>
      </c>
      <c r="B6" s="21" t="s">
        <v>292</v>
      </c>
    </row>
    <row r="7" customFormat="false" ht="15" hidden="false" customHeight="false" outlineLevel="0" collapsed="false">
      <c r="A7" s="24" t="s">
        <v>293</v>
      </c>
      <c r="B7" s="21" t="s">
        <v>294</v>
      </c>
    </row>
    <row r="8" customFormat="false" ht="15" hidden="false" customHeight="false" outlineLevel="0" collapsed="false">
      <c r="A8" s="24" t="s">
        <v>295</v>
      </c>
      <c r="B8" s="21" t="s">
        <v>296</v>
      </c>
    </row>
    <row r="9" customFormat="false" ht="15" hidden="false" customHeight="false" outlineLevel="0" collapsed="false">
      <c r="A9" s="24" t="s">
        <v>297</v>
      </c>
      <c r="B9" s="21" t="s">
        <v>298</v>
      </c>
    </row>
    <row r="10" customFormat="false" ht="26.85" hidden="false" customHeight="false" outlineLevel="0" collapsed="false">
      <c r="A10" s="24" t="s">
        <v>299</v>
      </c>
      <c r="B10" s="21" t="s">
        <v>300</v>
      </c>
    </row>
    <row r="11" customFormat="false" ht="26.85" hidden="false" customHeight="false" outlineLevel="0" collapsed="false">
      <c r="A11" s="24" t="s">
        <v>301</v>
      </c>
      <c r="B11" s="21" t="s">
        <v>302</v>
      </c>
    </row>
    <row r="12" customFormat="false" ht="26.85" hidden="false" customHeight="false" outlineLevel="0" collapsed="false">
      <c r="A12" s="24" t="s">
        <v>303</v>
      </c>
      <c r="B12" s="22" t="s">
        <v>304</v>
      </c>
    </row>
  </sheetData>
  <autoFilter ref="A3:B12"/>
  <hyperlinks>
    <hyperlink ref="B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6"/>
    <col collapsed="false" customWidth="true" hidden="false" outlineLevel="0" max="4" min="4" style="0" width="11"/>
    <col collapsed="false" customWidth="true" hidden="false" outlineLevel="0" max="5" min="5" style="0" width="70"/>
    <col collapsed="false" customWidth="true" hidden="false" outlineLevel="0" max="6" min="6" style="0" width="16"/>
    <col collapsed="false" customWidth="true" hidden="false" outlineLevel="0" max="7" min="7" style="0" width="40"/>
  </cols>
  <sheetData>
    <row r="1" customFormat="false" ht="15" hidden="false" customHeight="false" outlineLevel="0" collapsed="false">
      <c r="A1" s="5" t="s">
        <v>33</v>
      </c>
      <c r="G1" s="19" t="s">
        <v>78</v>
      </c>
    </row>
    <row r="2" customFormat="false" ht="15" hidden="false" customHeight="false" outlineLevel="0" collapsed="false">
      <c r="A2" s="23" t="s">
        <v>305</v>
      </c>
    </row>
    <row r="3" customFormat="false" ht="15" hidden="false" customHeight="false" outlineLevel="0" collapsed="false">
      <c r="A3" s="9" t="s">
        <v>24</v>
      </c>
      <c r="B3" s="10" t="s">
        <v>306</v>
      </c>
      <c r="C3" s="10" t="s">
        <v>307</v>
      </c>
      <c r="D3" s="10" t="s">
        <v>308</v>
      </c>
      <c r="E3" s="10" t="s">
        <v>26</v>
      </c>
      <c r="F3" s="10" t="s">
        <v>309</v>
      </c>
      <c r="G3" s="10" t="s">
        <v>310</v>
      </c>
    </row>
    <row r="4" customFormat="false" ht="15" hidden="false" customHeight="false" outlineLevel="0" collapsed="false">
      <c r="A4" s="11" t="s">
        <v>311</v>
      </c>
      <c r="B4" s="20" t="s">
        <v>312</v>
      </c>
      <c r="C4" s="21" t="s">
        <v>313</v>
      </c>
      <c r="D4" s="20" t="s">
        <v>314</v>
      </c>
      <c r="E4" s="21" t="s">
        <v>315</v>
      </c>
      <c r="F4" s="22" t="s">
        <v>316</v>
      </c>
      <c r="G4" s="22" t="s">
        <v>317</v>
      </c>
    </row>
    <row r="5" customFormat="false" ht="26.85" hidden="false" customHeight="false" outlineLevel="0" collapsed="false">
      <c r="A5" s="11" t="s">
        <v>318</v>
      </c>
      <c r="B5" s="20" t="s">
        <v>312</v>
      </c>
      <c r="C5" s="21" t="s">
        <v>319</v>
      </c>
      <c r="D5" s="20" t="s">
        <v>320</v>
      </c>
      <c r="E5" s="21" t="s">
        <v>321</v>
      </c>
      <c r="F5" s="22" t="s">
        <v>322</v>
      </c>
      <c r="G5" s="22" t="s">
        <v>323</v>
      </c>
    </row>
    <row r="6" customFormat="false" ht="26.85" hidden="false" customHeight="false" outlineLevel="0" collapsed="false">
      <c r="A6" s="11" t="s">
        <v>324</v>
      </c>
      <c r="B6" s="20" t="s">
        <v>312</v>
      </c>
      <c r="C6" s="21" t="s">
        <v>325</v>
      </c>
      <c r="D6" s="11" t="s">
        <v>326</v>
      </c>
      <c r="E6" s="22" t="s">
        <v>327</v>
      </c>
      <c r="F6" s="22" t="s">
        <v>328</v>
      </c>
      <c r="G6" s="22" t="s">
        <v>329</v>
      </c>
    </row>
    <row r="7" customFormat="false" ht="26.85" hidden="false" customHeight="false" outlineLevel="0" collapsed="false">
      <c r="A7" s="11" t="s">
        <v>330</v>
      </c>
      <c r="B7" s="20" t="s">
        <v>249</v>
      </c>
      <c r="C7" s="21" t="s">
        <v>331</v>
      </c>
      <c r="D7" s="20" t="s">
        <v>320</v>
      </c>
      <c r="E7" s="21" t="s">
        <v>332</v>
      </c>
      <c r="F7" s="22" t="s">
        <v>333</v>
      </c>
      <c r="G7" s="22" t="s">
        <v>334</v>
      </c>
    </row>
    <row r="8" customFormat="false" ht="26.85" hidden="false" customHeight="false" outlineLevel="0" collapsed="false">
      <c r="A8" s="11" t="s">
        <v>335</v>
      </c>
      <c r="B8" s="20" t="s">
        <v>336</v>
      </c>
      <c r="C8" s="21" t="s">
        <v>337</v>
      </c>
      <c r="D8" s="20" t="s">
        <v>338</v>
      </c>
      <c r="E8" s="21" t="s">
        <v>339</v>
      </c>
      <c r="F8" s="22" t="s">
        <v>340</v>
      </c>
      <c r="G8" s="22" t="s">
        <v>341</v>
      </c>
    </row>
    <row r="9" customFormat="false" ht="26.85" hidden="false" customHeight="false" outlineLevel="0" collapsed="false">
      <c r="A9" s="11" t="s">
        <v>342</v>
      </c>
      <c r="B9" s="20" t="s">
        <v>336</v>
      </c>
      <c r="C9" s="21" t="s">
        <v>343</v>
      </c>
      <c r="D9" s="20" t="s">
        <v>320</v>
      </c>
      <c r="E9" s="21" t="s">
        <v>344</v>
      </c>
      <c r="F9" s="22" t="s">
        <v>345</v>
      </c>
      <c r="G9" s="22" t="s">
        <v>346</v>
      </c>
    </row>
    <row r="10" customFormat="false" ht="15" hidden="false" customHeight="false" outlineLevel="0" collapsed="false">
      <c r="A10" s="11" t="s">
        <v>347</v>
      </c>
      <c r="B10" s="20" t="s">
        <v>336</v>
      </c>
      <c r="C10" s="21" t="s">
        <v>348</v>
      </c>
      <c r="D10" s="20" t="s">
        <v>338</v>
      </c>
      <c r="E10" s="21" t="s">
        <v>349</v>
      </c>
      <c r="F10" s="22" t="s">
        <v>350</v>
      </c>
      <c r="G10" s="22" t="s">
        <v>351</v>
      </c>
    </row>
    <row r="11" customFormat="false" ht="26.85" hidden="false" customHeight="false" outlineLevel="0" collapsed="false">
      <c r="A11" s="11" t="s">
        <v>352</v>
      </c>
      <c r="B11" s="20" t="s">
        <v>336</v>
      </c>
      <c r="C11" s="21" t="s">
        <v>353</v>
      </c>
      <c r="D11" s="20" t="s">
        <v>320</v>
      </c>
      <c r="E11" s="21" t="s">
        <v>354</v>
      </c>
      <c r="F11" s="22" t="s">
        <v>355</v>
      </c>
      <c r="G11" s="22" t="s">
        <v>356</v>
      </c>
    </row>
    <row r="12" customFormat="false" ht="26.85" hidden="false" customHeight="false" outlineLevel="0" collapsed="false">
      <c r="A12" s="11" t="s">
        <v>357</v>
      </c>
      <c r="B12" s="20" t="s">
        <v>358</v>
      </c>
      <c r="C12" s="21" t="s">
        <v>359</v>
      </c>
      <c r="D12" s="11" t="s">
        <v>326</v>
      </c>
      <c r="E12" s="21" t="s">
        <v>360</v>
      </c>
      <c r="F12" s="22" t="s">
        <v>361</v>
      </c>
      <c r="G12" s="22" t="s">
        <v>362</v>
      </c>
    </row>
    <row r="13" customFormat="false" ht="15" hidden="false" customHeight="false" outlineLevel="0" collapsed="false">
      <c r="A13" s="11" t="s">
        <v>363</v>
      </c>
      <c r="B13" s="20" t="s">
        <v>364</v>
      </c>
      <c r="C13" s="21" t="s">
        <v>365</v>
      </c>
      <c r="D13" s="20" t="s">
        <v>320</v>
      </c>
      <c r="E13" s="21" t="s">
        <v>366</v>
      </c>
      <c r="F13" s="22" t="s">
        <v>367</v>
      </c>
      <c r="G13" s="22" t="s">
        <v>368</v>
      </c>
    </row>
  </sheetData>
  <autoFilter ref="A3:G13"/>
  <hyperlinks>
    <hyperlink ref="G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2"/>
    <col collapsed="false" customWidth="true" hidden="false" outlineLevel="0" max="4" min="4" style="0" width="70"/>
    <col collapsed="false" customWidth="true" hidden="false" outlineLevel="0" max="5" min="5" style="0" width="9"/>
    <col collapsed="false" customWidth="true" hidden="false" outlineLevel="0" max="6" min="6" style="0" width="14"/>
  </cols>
  <sheetData>
    <row r="1" customFormat="false" ht="15" hidden="false" customHeight="false" outlineLevel="0" collapsed="false">
      <c r="A1" s="5" t="s">
        <v>35</v>
      </c>
      <c r="F1" s="19" t="s">
        <v>78</v>
      </c>
    </row>
    <row r="2" customFormat="false" ht="15" hidden="false" customHeight="false" outlineLevel="0" collapsed="false">
      <c r="A2" s="23" t="s">
        <v>369</v>
      </c>
    </row>
    <row r="3" customFormat="false" ht="15" hidden="false" customHeight="false" outlineLevel="0" collapsed="false">
      <c r="A3" s="10" t="s">
        <v>370</v>
      </c>
      <c r="B3" s="10" t="s">
        <v>371</v>
      </c>
      <c r="C3" s="10" t="s">
        <v>372</v>
      </c>
      <c r="D3" s="10" t="s">
        <v>373</v>
      </c>
      <c r="E3" s="10" t="s">
        <v>374</v>
      </c>
      <c r="F3" s="10" t="s">
        <v>375</v>
      </c>
    </row>
    <row r="4" customFormat="false" ht="15" hidden="false" customHeight="false" outlineLevel="0" collapsed="false">
      <c r="A4" s="11" t="s">
        <v>376</v>
      </c>
      <c r="B4" s="20" t="s">
        <v>377</v>
      </c>
      <c r="C4" s="21" t="s">
        <v>378</v>
      </c>
      <c r="D4" s="21" t="s">
        <v>379</v>
      </c>
      <c r="E4" s="11" t="s">
        <v>380</v>
      </c>
      <c r="F4" s="11" t="s">
        <v>381</v>
      </c>
    </row>
    <row r="5" customFormat="false" ht="15" hidden="false" customHeight="false" outlineLevel="0" collapsed="false">
      <c r="A5" s="11" t="s">
        <v>382</v>
      </c>
      <c r="B5" s="20" t="s">
        <v>377</v>
      </c>
      <c r="C5" s="21" t="s">
        <v>383</v>
      </c>
      <c r="D5" s="21" t="s">
        <v>384</v>
      </c>
      <c r="E5" s="11" t="s">
        <v>380</v>
      </c>
      <c r="F5" s="11" t="s">
        <v>385</v>
      </c>
    </row>
    <row r="6" customFormat="false" ht="26.85" hidden="false" customHeight="false" outlineLevel="0" collapsed="false">
      <c r="A6" s="11" t="s">
        <v>386</v>
      </c>
      <c r="B6" s="20" t="s">
        <v>377</v>
      </c>
      <c r="C6" s="21" t="s">
        <v>387</v>
      </c>
      <c r="D6" s="21" t="s">
        <v>388</v>
      </c>
      <c r="E6" s="11" t="s">
        <v>380</v>
      </c>
      <c r="F6" s="11" t="s">
        <v>389</v>
      </c>
    </row>
    <row r="7" customFormat="false" ht="15" hidden="false" customHeight="false" outlineLevel="0" collapsed="false">
      <c r="A7" s="11" t="s">
        <v>390</v>
      </c>
      <c r="B7" s="20" t="s">
        <v>377</v>
      </c>
      <c r="C7" s="21" t="s">
        <v>391</v>
      </c>
      <c r="D7" s="21" t="s">
        <v>392</v>
      </c>
      <c r="E7" s="11" t="s">
        <v>380</v>
      </c>
      <c r="F7" s="11" t="s">
        <v>393</v>
      </c>
    </row>
    <row r="8" customFormat="false" ht="15" hidden="false" customHeight="false" outlineLevel="0" collapsed="false">
      <c r="A8" s="11" t="s">
        <v>394</v>
      </c>
      <c r="B8" s="20" t="s">
        <v>377</v>
      </c>
      <c r="C8" s="21" t="s">
        <v>395</v>
      </c>
      <c r="D8" s="21" t="s">
        <v>396</v>
      </c>
      <c r="E8" s="11" t="s">
        <v>380</v>
      </c>
      <c r="F8" s="11" t="s">
        <v>397</v>
      </c>
    </row>
    <row r="9" customFormat="false" ht="15" hidden="false" customHeight="false" outlineLevel="0" collapsed="false">
      <c r="A9" s="11" t="s">
        <v>398</v>
      </c>
      <c r="B9" s="20" t="s">
        <v>377</v>
      </c>
      <c r="C9" s="21" t="s">
        <v>399</v>
      </c>
      <c r="D9" s="21" t="s">
        <v>400</v>
      </c>
      <c r="E9" s="11" t="s">
        <v>380</v>
      </c>
      <c r="F9" s="11" t="s">
        <v>401</v>
      </c>
    </row>
    <row r="10" customFormat="false" ht="15" hidden="false" customHeight="false" outlineLevel="0" collapsed="false">
      <c r="A10" s="11" t="s">
        <v>402</v>
      </c>
      <c r="B10" s="20" t="s">
        <v>312</v>
      </c>
      <c r="C10" s="21" t="s">
        <v>403</v>
      </c>
      <c r="D10" s="21" t="s">
        <v>404</v>
      </c>
      <c r="E10" s="11" t="s">
        <v>405</v>
      </c>
      <c r="F10" s="11" t="s">
        <v>406</v>
      </c>
    </row>
    <row r="11" customFormat="false" ht="15" hidden="false" customHeight="false" outlineLevel="0" collapsed="false">
      <c r="A11" s="11" t="s">
        <v>407</v>
      </c>
      <c r="B11" s="20" t="s">
        <v>312</v>
      </c>
      <c r="C11" s="21" t="s">
        <v>408</v>
      </c>
      <c r="D11" s="21" t="s">
        <v>409</v>
      </c>
      <c r="E11" s="11" t="s">
        <v>405</v>
      </c>
      <c r="F11" s="11" t="s">
        <v>406</v>
      </c>
    </row>
    <row r="12" customFormat="false" ht="15" hidden="false" customHeight="false" outlineLevel="0" collapsed="false">
      <c r="A12" s="11" t="s">
        <v>322</v>
      </c>
      <c r="B12" s="20" t="s">
        <v>312</v>
      </c>
      <c r="C12" s="21" t="s">
        <v>319</v>
      </c>
      <c r="D12" s="21" t="s">
        <v>410</v>
      </c>
      <c r="E12" s="11" t="s">
        <v>380</v>
      </c>
      <c r="F12" s="11" t="s">
        <v>411</v>
      </c>
    </row>
    <row r="13" customFormat="false" ht="15" hidden="false" customHeight="false" outlineLevel="0" collapsed="false">
      <c r="A13" s="11" t="s">
        <v>412</v>
      </c>
      <c r="B13" s="20" t="s">
        <v>312</v>
      </c>
      <c r="C13" s="21" t="s">
        <v>325</v>
      </c>
      <c r="D13" s="22" t="s">
        <v>413</v>
      </c>
      <c r="E13" s="11" t="s">
        <v>380</v>
      </c>
      <c r="F13" s="11" t="s">
        <v>414</v>
      </c>
    </row>
    <row r="14" customFormat="false" ht="15" hidden="false" customHeight="false" outlineLevel="0" collapsed="false">
      <c r="A14" s="11" t="s">
        <v>415</v>
      </c>
      <c r="B14" s="20" t="s">
        <v>416</v>
      </c>
      <c r="C14" s="21" t="s">
        <v>417</v>
      </c>
      <c r="D14" s="21" t="s">
        <v>418</v>
      </c>
      <c r="E14" s="11" t="s">
        <v>380</v>
      </c>
      <c r="F14" s="11" t="s">
        <v>419</v>
      </c>
    </row>
    <row r="15" customFormat="false" ht="26.85" hidden="false" customHeight="false" outlineLevel="0" collapsed="false">
      <c r="A15" s="11" t="s">
        <v>420</v>
      </c>
      <c r="B15" s="20" t="s">
        <v>416</v>
      </c>
      <c r="C15" s="21" t="s">
        <v>421</v>
      </c>
      <c r="D15" s="21" t="s">
        <v>422</v>
      </c>
      <c r="E15" s="11" t="s">
        <v>380</v>
      </c>
      <c r="F15" s="11" t="s">
        <v>423</v>
      </c>
    </row>
    <row r="16" customFormat="false" ht="15" hidden="false" customHeight="false" outlineLevel="0" collapsed="false">
      <c r="A16" s="11" t="s">
        <v>424</v>
      </c>
      <c r="B16" s="20" t="s">
        <v>249</v>
      </c>
      <c r="C16" s="21" t="s">
        <v>425</v>
      </c>
      <c r="D16" s="21" t="s">
        <v>426</v>
      </c>
      <c r="E16" s="11" t="s">
        <v>380</v>
      </c>
      <c r="F16" s="11" t="s">
        <v>427</v>
      </c>
    </row>
    <row r="17" customFormat="false" ht="15" hidden="false" customHeight="false" outlineLevel="0" collapsed="false">
      <c r="A17" s="11" t="s">
        <v>428</v>
      </c>
      <c r="B17" s="20" t="s">
        <v>249</v>
      </c>
      <c r="C17" s="21" t="s">
        <v>429</v>
      </c>
      <c r="D17" s="21" t="s">
        <v>430</v>
      </c>
      <c r="E17" s="11" t="s">
        <v>405</v>
      </c>
      <c r="F17" s="11" t="s">
        <v>431</v>
      </c>
    </row>
    <row r="18" customFormat="false" ht="15" hidden="false" customHeight="false" outlineLevel="0" collapsed="false">
      <c r="A18" s="11" t="s">
        <v>367</v>
      </c>
      <c r="B18" s="20" t="s">
        <v>249</v>
      </c>
      <c r="C18" s="21" t="s">
        <v>432</v>
      </c>
      <c r="D18" s="21" t="s">
        <v>433</v>
      </c>
      <c r="E18" s="11" t="s">
        <v>380</v>
      </c>
      <c r="F18" s="11" t="s">
        <v>431</v>
      </c>
    </row>
    <row r="19" customFormat="false" ht="15" hidden="false" customHeight="false" outlineLevel="0" collapsed="false">
      <c r="A19" s="11" t="s">
        <v>333</v>
      </c>
      <c r="B19" s="20" t="s">
        <v>249</v>
      </c>
      <c r="C19" s="21" t="s">
        <v>434</v>
      </c>
      <c r="D19" s="21" t="s">
        <v>435</v>
      </c>
      <c r="E19" s="11" t="s">
        <v>405</v>
      </c>
      <c r="F19" s="11" t="s">
        <v>436</v>
      </c>
    </row>
    <row r="20" customFormat="false" ht="15" hidden="false" customHeight="false" outlineLevel="0" collapsed="false">
      <c r="A20" s="11" t="s">
        <v>437</v>
      </c>
      <c r="B20" s="20" t="s">
        <v>249</v>
      </c>
      <c r="C20" s="21" t="s">
        <v>438</v>
      </c>
      <c r="D20" s="21" t="s">
        <v>439</v>
      </c>
      <c r="E20" s="11" t="s">
        <v>380</v>
      </c>
      <c r="F20" s="11" t="s">
        <v>440</v>
      </c>
    </row>
    <row r="21" customFormat="false" ht="15" hidden="false" customHeight="false" outlineLevel="0" collapsed="false">
      <c r="A21" s="11" t="s">
        <v>340</v>
      </c>
      <c r="B21" s="20" t="s">
        <v>336</v>
      </c>
      <c r="C21" s="21" t="s">
        <v>441</v>
      </c>
      <c r="D21" s="21" t="s">
        <v>442</v>
      </c>
      <c r="E21" s="11" t="s">
        <v>380</v>
      </c>
      <c r="F21" s="11" t="s">
        <v>443</v>
      </c>
    </row>
    <row r="22" customFormat="false" ht="15" hidden="false" customHeight="false" outlineLevel="0" collapsed="false">
      <c r="A22" s="11" t="s">
        <v>444</v>
      </c>
      <c r="B22" s="20" t="s">
        <v>336</v>
      </c>
      <c r="C22" s="21" t="s">
        <v>445</v>
      </c>
      <c r="D22" s="21" t="s">
        <v>446</v>
      </c>
      <c r="E22" s="11" t="s">
        <v>380</v>
      </c>
      <c r="F22" s="11" t="s">
        <v>447</v>
      </c>
    </row>
    <row r="23" customFormat="false" ht="15" hidden="false" customHeight="false" outlineLevel="0" collapsed="false">
      <c r="A23" s="11" t="s">
        <v>448</v>
      </c>
      <c r="B23" s="20" t="s">
        <v>336</v>
      </c>
      <c r="C23" s="21" t="s">
        <v>449</v>
      </c>
      <c r="D23" s="21" t="s">
        <v>450</v>
      </c>
      <c r="E23" s="11" t="s">
        <v>380</v>
      </c>
      <c r="F23" s="11" t="s">
        <v>447</v>
      </c>
    </row>
    <row r="24" customFormat="false" ht="15" hidden="false" customHeight="false" outlineLevel="0" collapsed="false">
      <c r="A24" s="11" t="s">
        <v>451</v>
      </c>
      <c r="B24" s="20" t="s">
        <v>336</v>
      </c>
      <c r="C24" s="21" t="s">
        <v>452</v>
      </c>
      <c r="D24" s="21" t="s">
        <v>453</v>
      </c>
      <c r="E24" s="11" t="s">
        <v>380</v>
      </c>
      <c r="F24" s="11" t="s">
        <v>447</v>
      </c>
    </row>
    <row r="25" customFormat="false" ht="15" hidden="false" customHeight="false" outlineLevel="0" collapsed="false">
      <c r="A25" s="11" t="s">
        <v>355</v>
      </c>
      <c r="B25" s="20" t="s">
        <v>336</v>
      </c>
      <c r="C25" s="21" t="s">
        <v>454</v>
      </c>
      <c r="D25" s="21" t="s">
        <v>455</v>
      </c>
      <c r="E25" s="11" t="s">
        <v>405</v>
      </c>
      <c r="F25" s="11" t="s">
        <v>456</v>
      </c>
    </row>
    <row r="26" customFormat="false" ht="15" hidden="false" customHeight="false" outlineLevel="0" collapsed="false">
      <c r="A26" s="11" t="s">
        <v>457</v>
      </c>
      <c r="B26" s="20" t="s">
        <v>458</v>
      </c>
      <c r="C26" s="21" t="s">
        <v>459</v>
      </c>
      <c r="D26" s="21" t="s">
        <v>460</v>
      </c>
      <c r="E26" s="11" t="s">
        <v>380</v>
      </c>
      <c r="F26" s="11" t="s">
        <v>461</v>
      </c>
    </row>
    <row r="27" customFormat="false" ht="15" hidden="false" customHeight="false" outlineLevel="0" collapsed="false">
      <c r="A27" s="11" t="s">
        <v>462</v>
      </c>
      <c r="B27" s="20" t="s">
        <v>458</v>
      </c>
      <c r="C27" s="21" t="s">
        <v>463</v>
      </c>
      <c r="D27" s="21" t="s">
        <v>464</v>
      </c>
      <c r="E27" s="11" t="s">
        <v>380</v>
      </c>
      <c r="F27" s="11" t="s">
        <v>465</v>
      </c>
    </row>
    <row r="28" customFormat="false" ht="15" hidden="false" customHeight="false" outlineLevel="0" collapsed="false">
      <c r="A28" s="11" t="s">
        <v>466</v>
      </c>
      <c r="B28" s="20" t="s">
        <v>358</v>
      </c>
      <c r="C28" s="21" t="s">
        <v>467</v>
      </c>
      <c r="D28" s="21" t="s">
        <v>468</v>
      </c>
      <c r="E28" s="11" t="s">
        <v>380</v>
      </c>
      <c r="F28" s="11" t="s">
        <v>469</v>
      </c>
    </row>
    <row r="29" customFormat="false" ht="15" hidden="false" customHeight="false" outlineLevel="0" collapsed="false">
      <c r="A29" s="11" t="s">
        <v>470</v>
      </c>
      <c r="B29" s="20" t="s">
        <v>358</v>
      </c>
      <c r="C29" s="21" t="s">
        <v>471</v>
      </c>
      <c r="D29" s="21" t="s">
        <v>472</v>
      </c>
      <c r="E29" s="11" t="s">
        <v>380</v>
      </c>
      <c r="F29" s="11" t="s">
        <v>469</v>
      </c>
    </row>
    <row r="30" customFormat="false" ht="15" hidden="false" customHeight="false" outlineLevel="0" collapsed="false">
      <c r="A30" s="11" t="s">
        <v>473</v>
      </c>
      <c r="B30" s="20" t="s">
        <v>474</v>
      </c>
      <c r="C30" s="21" t="s">
        <v>475</v>
      </c>
      <c r="D30" s="21" t="s">
        <v>476</v>
      </c>
      <c r="E30" s="11" t="s">
        <v>405</v>
      </c>
      <c r="F30" s="11" t="s">
        <v>477</v>
      </c>
    </row>
    <row r="31" customFormat="false" ht="15" hidden="false" customHeight="false" outlineLevel="0" collapsed="false">
      <c r="A31" s="11" t="s">
        <v>478</v>
      </c>
      <c r="B31" s="20" t="s">
        <v>474</v>
      </c>
      <c r="C31" s="21" t="s">
        <v>479</v>
      </c>
      <c r="D31" s="21" t="s">
        <v>480</v>
      </c>
      <c r="E31" s="11" t="s">
        <v>380</v>
      </c>
      <c r="F31" s="11" t="s">
        <v>477</v>
      </c>
    </row>
    <row r="32" customFormat="false" ht="15" hidden="false" customHeight="false" outlineLevel="0" collapsed="false">
      <c r="A32" s="11" t="s">
        <v>481</v>
      </c>
      <c r="B32" s="20" t="s">
        <v>474</v>
      </c>
      <c r="C32" s="21" t="s">
        <v>482</v>
      </c>
      <c r="D32" s="21" t="s">
        <v>483</v>
      </c>
      <c r="E32" s="11" t="s">
        <v>380</v>
      </c>
      <c r="F32" s="11" t="s">
        <v>477</v>
      </c>
    </row>
    <row r="33" customFormat="false" ht="15" hidden="false" customHeight="false" outlineLevel="0" collapsed="false">
      <c r="A33" s="11" t="s">
        <v>484</v>
      </c>
      <c r="B33" s="20" t="s">
        <v>474</v>
      </c>
      <c r="C33" s="21" t="s">
        <v>485</v>
      </c>
      <c r="D33" s="21" t="s">
        <v>486</v>
      </c>
      <c r="E33" s="11" t="s">
        <v>380</v>
      </c>
      <c r="F33" s="11" t="s">
        <v>477</v>
      </c>
    </row>
    <row r="34" customFormat="false" ht="15" hidden="false" customHeight="false" outlineLevel="0" collapsed="false">
      <c r="A34" s="11" t="s">
        <v>487</v>
      </c>
      <c r="B34" s="20" t="s">
        <v>474</v>
      </c>
      <c r="C34" s="21" t="s">
        <v>488</v>
      </c>
      <c r="D34" s="21" t="s">
        <v>489</v>
      </c>
      <c r="E34" s="11" t="s">
        <v>405</v>
      </c>
      <c r="F34" s="11" t="s">
        <v>477</v>
      </c>
    </row>
    <row r="35" customFormat="false" ht="15" hidden="false" customHeight="false" outlineLevel="0" collapsed="false">
      <c r="A35" s="11" t="s">
        <v>490</v>
      </c>
      <c r="B35" s="20" t="s">
        <v>491</v>
      </c>
      <c r="C35" s="21" t="s">
        <v>492</v>
      </c>
      <c r="D35" s="21" t="s">
        <v>493</v>
      </c>
      <c r="E35" s="11" t="s">
        <v>380</v>
      </c>
      <c r="F35" s="11" t="s">
        <v>494</v>
      </c>
    </row>
    <row r="36" customFormat="false" ht="15" hidden="false" customHeight="false" outlineLevel="0" collapsed="false">
      <c r="A36" s="11" t="s">
        <v>495</v>
      </c>
      <c r="B36" s="20" t="s">
        <v>491</v>
      </c>
      <c r="C36" s="21" t="s">
        <v>496</v>
      </c>
      <c r="D36" s="21" t="s">
        <v>497</v>
      </c>
      <c r="E36" s="11" t="s">
        <v>380</v>
      </c>
      <c r="F36" s="11" t="s">
        <v>498</v>
      </c>
    </row>
    <row r="37" customFormat="false" ht="15" hidden="false" customHeight="false" outlineLevel="0" collapsed="false">
      <c r="A37" s="11" t="s">
        <v>499</v>
      </c>
      <c r="B37" s="20" t="s">
        <v>491</v>
      </c>
      <c r="C37" s="21" t="s">
        <v>500</v>
      </c>
      <c r="D37" s="21" t="s">
        <v>501</v>
      </c>
      <c r="E37" s="11" t="s">
        <v>380</v>
      </c>
      <c r="F37" s="11" t="s">
        <v>440</v>
      </c>
    </row>
  </sheetData>
  <autoFilter ref="A3:F37"/>
  <hyperlinks>
    <hyperlink ref="F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9"/>
    <col collapsed="false" customWidth="true" hidden="false" outlineLevel="0" max="5" min="4" style="0" width="50"/>
  </cols>
  <sheetData>
    <row r="1" customFormat="false" ht="15" hidden="false" customHeight="false" outlineLevel="0" collapsed="false">
      <c r="A1" s="5" t="s">
        <v>37</v>
      </c>
      <c r="E1" s="19" t="s">
        <v>78</v>
      </c>
    </row>
    <row r="3" customFormat="false" ht="15" hidden="false" customHeight="false" outlineLevel="0" collapsed="false">
      <c r="A3" s="10" t="s">
        <v>502</v>
      </c>
      <c r="B3" s="10" t="s">
        <v>503</v>
      </c>
      <c r="C3" s="10" t="s">
        <v>81</v>
      </c>
      <c r="D3" s="10" t="s">
        <v>373</v>
      </c>
      <c r="E3" s="10" t="s">
        <v>504</v>
      </c>
    </row>
    <row r="4" customFormat="false" ht="15" hidden="false" customHeight="false" outlineLevel="0" collapsed="false">
      <c r="A4" s="11" t="s">
        <v>494</v>
      </c>
      <c r="B4" s="21" t="s">
        <v>505</v>
      </c>
      <c r="C4" s="20" t="s">
        <v>491</v>
      </c>
      <c r="D4" s="21" t="s">
        <v>506</v>
      </c>
      <c r="E4" s="21" t="s">
        <v>507</v>
      </c>
    </row>
    <row r="5" customFormat="false" ht="15" hidden="false" customHeight="false" outlineLevel="0" collapsed="false">
      <c r="A5" s="11" t="s">
        <v>440</v>
      </c>
      <c r="B5" s="21" t="s">
        <v>500</v>
      </c>
      <c r="C5" s="20" t="s">
        <v>491</v>
      </c>
      <c r="D5" s="21" t="s">
        <v>508</v>
      </c>
      <c r="E5" s="21" t="s">
        <v>509</v>
      </c>
    </row>
    <row r="6" customFormat="false" ht="15" hidden="false" customHeight="false" outlineLevel="0" collapsed="false">
      <c r="A6" s="11" t="s">
        <v>381</v>
      </c>
      <c r="B6" s="21" t="s">
        <v>510</v>
      </c>
      <c r="C6" s="20" t="s">
        <v>377</v>
      </c>
      <c r="D6" s="21" t="s">
        <v>511</v>
      </c>
      <c r="E6" s="21" t="s">
        <v>512</v>
      </c>
    </row>
    <row r="7" customFormat="false" ht="15" hidden="false" customHeight="false" outlineLevel="0" collapsed="false">
      <c r="A7" s="11" t="s">
        <v>385</v>
      </c>
      <c r="B7" s="21" t="s">
        <v>513</v>
      </c>
      <c r="C7" s="20" t="s">
        <v>377</v>
      </c>
      <c r="D7" s="21" t="s">
        <v>514</v>
      </c>
      <c r="E7" s="21" t="s">
        <v>512</v>
      </c>
    </row>
    <row r="8" customFormat="false" ht="15" hidden="false" customHeight="false" outlineLevel="0" collapsed="false">
      <c r="A8" s="11" t="s">
        <v>389</v>
      </c>
      <c r="B8" s="21" t="s">
        <v>515</v>
      </c>
      <c r="C8" s="20" t="s">
        <v>377</v>
      </c>
      <c r="D8" s="21" t="s">
        <v>516</v>
      </c>
      <c r="E8" s="21" t="s">
        <v>517</v>
      </c>
    </row>
    <row r="9" customFormat="false" ht="15" hidden="false" customHeight="false" outlineLevel="0" collapsed="false">
      <c r="A9" s="11" t="s">
        <v>393</v>
      </c>
      <c r="B9" s="21" t="s">
        <v>518</v>
      </c>
      <c r="C9" s="20" t="s">
        <v>377</v>
      </c>
      <c r="D9" s="21" t="s">
        <v>519</v>
      </c>
      <c r="E9" s="21" t="s">
        <v>520</v>
      </c>
    </row>
    <row r="10" customFormat="false" ht="15" hidden="false" customHeight="false" outlineLevel="0" collapsed="false">
      <c r="A10" s="11" t="s">
        <v>397</v>
      </c>
      <c r="B10" s="21" t="s">
        <v>521</v>
      </c>
      <c r="C10" s="20" t="s">
        <v>377</v>
      </c>
      <c r="D10" s="21" t="s">
        <v>522</v>
      </c>
      <c r="E10" s="21" t="s">
        <v>523</v>
      </c>
    </row>
    <row r="11" customFormat="false" ht="15" hidden="false" customHeight="false" outlineLevel="0" collapsed="false">
      <c r="A11" s="11" t="s">
        <v>401</v>
      </c>
      <c r="B11" s="21" t="s">
        <v>524</v>
      </c>
      <c r="C11" s="20" t="s">
        <v>377</v>
      </c>
      <c r="D11" s="21" t="s">
        <v>525</v>
      </c>
      <c r="E11" s="21" t="s">
        <v>526</v>
      </c>
    </row>
    <row r="12" customFormat="false" ht="15" hidden="false" customHeight="false" outlineLevel="0" collapsed="false">
      <c r="A12" s="11" t="s">
        <v>406</v>
      </c>
      <c r="B12" s="21" t="s">
        <v>527</v>
      </c>
      <c r="C12" s="20" t="s">
        <v>312</v>
      </c>
      <c r="D12" s="21" t="s">
        <v>528</v>
      </c>
      <c r="E12" s="21" t="s">
        <v>529</v>
      </c>
    </row>
    <row r="13" customFormat="false" ht="15" hidden="false" customHeight="false" outlineLevel="0" collapsed="false">
      <c r="A13" s="11" t="s">
        <v>411</v>
      </c>
      <c r="B13" s="21" t="s">
        <v>319</v>
      </c>
      <c r="C13" s="20" t="s">
        <v>312</v>
      </c>
      <c r="D13" s="21" t="s">
        <v>530</v>
      </c>
      <c r="E13" s="21" t="s">
        <v>531</v>
      </c>
    </row>
    <row r="14" customFormat="false" ht="15" hidden="false" customHeight="false" outlineLevel="0" collapsed="false">
      <c r="A14" s="11" t="s">
        <v>414</v>
      </c>
      <c r="B14" s="21" t="s">
        <v>325</v>
      </c>
      <c r="C14" s="20" t="s">
        <v>312</v>
      </c>
      <c r="D14" s="21" t="s">
        <v>532</v>
      </c>
      <c r="E14" s="22" t="s">
        <v>533</v>
      </c>
    </row>
    <row r="15" customFormat="false" ht="15" hidden="false" customHeight="false" outlineLevel="0" collapsed="false">
      <c r="A15" s="11" t="s">
        <v>534</v>
      </c>
      <c r="B15" s="21" t="s">
        <v>535</v>
      </c>
      <c r="C15" s="20" t="s">
        <v>416</v>
      </c>
      <c r="D15" s="21" t="s">
        <v>536</v>
      </c>
      <c r="E15" s="21" t="s">
        <v>537</v>
      </c>
    </row>
    <row r="16" customFormat="false" ht="15" hidden="false" customHeight="false" outlineLevel="0" collapsed="false">
      <c r="A16" s="11" t="s">
        <v>423</v>
      </c>
      <c r="B16" s="21" t="s">
        <v>538</v>
      </c>
      <c r="C16" s="20" t="s">
        <v>416</v>
      </c>
      <c r="D16" s="21" t="s">
        <v>539</v>
      </c>
      <c r="E16" s="21" t="s">
        <v>540</v>
      </c>
    </row>
    <row r="17" customFormat="false" ht="15" hidden="false" customHeight="false" outlineLevel="0" collapsed="false">
      <c r="A17" s="11" t="s">
        <v>427</v>
      </c>
      <c r="B17" s="21" t="s">
        <v>425</v>
      </c>
      <c r="C17" s="20" t="s">
        <v>249</v>
      </c>
      <c r="D17" s="21" t="s">
        <v>541</v>
      </c>
      <c r="E17" s="21" t="s">
        <v>537</v>
      </c>
    </row>
    <row r="18" customFormat="false" ht="15" hidden="false" customHeight="false" outlineLevel="0" collapsed="false">
      <c r="A18" s="11" t="s">
        <v>431</v>
      </c>
      <c r="B18" s="21" t="s">
        <v>542</v>
      </c>
      <c r="C18" s="20" t="s">
        <v>249</v>
      </c>
      <c r="D18" s="21" t="s">
        <v>543</v>
      </c>
      <c r="E18" s="21" t="s">
        <v>544</v>
      </c>
    </row>
    <row r="19" customFormat="false" ht="15" hidden="false" customHeight="false" outlineLevel="0" collapsed="false">
      <c r="A19" s="11" t="s">
        <v>436</v>
      </c>
      <c r="B19" s="21" t="s">
        <v>434</v>
      </c>
      <c r="C19" s="20" t="s">
        <v>249</v>
      </c>
      <c r="D19" s="21" t="s">
        <v>545</v>
      </c>
      <c r="E19" s="21" t="s">
        <v>546</v>
      </c>
    </row>
    <row r="20" customFormat="false" ht="15" hidden="false" customHeight="false" outlineLevel="0" collapsed="false">
      <c r="A20" s="11" t="s">
        <v>443</v>
      </c>
      <c r="B20" s="21" t="s">
        <v>547</v>
      </c>
      <c r="C20" s="20" t="s">
        <v>336</v>
      </c>
      <c r="D20" s="21" t="s">
        <v>548</v>
      </c>
      <c r="E20" s="21" t="s">
        <v>549</v>
      </c>
    </row>
    <row r="21" customFormat="false" ht="15" hidden="false" customHeight="false" outlineLevel="0" collapsed="false">
      <c r="A21" s="11" t="s">
        <v>447</v>
      </c>
      <c r="B21" s="21" t="s">
        <v>550</v>
      </c>
      <c r="C21" s="20" t="s">
        <v>336</v>
      </c>
      <c r="D21" s="21" t="s">
        <v>551</v>
      </c>
      <c r="E21" s="21" t="s">
        <v>552</v>
      </c>
    </row>
    <row r="22" customFormat="false" ht="15" hidden="false" customHeight="false" outlineLevel="0" collapsed="false">
      <c r="A22" s="11" t="s">
        <v>456</v>
      </c>
      <c r="B22" s="21" t="s">
        <v>454</v>
      </c>
      <c r="C22" s="20" t="s">
        <v>336</v>
      </c>
      <c r="D22" s="21" t="s">
        <v>553</v>
      </c>
      <c r="E22" s="21" t="s">
        <v>554</v>
      </c>
    </row>
    <row r="23" customFormat="false" ht="15" hidden="false" customHeight="false" outlineLevel="0" collapsed="false">
      <c r="A23" s="11" t="s">
        <v>461</v>
      </c>
      <c r="B23" s="21" t="s">
        <v>555</v>
      </c>
      <c r="C23" s="20" t="s">
        <v>458</v>
      </c>
      <c r="D23" s="21" t="s">
        <v>556</v>
      </c>
      <c r="E23" s="21" t="s">
        <v>557</v>
      </c>
    </row>
    <row r="24" customFormat="false" ht="15" hidden="false" customHeight="false" outlineLevel="0" collapsed="false">
      <c r="A24" s="11" t="s">
        <v>465</v>
      </c>
      <c r="B24" s="21" t="s">
        <v>558</v>
      </c>
      <c r="C24" s="20" t="s">
        <v>458</v>
      </c>
      <c r="D24" s="21" t="s">
        <v>559</v>
      </c>
      <c r="E24" s="21" t="s">
        <v>557</v>
      </c>
    </row>
    <row r="25" customFormat="false" ht="15" hidden="false" customHeight="false" outlineLevel="0" collapsed="false">
      <c r="A25" s="11" t="s">
        <v>469</v>
      </c>
      <c r="B25" s="21" t="s">
        <v>560</v>
      </c>
      <c r="C25" s="20" t="s">
        <v>358</v>
      </c>
      <c r="D25" s="21" t="s">
        <v>561</v>
      </c>
      <c r="E25" s="21" t="s">
        <v>562</v>
      </c>
    </row>
    <row r="26" customFormat="false" ht="15" hidden="false" customHeight="false" outlineLevel="0" collapsed="false">
      <c r="A26" s="11" t="s">
        <v>477</v>
      </c>
      <c r="B26" s="21" t="s">
        <v>563</v>
      </c>
      <c r="C26" s="20" t="s">
        <v>474</v>
      </c>
      <c r="D26" s="21" t="s">
        <v>564</v>
      </c>
      <c r="E26" s="21" t="s">
        <v>565</v>
      </c>
    </row>
    <row r="27" customFormat="false" ht="15" hidden="false" customHeight="false" outlineLevel="0" collapsed="false">
      <c r="A27" s="11" t="s">
        <v>498</v>
      </c>
      <c r="B27" s="21" t="s">
        <v>566</v>
      </c>
      <c r="C27" s="20" t="s">
        <v>491</v>
      </c>
      <c r="D27" s="21" t="s">
        <v>567</v>
      </c>
      <c r="E27" s="21" t="s">
        <v>537</v>
      </c>
    </row>
  </sheetData>
  <autoFilter ref="A3:E27"/>
  <hyperlinks>
    <hyperlink ref="E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5"/>
    <col collapsed="false" customWidth="true" hidden="false" outlineLevel="0" max="4" min="4" style="0" width="20"/>
    <col collapsed="false" customWidth="true" hidden="false" outlineLevel="0" max="5" min="5" style="0" width="12"/>
    <col collapsed="false" customWidth="true" hidden="false" outlineLevel="0" max="6" min="6" style="0" width="8"/>
    <col collapsed="false" customWidth="true" hidden="false" outlineLevel="0" max="7" min="7" style="0" width="9"/>
    <col collapsed="false" customWidth="true" hidden="false" outlineLevel="0" max="8" min="8" style="0" width="16"/>
    <col collapsed="false" customWidth="true" hidden="false" outlineLevel="0" max="9" min="9" style="0" width="34"/>
    <col collapsed="false" customWidth="true" hidden="false" outlineLevel="0" max="10" min="10" style="0" width="16"/>
    <col collapsed="false" customWidth="true" hidden="false" outlineLevel="0" max="11" min="11" style="0" width="50"/>
  </cols>
  <sheetData>
    <row r="1" customFormat="false" ht="15" hidden="false" customHeight="false" outlineLevel="0" collapsed="false">
      <c r="A1" s="5" t="s">
        <v>39</v>
      </c>
      <c r="K1" s="19" t="s">
        <v>78</v>
      </c>
    </row>
    <row r="2" customFormat="false" ht="15" hidden="false" customHeight="false" outlineLevel="0" collapsed="false">
      <c r="A2" s="23" t="s">
        <v>568</v>
      </c>
    </row>
    <row r="3" customFormat="false" ht="15" hidden="false" customHeight="false" outlineLevel="0" collapsed="false">
      <c r="A3" s="10" t="s">
        <v>502</v>
      </c>
      <c r="B3" s="10" t="s">
        <v>503</v>
      </c>
      <c r="C3" s="9" t="s">
        <v>24</v>
      </c>
      <c r="D3" s="10" t="s">
        <v>569</v>
      </c>
      <c r="E3" s="10" t="s">
        <v>570</v>
      </c>
      <c r="F3" s="10" t="s">
        <v>571</v>
      </c>
      <c r="G3" s="10" t="s">
        <v>572</v>
      </c>
      <c r="H3" s="10" t="s">
        <v>573</v>
      </c>
      <c r="I3" s="10" t="s">
        <v>574</v>
      </c>
      <c r="J3" s="10" t="s">
        <v>575</v>
      </c>
      <c r="K3" s="10" t="s">
        <v>576</v>
      </c>
    </row>
    <row r="4" customFormat="false" ht="15" hidden="false" customHeight="false" outlineLevel="0" collapsed="false">
      <c r="A4" s="11" t="s">
        <v>440</v>
      </c>
      <c r="B4" s="21" t="s">
        <v>500</v>
      </c>
      <c r="C4" s="11" t="n">
        <v>1</v>
      </c>
      <c r="D4" s="21" t="s">
        <v>577</v>
      </c>
      <c r="E4" s="21" t="s">
        <v>578</v>
      </c>
      <c r="F4" s="20" t="s">
        <v>579</v>
      </c>
      <c r="G4" s="11"/>
      <c r="H4" s="22"/>
      <c r="I4" s="21" t="s">
        <v>580</v>
      </c>
      <c r="J4" s="22"/>
      <c r="K4" s="22" t="s">
        <v>581</v>
      </c>
    </row>
    <row r="5" customFormat="false" ht="15" hidden="false" customHeight="false" outlineLevel="0" collapsed="false">
      <c r="A5" s="11" t="s">
        <v>440</v>
      </c>
      <c r="B5" s="21" t="s">
        <v>500</v>
      </c>
      <c r="C5" s="11" t="n">
        <v>2</v>
      </c>
      <c r="D5" s="21" t="s">
        <v>582</v>
      </c>
      <c r="E5" s="21" t="s">
        <v>578</v>
      </c>
      <c r="F5" s="20" t="s">
        <v>579</v>
      </c>
      <c r="G5" s="11"/>
      <c r="H5" s="22"/>
      <c r="I5" s="22" t="s">
        <v>583</v>
      </c>
      <c r="J5" s="22"/>
      <c r="K5" s="21" t="s">
        <v>584</v>
      </c>
    </row>
    <row r="6" customFormat="false" ht="15" hidden="false" customHeight="false" outlineLevel="0" collapsed="false">
      <c r="A6" s="11" t="s">
        <v>440</v>
      </c>
      <c r="B6" s="21" t="s">
        <v>500</v>
      </c>
      <c r="C6" s="11" t="n">
        <v>3</v>
      </c>
      <c r="D6" s="21" t="s">
        <v>585</v>
      </c>
      <c r="E6" s="21" t="s">
        <v>578</v>
      </c>
      <c r="F6" s="20" t="s">
        <v>579</v>
      </c>
      <c r="G6" s="11"/>
      <c r="H6" s="22"/>
      <c r="I6" s="22" t="s">
        <v>586</v>
      </c>
      <c r="J6" s="22"/>
      <c r="K6" s="21" t="s">
        <v>587</v>
      </c>
    </row>
    <row r="7" customFormat="false" ht="15" hidden="false" customHeight="false" outlineLevel="0" collapsed="false">
      <c r="A7" s="11" t="s">
        <v>440</v>
      </c>
      <c r="B7" s="21" t="s">
        <v>500</v>
      </c>
      <c r="C7" s="11" t="n">
        <v>4</v>
      </c>
      <c r="D7" s="21" t="s">
        <v>588</v>
      </c>
      <c r="E7" s="21" t="s">
        <v>589</v>
      </c>
      <c r="F7" s="20" t="s">
        <v>579</v>
      </c>
      <c r="G7" s="11"/>
      <c r="H7" s="22"/>
      <c r="I7" s="22" t="s">
        <v>590</v>
      </c>
      <c r="J7" s="22"/>
      <c r="K7" s="22" t="s">
        <v>591</v>
      </c>
    </row>
    <row r="8" customFormat="false" ht="15" hidden="false" customHeight="false" outlineLevel="0" collapsed="false">
      <c r="A8" s="11" t="s">
        <v>440</v>
      </c>
      <c r="B8" s="21" t="s">
        <v>500</v>
      </c>
      <c r="C8" s="11" t="n">
        <v>5</v>
      </c>
      <c r="D8" s="21" t="s">
        <v>592</v>
      </c>
      <c r="E8" s="21" t="s">
        <v>578</v>
      </c>
      <c r="F8" s="20" t="s">
        <v>579</v>
      </c>
      <c r="G8" s="11"/>
      <c r="H8" s="22"/>
      <c r="I8" s="22" t="s">
        <v>593</v>
      </c>
      <c r="J8" s="22"/>
      <c r="K8" s="21" t="s">
        <v>594</v>
      </c>
    </row>
    <row r="9" customFormat="false" ht="15" hidden="false" customHeight="false" outlineLevel="0" collapsed="false">
      <c r="A9" s="11" t="s">
        <v>381</v>
      </c>
      <c r="B9" s="21" t="s">
        <v>510</v>
      </c>
      <c r="C9" s="11" t="n">
        <v>1</v>
      </c>
      <c r="D9" s="21" t="s">
        <v>595</v>
      </c>
      <c r="E9" s="21" t="s">
        <v>596</v>
      </c>
      <c r="F9" s="20" t="s">
        <v>597</v>
      </c>
      <c r="G9" s="11" t="s">
        <v>598</v>
      </c>
      <c r="H9" s="22" t="s">
        <v>599</v>
      </c>
      <c r="I9" s="22" t="s">
        <v>600</v>
      </c>
      <c r="J9" s="22"/>
      <c r="K9" s="21" t="s">
        <v>601</v>
      </c>
    </row>
    <row r="10" customFormat="false" ht="26.85" hidden="false" customHeight="false" outlineLevel="0" collapsed="false">
      <c r="A10" s="11" t="s">
        <v>381</v>
      </c>
      <c r="B10" s="21" t="s">
        <v>510</v>
      </c>
      <c r="C10" s="11" t="n">
        <v>2</v>
      </c>
      <c r="D10" s="21" t="s">
        <v>602</v>
      </c>
      <c r="E10" s="21" t="s">
        <v>596</v>
      </c>
      <c r="F10" s="20" t="s">
        <v>597</v>
      </c>
      <c r="G10" s="11"/>
      <c r="H10" s="21" t="s">
        <v>603</v>
      </c>
      <c r="I10" s="22" t="s">
        <v>604</v>
      </c>
      <c r="J10" s="22"/>
      <c r="K10" s="21" t="s">
        <v>605</v>
      </c>
    </row>
    <row r="11" customFormat="false" ht="15" hidden="false" customHeight="false" outlineLevel="0" collapsed="false">
      <c r="A11" s="11" t="s">
        <v>381</v>
      </c>
      <c r="B11" s="21" t="s">
        <v>510</v>
      </c>
      <c r="C11" s="11" t="n">
        <v>3</v>
      </c>
      <c r="D11" s="21" t="s">
        <v>606</v>
      </c>
      <c r="E11" s="21" t="s">
        <v>607</v>
      </c>
      <c r="F11" s="20" t="s">
        <v>597</v>
      </c>
      <c r="G11" s="11" t="s">
        <v>598</v>
      </c>
      <c r="H11" s="22"/>
      <c r="I11" s="22" t="s">
        <v>608</v>
      </c>
      <c r="J11" s="22" t="s">
        <v>609</v>
      </c>
      <c r="K11" s="21" t="s">
        <v>610</v>
      </c>
    </row>
    <row r="12" customFormat="false" ht="15" hidden="false" customHeight="false" outlineLevel="0" collapsed="false">
      <c r="A12" s="11" t="s">
        <v>385</v>
      </c>
      <c r="B12" s="21" t="s">
        <v>513</v>
      </c>
      <c r="C12" s="11" t="n">
        <v>1</v>
      </c>
      <c r="D12" s="21" t="s">
        <v>611</v>
      </c>
      <c r="E12" s="21" t="s">
        <v>596</v>
      </c>
      <c r="F12" s="20" t="s">
        <v>597</v>
      </c>
      <c r="G12" s="11" t="s">
        <v>598</v>
      </c>
      <c r="H12" s="22" t="s">
        <v>599</v>
      </c>
      <c r="I12" s="22" t="s">
        <v>612</v>
      </c>
      <c r="J12" s="22"/>
      <c r="K12" s="21" t="s">
        <v>613</v>
      </c>
    </row>
    <row r="13" customFormat="false" ht="15" hidden="false" customHeight="false" outlineLevel="0" collapsed="false">
      <c r="A13" s="11" t="s">
        <v>385</v>
      </c>
      <c r="B13" s="21" t="s">
        <v>513</v>
      </c>
      <c r="C13" s="11" t="n">
        <v>2</v>
      </c>
      <c r="D13" s="21" t="s">
        <v>614</v>
      </c>
      <c r="E13" s="21" t="s">
        <v>596</v>
      </c>
      <c r="F13" s="20" t="s">
        <v>597</v>
      </c>
      <c r="G13" s="11" t="s">
        <v>598</v>
      </c>
      <c r="H13" s="22" t="s">
        <v>615</v>
      </c>
      <c r="I13" s="22" t="s">
        <v>616</v>
      </c>
      <c r="J13" s="22"/>
      <c r="K13" s="22"/>
    </row>
    <row r="14" customFormat="false" ht="15" hidden="false" customHeight="false" outlineLevel="0" collapsed="false">
      <c r="A14" s="11" t="s">
        <v>385</v>
      </c>
      <c r="B14" s="21" t="s">
        <v>513</v>
      </c>
      <c r="C14" s="11" t="n">
        <v>3</v>
      </c>
      <c r="D14" s="21" t="s">
        <v>617</v>
      </c>
      <c r="E14" s="21" t="s">
        <v>618</v>
      </c>
      <c r="F14" s="20" t="s">
        <v>597</v>
      </c>
      <c r="G14" s="11"/>
      <c r="H14" s="22"/>
      <c r="I14" s="22" t="s">
        <v>619</v>
      </c>
      <c r="J14" s="22"/>
      <c r="K14" s="22"/>
    </row>
    <row r="15" customFormat="false" ht="15" hidden="false" customHeight="false" outlineLevel="0" collapsed="false">
      <c r="A15" s="11" t="s">
        <v>385</v>
      </c>
      <c r="B15" s="21" t="s">
        <v>513</v>
      </c>
      <c r="C15" s="11" t="n">
        <v>4</v>
      </c>
      <c r="D15" s="21" t="s">
        <v>620</v>
      </c>
      <c r="E15" s="21" t="s">
        <v>618</v>
      </c>
      <c r="F15" s="20" t="s">
        <v>597</v>
      </c>
      <c r="G15" s="11" t="s">
        <v>598</v>
      </c>
      <c r="H15" s="21" t="s">
        <v>59</v>
      </c>
      <c r="I15" s="22" t="s">
        <v>621</v>
      </c>
      <c r="J15" s="22"/>
      <c r="K15" s="21" t="s">
        <v>622</v>
      </c>
    </row>
    <row r="16" customFormat="false" ht="15" hidden="false" customHeight="false" outlineLevel="0" collapsed="false">
      <c r="A16" s="11" t="s">
        <v>385</v>
      </c>
      <c r="B16" s="21" t="s">
        <v>513</v>
      </c>
      <c r="C16" s="11" t="n">
        <v>5</v>
      </c>
      <c r="D16" s="21" t="s">
        <v>623</v>
      </c>
      <c r="E16" s="21" t="s">
        <v>624</v>
      </c>
      <c r="F16" s="20" t="s">
        <v>597</v>
      </c>
      <c r="G16" s="11"/>
      <c r="H16" s="21" t="s">
        <v>603</v>
      </c>
      <c r="I16" s="22" t="s">
        <v>625</v>
      </c>
      <c r="J16" s="22"/>
      <c r="K16" s="22"/>
    </row>
    <row r="17" customFormat="false" ht="15" hidden="false" customHeight="false" outlineLevel="0" collapsed="false">
      <c r="A17" s="11" t="s">
        <v>385</v>
      </c>
      <c r="B17" s="21" t="s">
        <v>513</v>
      </c>
      <c r="C17" s="11" t="n">
        <v>6</v>
      </c>
      <c r="D17" s="21" t="s">
        <v>626</v>
      </c>
      <c r="E17" s="21" t="s">
        <v>618</v>
      </c>
      <c r="F17" s="20" t="s">
        <v>597</v>
      </c>
      <c r="G17" s="11" t="s">
        <v>598</v>
      </c>
      <c r="H17" s="21" t="s">
        <v>59</v>
      </c>
      <c r="I17" s="22" t="s">
        <v>627</v>
      </c>
      <c r="J17" s="22"/>
      <c r="K17" s="21" t="s">
        <v>628</v>
      </c>
    </row>
    <row r="18" customFormat="false" ht="15" hidden="false" customHeight="false" outlineLevel="0" collapsed="false">
      <c r="A18" s="11" t="s">
        <v>385</v>
      </c>
      <c r="B18" s="21" t="s">
        <v>513</v>
      </c>
      <c r="C18" s="11" t="n">
        <v>7</v>
      </c>
      <c r="D18" s="21" t="s">
        <v>629</v>
      </c>
      <c r="E18" s="21" t="s">
        <v>630</v>
      </c>
      <c r="F18" s="20" t="s">
        <v>597</v>
      </c>
      <c r="G18" s="11" t="s">
        <v>598</v>
      </c>
      <c r="H18" s="21" t="s">
        <v>631</v>
      </c>
      <c r="I18" s="22" t="s">
        <v>632</v>
      </c>
      <c r="J18" s="22"/>
      <c r="K18" s="21" t="s">
        <v>633</v>
      </c>
    </row>
    <row r="19" customFormat="false" ht="15" hidden="false" customHeight="false" outlineLevel="0" collapsed="false">
      <c r="A19" s="11" t="s">
        <v>385</v>
      </c>
      <c r="B19" s="21" t="s">
        <v>513</v>
      </c>
      <c r="C19" s="11" t="n">
        <v>8</v>
      </c>
      <c r="D19" s="21" t="s">
        <v>634</v>
      </c>
      <c r="E19" s="21" t="s">
        <v>630</v>
      </c>
      <c r="F19" s="20" t="s">
        <v>597</v>
      </c>
      <c r="G19" s="11" t="s">
        <v>598</v>
      </c>
      <c r="H19" s="21" t="s">
        <v>631</v>
      </c>
      <c r="I19" s="22" t="s">
        <v>635</v>
      </c>
      <c r="J19" s="22" t="s">
        <v>636</v>
      </c>
      <c r="K19" s="22" t="s">
        <v>637</v>
      </c>
    </row>
    <row r="20" customFormat="false" ht="15" hidden="false" customHeight="false" outlineLevel="0" collapsed="false">
      <c r="A20" s="11" t="s">
        <v>385</v>
      </c>
      <c r="B20" s="21" t="s">
        <v>513</v>
      </c>
      <c r="C20" s="11" t="n">
        <v>9</v>
      </c>
      <c r="D20" s="21" t="s">
        <v>638</v>
      </c>
      <c r="E20" s="21" t="s">
        <v>618</v>
      </c>
      <c r="F20" s="20" t="s">
        <v>597</v>
      </c>
      <c r="G20" s="11" t="s">
        <v>598</v>
      </c>
      <c r="H20" s="21" t="s">
        <v>59</v>
      </c>
      <c r="I20" s="22" t="s">
        <v>639</v>
      </c>
      <c r="J20" s="22"/>
      <c r="K20" s="21" t="s">
        <v>640</v>
      </c>
    </row>
    <row r="21" customFormat="false" ht="15" hidden="false" customHeight="false" outlineLevel="0" collapsed="false">
      <c r="A21" s="11" t="s">
        <v>385</v>
      </c>
      <c r="B21" s="21" t="s">
        <v>513</v>
      </c>
      <c r="C21" s="11" t="n">
        <v>10</v>
      </c>
      <c r="D21" s="21" t="s">
        <v>641</v>
      </c>
      <c r="E21" s="21" t="s">
        <v>630</v>
      </c>
      <c r="F21" s="20" t="s">
        <v>597</v>
      </c>
      <c r="G21" s="11"/>
      <c r="H21" s="21" t="s">
        <v>603</v>
      </c>
      <c r="I21" s="22" t="s">
        <v>642</v>
      </c>
      <c r="J21" s="22"/>
      <c r="K21" s="21" t="s">
        <v>643</v>
      </c>
    </row>
    <row r="22" customFormat="false" ht="15" hidden="false" customHeight="false" outlineLevel="0" collapsed="false">
      <c r="A22" s="11" t="s">
        <v>385</v>
      </c>
      <c r="B22" s="21" t="s">
        <v>513</v>
      </c>
      <c r="C22" s="11" t="n">
        <v>11</v>
      </c>
      <c r="D22" s="21" t="s">
        <v>606</v>
      </c>
      <c r="E22" s="21" t="s">
        <v>607</v>
      </c>
      <c r="F22" s="20" t="s">
        <v>597</v>
      </c>
      <c r="G22" s="11" t="s">
        <v>598</v>
      </c>
      <c r="H22" s="22"/>
      <c r="I22" s="22" t="s">
        <v>644</v>
      </c>
      <c r="J22" s="22" t="s">
        <v>609</v>
      </c>
      <c r="K22" s="22"/>
    </row>
    <row r="23" customFormat="false" ht="15" hidden="false" customHeight="false" outlineLevel="0" collapsed="false">
      <c r="A23" s="11" t="s">
        <v>389</v>
      </c>
      <c r="B23" s="21" t="s">
        <v>515</v>
      </c>
      <c r="C23" s="11" t="n">
        <v>1</v>
      </c>
      <c r="D23" s="21" t="s">
        <v>645</v>
      </c>
      <c r="E23" s="21" t="s">
        <v>596</v>
      </c>
      <c r="F23" s="20" t="s">
        <v>597</v>
      </c>
      <c r="G23" s="11" t="s">
        <v>598</v>
      </c>
      <c r="H23" s="22" t="s">
        <v>646</v>
      </c>
      <c r="I23" s="22" t="s">
        <v>647</v>
      </c>
      <c r="J23" s="22"/>
      <c r="K23" s="21" t="s">
        <v>648</v>
      </c>
    </row>
    <row r="24" customFormat="false" ht="15" hidden="false" customHeight="false" outlineLevel="0" collapsed="false">
      <c r="A24" s="11" t="s">
        <v>389</v>
      </c>
      <c r="B24" s="21" t="s">
        <v>515</v>
      </c>
      <c r="C24" s="11" t="n">
        <v>2</v>
      </c>
      <c r="D24" s="21" t="s">
        <v>649</v>
      </c>
      <c r="E24" s="21" t="s">
        <v>618</v>
      </c>
      <c r="F24" s="20" t="s">
        <v>597</v>
      </c>
      <c r="G24" s="11" t="s">
        <v>598</v>
      </c>
      <c r="H24" s="21" t="s">
        <v>59</v>
      </c>
      <c r="I24" s="22" t="s">
        <v>650</v>
      </c>
      <c r="J24" s="22"/>
      <c r="K24" s="21" t="s">
        <v>651</v>
      </c>
    </row>
    <row r="25" customFormat="false" ht="15" hidden="false" customHeight="false" outlineLevel="0" collapsed="false">
      <c r="A25" s="11" t="s">
        <v>389</v>
      </c>
      <c r="B25" s="21" t="s">
        <v>515</v>
      </c>
      <c r="C25" s="11" t="n">
        <v>3</v>
      </c>
      <c r="D25" s="21" t="s">
        <v>652</v>
      </c>
      <c r="E25" s="21" t="s">
        <v>596</v>
      </c>
      <c r="F25" s="20" t="s">
        <v>597</v>
      </c>
      <c r="G25" s="20" t="s">
        <v>653</v>
      </c>
      <c r="H25" s="22" t="s">
        <v>599</v>
      </c>
      <c r="I25" s="22" t="s">
        <v>654</v>
      </c>
      <c r="J25" s="22"/>
      <c r="K25" s="22" t="s">
        <v>655</v>
      </c>
    </row>
    <row r="26" customFormat="false" ht="26.85" hidden="false" customHeight="false" outlineLevel="0" collapsed="false">
      <c r="A26" s="11" t="s">
        <v>389</v>
      </c>
      <c r="B26" s="21" t="s">
        <v>515</v>
      </c>
      <c r="C26" s="11" t="n">
        <v>4</v>
      </c>
      <c r="D26" s="21" t="s">
        <v>656</v>
      </c>
      <c r="E26" s="21" t="s">
        <v>596</v>
      </c>
      <c r="F26" s="20" t="s">
        <v>597</v>
      </c>
      <c r="G26" s="11"/>
      <c r="H26" s="21" t="s">
        <v>603</v>
      </c>
      <c r="I26" s="22" t="s">
        <v>657</v>
      </c>
      <c r="J26" s="22"/>
      <c r="K26" s="21" t="s">
        <v>658</v>
      </c>
    </row>
    <row r="27" customFormat="false" ht="15" hidden="false" customHeight="false" outlineLevel="0" collapsed="false">
      <c r="A27" s="11" t="s">
        <v>389</v>
      </c>
      <c r="B27" s="21" t="s">
        <v>515</v>
      </c>
      <c r="C27" s="11" t="n">
        <v>5</v>
      </c>
      <c r="D27" s="21" t="s">
        <v>659</v>
      </c>
      <c r="E27" s="21" t="s">
        <v>630</v>
      </c>
      <c r="F27" s="20" t="s">
        <v>597</v>
      </c>
      <c r="G27" s="11"/>
      <c r="H27" s="22" t="s">
        <v>660</v>
      </c>
      <c r="I27" s="22" t="s">
        <v>661</v>
      </c>
      <c r="J27" s="22"/>
      <c r="K27" s="21" t="s">
        <v>662</v>
      </c>
    </row>
    <row r="28" customFormat="false" ht="15" hidden="false" customHeight="false" outlineLevel="0" collapsed="false">
      <c r="A28" s="11" t="s">
        <v>389</v>
      </c>
      <c r="B28" s="21" t="s">
        <v>515</v>
      </c>
      <c r="C28" s="11" t="n">
        <v>6</v>
      </c>
      <c r="D28" s="21" t="s">
        <v>663</v>
      </c>
      <c r="E28" s="21" t="s">
        <v>664</v>
      </c>
      <c r="F28" s="20" t="s">
        <v>571</v>
      </c>
      <c r="G28" s="11"/>
      <c r="H28" s="22"/>
      <c r="I28" s="22" t="s">
        <v>665</v>
      </c>
      <c r="J28" s="22"/>
      <c r="K28" s="21" t="s">
        <v>666</v>
      </c>
    </row>
    <row r="29" customFormat="false" ht="15" hidden="false" customHeight="false" outlineLevel="0" collapsed="false">
      <c r="A29" s="11" t="s">
        <v>389</v>
      </c>
      <c r="B29" s="21" t="s">
        <v>515</v>
      </c>
      <c r="C29" s="11" t="n">
        <v>7</v>
      </c>
      <c r="D29" s="21" t="s">
        <v>667</v>
      </c>
      <c r="E29" s="21" t="s">
        <v>596</v>
      </c>
      <c r="F29" s="20" t="s">
        <v>597</v>
      </c>
      <c r="G29" s="11"/>
      <c r="H29" s="22" t="s">
        <v>668</v>
      </c>
      <c r="I29" s="22" t="s">
        <v>669</v>
      </c>
      <c r="J29" s="22"/>
      <c r="K29" s="21" t="s">
        <v>670</v>
      </c>
    </row>
    <row r="30" customFormat="false" ht="15" hidden="false" customHeight="false" outlineLevel="0" collapsed="false">
      <c r="A30" s="11" t="s">
        <v>389</v>
      </c>
      <c r="B30" s="21" t="s">
        <v>515</v>
      </c>
      <c r="C30" s="11" t="n">
        <v>8</v>
      </c>
      <c r="D30" s="21" t="s">
        <v>606</v>
      </c>
      <c r="E30" s="21" t="s">
        <v>607</v>
      </c>
      <c r="F30" s="20" t="s">
        <v>597</v>
      </c>
      <c r="G30" s="11" t="s">
        <v>598</v>
      </c>
      <c r="H30" s="22"/>
      <c r="I30" s="22" t="s">
        <v>671</v>
      </c>
      <c r="J30" s="22" t="s">
        <v>609</v>
      </c>
      <c r="K30" s="21" t="s">
        <v>672</v>
      </c>
    </row>
    <row r="31" customFormat="false" ht="15" hidden="false" customHeight="false" outlineLevel="0" collapsed="false">
      <c r="A31" s="11" t="s">
        <v>393</v>
      </c>
      <c r="B31" s="21" t="s">
        <v>518</v>
      </c>
      <c r="C31" s="11" t="n">
        <v>1</v>
      </c>
      <c r="D31" s="21" t="s">
        <v>673</v>
      </c>
      <c r="E31" s="21" t="s">
        <v>596</v>
      </c>
      <c r="F31" s="20" t="s">
        <v>597</v>
      </c>
      <c r="G31" s="11" t="s">
        <v>598</v>
      </c>
      <c r="H31" s="22" t="s">
        <v>674</v>
      </c>
      <c r="I31" s="22" t="s">
        <v>675</v>
      </c>
      <c r="J31" s="22"/>
      <c r="K31" s="21" t="s">
        <v>648</v>
      </c>
    </row>
    <row r="32" customFormat="false" ht="15" hidden="false" customHeight="false" outlineLevel="0" collapsed="false">
      <c r="A32" s="11" t="s">
        <v>393</v>
      </c>
      <c r="B32" s="21" t="s">
        <v>518</v>
      </c>
      <c r="C32" s="11" t="n">
        <v>2</v>
      </c>
      <c r="D32" s="21" t="s">
        <v>626</v>
      </c>
      <c r="E32" s="21" t="s">
        <v>618</v>
      </c>
      <c r="F32" s="20" t="s">
        <v>597</v>
      </c>
      <c r="G32" s="11" t="s">
        <v>598</v>
      </c>
      <c r="H32" s="21" t="s">
        <v>59</v>
      </c>
      <c r="I32" s="22" t="s">
        <v>676</v>
      </c>
      <c r="J32" s="22"/>
      <c r="K32" s="22"/>
    </row>
    <row r="33" customFormat="false" ht="15" hidden="false" customHeight="false" outlineLevel="0" collapsed="false">
      <c r="A33" s="11" t="s">
        <v>393</v>
      </c>
      <c r="B33" s="21" t="s">
        <v>518</v>
      </c>
      <c r="C33" s="11" t="n">
        <v>3</v>
      </c>
      <c r="D33" s="21" t="s">
        <v>677</v>
      </c>
      <c r="E33" s="21" t="s">
        <v>630</v>
      </c>
      <c r="F33" s="20" t="s">
        <v>597</v>
      </c>
      <c r="G33" s="11" t="s">
        <v>598</v>
      </c>
      <c r="H33" s="22" t="s">
        <v>678</v>
      </c>
      <c r="I33" s="22" t="s">
        <v>679</v>
      </c>
      <c r="J33" s="21" t="s">
        <v>680</v>
      </c>
      <c r="K33" s="21" t="s">
        <v>681</v>
      </c>
    </row>
    <row r="34" customFormat="false" ht="15" hidden="false" customHeight="false" outlineLevel="0" collapsed="false">
      <c r="A34" s="11" t="s">
        <v>393</v>
      </c>
      <c r="B34" s="21" t="s">
        <v>518</v>
      </c>
      <c r="C34" s="11" t="n">
        <v>4</v>
      </c>
      <c r="D34" s="21" t="s">
        <v>682</v>
      </c>
      <c r="E34" s="21" t="s">
        <v>607</v>
      </c>
      <c r="F34" s="20" t="s">
        <v>597</v>
      </c>
      <c r="G34" s="11" t="s">
        <v>598</v>
      </c>
      <c r="H34" s="22"/>
      <c r="I34" s="22" t="s">
        <v>683</v>
      </c>
      <c r="J34" s="22" t="s">
        <v>684</v>
      </c>
      <c r="K34" s="21" t="s">
        <v>685</v>
      </c>
    </row>
    <row r="35" customFormat="false" ht="15" hidden="false" customHeight="false" outlineLevel="0" collapsed="false">
      <c r="A35" s="11" t="s">
        <v>393</v>
      </c>
      <c r="B35" s="21" t="s">
        <v>518</v>
      </c>
      <c r="C35" s="11" t="n">
        <v>5</v>
      </c>
      <c r="D35" s="21" t="s">
        <v>606</v>
      </c>
      <c r="E35" s="21" t="s">
        <v>607</v>
      </c>
      <c r="F35" s="20" t="s">
        <v>597</v>
      </c>
      <c r="G35" s="11" t="s">
        <v>598</v>
      </c>
      <c r="H35" s="22"/>
      <c r="I35" s="22" t="s">
        <v>686</v>
      </c>
      <c r="J35" s="22" t="s">
        <v>609</v>
      </c>
      <c r="K35" s="21" t="s">
        <v>687</v>
      </c>
    </row>
    <row r="36" customFormat="false" ht="15" hidden="false" customHeight="false" outlineLevel="0" collapsed="false">
      <c r="A36" s="11" t="s">
        <v>397</v>
      </c>
      <c r="B36" s="21" t="s">
        <v>521</v>
      </c>
      <c r="C36" s="11" t="n">
        <v>1</v>
      </c>
      <c r="D36" s="21" t="s">
        <v>688</v>
      </c>
      <c r="E36" s="21" t="s">
        <v>596</v>
      </c>
      <c r="F36" s="20" t="s">
        <v>597</v>
      </c>
      <c r="G36" s="11" t="s">
        <v>598</v>
      </c>
      <c r="H36" s="22" t="s">
        <v>689</v>
      </c>
      <c r="I36" s="22" t="s">
        <v>690</v>
      </c>
      <c r="J36" s="22"/>
      <c r="K36" s="21" t="s">
        <v>691</v>
      </c>
    </row>
    <row r="37" customFormat="false" ht="15" hidden="false" customHeight="false" outlineLevel="0" collapsed="false">
      <c r="A37" s="11" t="s">
        <v>397</v>
      </c>
      <c r="B37" s="21" t="s">
        <v>521</v>
      </c>
      <c r="C37" s="11" t="n">
        <v>2</v>
      </c>
      <c r="D37" s="21" t="s">
        <v>692</v>
      </c>
      <c r="E37" s="21" t="s">
        <v>618</v>
      </c>
      <c r="F37" s="20" t="s">
        <v>597</v>
      </c>
      <c r="G37" s="11" t="s">
        <v>598</v>
      </c>
      <c r="H37" s="21" t="s">
        <v>59</v>
      </c>
      <c r="I37" s="22" t="s">
        <v>693</v>
      </c>
      <c r="J37" s="22"/>
      <c r="K37" s="21" t="s">
        <v>694</v>
      </c>
    </row>
    <row r="38" customFormat="false" ht="15" hidden="false" customHeight="false" outlineLevel="0" collapsed="false">
      <c r="A38" s="11" t="s">
        <v>397</v>
      </c>
      <c r="B38" s="21" t="s">
        <v>521</v>
      </c>
      <c r="C38" s="11" t="n">
        <v>3</v>
      </c>
      <c r="D38" s="21" t="s">
        <v>606</v>
      </c>
      <c r="E38" s="21" t="s">
        <v>607</v>
      </c>
      <c r="F38" s="20" t="s">
        <v>597</v>
      </c>
      <c r="G38" s="11" t="s">
        <v>598</v>
      </c>
      <c r="H38" s="22"/>
      <c r="I38" s="22" t="s">
        <v>695</v>
      </c>
      <c r="J38" s="22" t="s">
        <v>609</v>
      </c>
      <c r="K38" s="21" t="s">
        <v>696</v>
      </c>
    </row>
    <row r="39" customFormat="false" ht="26.85" hidden="false" customHeight="false" outlineLevel="0" collapsed="false">
      <c r="A39" s="11" t="s">
        <v>397</v>
      </c>
      <c r="B39" s="21" t="s">
        <v>521</v>
      </c>
      <c r="C39" s="11" t="n">
        <v>4</v>
      </c>
      <c r="D39" s="22" t="s">
        <v>697</v>
      </c>
      <c r="E39" s="21" t="s">
        <v>698</v>
      </c>
      <c r="F39" s="11" t="s">
        <v>351</v>
      </c>
      <c r="G39" s="11"/>
      <c r="H39" s="22"/>
      <c r="I39" s="22" t="s">
        <v>699</v>
      </c>
      <c r="J39" s="22"/>
      <c r="K39" s="22" t="s">
        <v>700</v>
      </c>
    </row>
    <row r="40" customFormat="false" ht="26.85" hidden="false" customHeight="false" outlineLevel="0" collapsed="false">
      <c r="A40" s="11" t="s">
        <v>401</v>
      </c>
      <c r="B40" s="21" t="s">
        <v>524</v>
      </c>
      <c r="C40" s="11" t="n">
        <v>1</v>
      </c>
      <c r="D40" s="21" t="s">
        <v>701</v>
      </c>
      <c r="E40" s="21" t="s">
        <v>702</v>
      </c>
      <c r="F40" s="20" t="s">
        <v>571</v>
      </c>
      <c r="G40" s="11"/>
      <c r="H40" s="21" t="s">
        <v>703</v>
      </c>
      <c r="I40" s="22" t="s">
        <v>704</v>
      </c>
      <c r="J40" s="21" t="s">
        <v>705</v>
      </c>
      <c r="K40" s="22" t="s">
        <v>706</v>
      </c>
    </row>
    <row r="41" customFormat="false" ht="15" hidden="false" customHeight="false" outlineLevel="0" collapsed="false">
      <c r="A41" s="11" t="s">
        <v>411</v>
      </c>
      <c r="B41" s="21" t="s">
        <v>319</v>
      </c>
      <c r="C41" s="11" t="n">
        <v>1</v>
      </c>
      <c r="D41" s="21" t="s">
        <v>707</v>
      </c>
      <c r="E41" s="21" t="s">
        <v>708</v>
      </c>
      <c r="F41" s="20" t="s">
        <v>597</v>
      </c>
      <c r="G41" s="11"/>
      <c r="H41" s="22"/>
      <c r="I41" s="22" t="s">
        <v>709</v>
      </c>
      <c r="J41" s="22"/>
      <c r="K41" s="22" t="s">
        <v>710</v>
      </c>
    </row>
    <row r="42" customFormat="false" ht="15" hidden="false" customHeight="false" outlineLevel="0" collapsed="false">
      <c r="A42" s="11" t="s">
        <v>411</v>
      </c>
      <c r="B42" s="21" t="s">
        <v>319</v>
      </c>
      <c r="C42" s="11" t="n">
        <v>2</v>
      </c>
      <c r="D42" s="21" t="s">
        <v>711</v>
      </c>
      <c r="E42" s="21" t="s">
        <v>618</v>
      </c>
      <c r="F42" s="20" t="s">
        <v>597</v>
      </c>
      <c r="G42" s="11" t="s">
        <v>598</v>
      </c>
      <c r="H42" s="22"/>
      <c r="I42" s="22" t="s">
        <v>712</v>
      </c>
      <c r="J42" s="21" t="s">
        <v>713</v>
      </c>
      <c r="K42" s="21" t="s">
        <v>714</v>
      </c>
    </row>
    <row r="43" customFormat="false" ht="15" hidden="false" customHeight="false" outlineLevel="0" collapsed="false">
      <c r="A43" s="11" t="s">
        <v>411</v>
      </c>
      <c r="B43" s="21" t="s">
        <v>319</v>
      </c>
      <c r="C43" s="11" t="n">
        <v>3</v>
      </c>
      <c r="D43" s="21" t="s">
        <v>715</v>
      </c>
      <c r="E43" s="21" t="s">
        <v>80</v>
      </c>
      <c r="F43" s="20" t="s">
        <v>597</v>
      </c>
      <c r="G43" s="11" t="s">
        <v>598</v>
      </c>
      <c r="H43" s="22" t="s">
        <v>716</v>
      </c>
      <c r="I43" s="22" t="s">
        <v>717</v>
      </c>
      <c r="J43" s="21" t="s">
        <v>718</v>
      </c>
      <c r="K43" s="21" t="s">
        <v>719</v>
      </c>
    </row>
    <row r="44" customFormat="false" ht="15" hidden="false" customHeight="false" outlineLevel="0" collapsed="false">
      <c r="A44" s="11" t="s">
        <v>411</v>
      </c>
      <c r="B44" s="21" t="s">
        <v>319</v>
      </c>
      <c r="C44" s="11" t="n">
        <v>4</v>
      </c>
      <c r="D44" s="21" t="s">
        <v>720</v>
      </c>
      <c r="E44" s="21" t="s">
        <v>630</v>
      </c>
      <c r="F44" s="20" t="s">
        <v>597</v>
      </c>
      <c r="G44" s="11"/>
      <c r="H44" s="22" t="s">
        <v>678</v>
      </c>
      <c r="I44" s="22" t="s">
        <v>721</v>
      </c>
      <c r="J44" s="22"/>
      <c r="K44" s="21" t="s">
        <v>722</v>
      </c>
    </row>
    <row r="45" customFormat="false" ht="15" hidden="false" customHeight="false" outlineLevel="0" collapsed="false">
      <c r="A45" s="11" t="s">
        <v>411</v>
      </c>
      <c r="B45" s="21" t="s">
        <v>319</v>
      </c>
      <c r="C45" s="11" t="n">
        <v>5</v>
      </c>
      <c r="D45" s="21" t="s">
        <v>723</v>
      </c>
      <c r="E45" s="21" t="s">
        <v>618</v>
      </c>
      <c r="F45" s="20" t="s">
        <v>597</v>
      </c>
      <c r="G45" s="11" t="s">
        <v>598</v>
      </c>
      <c r="H45" s="22"/>
      <c r="I45" s="22" t="s">
        <v>724</v>
      </c>
      <c r="J45" s="21" t="s">
        <v>725</v>
      </c>
      <c r="K45" s="21" t="s">
        <v>726</v>
      </c>
    </row>
    <row r="46" customFormat="false" ht="26.85" hidden="false" customHeight="false" outlineLevel="0" collapsed="false">
      <c r="A46" s="11" t="s">
        <v>411</v>
      </c>
      <c r="B46" s="21" t="s">
        <v>319</v>
      </c>
      <c r="C46" s="11" t="n">
        <v>6</v>
      </c>
      <c r="D46" s="21" t="s">
        <v>727</v>
      </c>
      <c r="E46" s="21" t="s">
        <v>596</v>
      </c>
      <c r="F46" s="20" t="s">
        <v>597</v>
      </c>
      <c r="G46" s="11" t="s">
        <v>598</v>
      </c>
      <c r="H46" s="22" t="s">
        <v>728</v>
      </c>
      <c r="I46" s="22" t="s">
        <v>729</v>
      </c>
      <c r="J46" s="22"/>
      <c r="K46" s="21" t="s">
        <v>730</v>
      </c>
    </row>
    <row r="47" customFormat="false" ht="15" hidden="false" customHeight="false" outlineLevel="0" collapsed="false">
      <c r="A47" s="11" t="s">
        <v>411</v>
      </c>
      <c r="B47" s="21" t="s">
        <v>319</v>
      </c>
      <c r="C47" s="11" t="n">
        <v>7</v>
      </c>
      <c r="D47" s="21" t="s">
        <v>731</v>
      </c>
      <c r="E47" s="21" t="s">
        <v>80</v>
      </c>
      <c r="F47" s="20" t="s">
        <v>597</v>
      </c>
      <c r="G47" s="11"/>
      <c r="H47" s="22" t="s">
        <v>716</v>
      </c>
      <c r="I47" s="22" t="s">
        <v>732</v>
      </c>
      <c r="J47" s="22"/>
      <c r="K47" s="21" t="s">
        <v>733</v>
      </c>
    </row>
    <row r="48" customFormat="false" ht="15" hidden="false" customHeight="false" outlineLevel="0" collapsed="false">
      <c r="A48" s="11" t="s">
        <v>411</v>
      </c>
      <c r="B48" s="21" t="s">
        <v>319</v>
      </c>
      <c r="C48" s="11" t="n">
        <v>8</v>
      </c>
      <c r="D48" s="21" t="s">
        <v>734</v>
      </c>
      <c r="E48" s="21" t="s">
        <v>80</v>
      </c>
      <c r="F48" s="20" t="s">
        <v>597</v>
      </c>
      <c r="G48" s="11" t="s">
        <v>598</v>
      </c>
      <c r="H48" s="22" t="s">
        <v>716</v>
      </c>
      <c r="I48" s="22" t="s">
        <v>735</v>
      </c>
      <c r="J48" s="21" t="s">
        <v>736</v>
      </c>
      <c r="K48" s="21" t="s">
        <v>737</v>
      </c>
    </row>
    <row r="49" customFormat="false" ht="15" hidden="false" customHeight="false" outlineLevel="0" collapsed="false">
      <c r="A49" s="11" t="s">
        <v>411</v>
      </c>
      <c r="B49" s="21" t="s">
        <v>319</v>
      </c>
      <c r="C49" s="11" t="n">
        <v>9</v>
      </c>
      <c r="D49" s="21" t="s">
        <v>738</v>
      </c>
      <c r="E49" s="21" t="s">
        <v>630</v>
      </c>
      <c r="F49" s="20" t="s">
        <v>597</v>
      </c>
      <c r="G49" s="11" t="s">
        <v>598</v>
      </c>
      <c r="H49" s="21" t="s">
        <v>631</v>
      </c>
      <c r="I49" s="22" t="s">
        <v>739</v>
      </c>
      <c r="J49" s="21" t="s">
        <v>740</v>
      </c>
      <c r="K49" s="22" t="s">
        <v>741</v>
      </c>
    </row>
    <row r="50" customFormat="false" ht="15" hidden="false" customHeight="false" outlineLevel="0" collapsed="false">
      <c r="A50" s="11" t="s">
        <v>411</v>
      </c>
      <c r="B50" s="21" t="s">
        <v>319</v>
      </c>
      <c r="C50" s="11" t="n">
        <v>10</v>
      </c>
      <c r="D50" s="21" t="s">
        <v>742</v>
      </c>
      <c r="E50" s="21" t="s">
        <v>630</v>
      </c>
      <c r="F50" s="20" t="s">
        <v>597</v>
      </c>
      <c r="G50" s="11" t="s">
        <v>598</v>
      </c>
      <c r="H50" s="22" t="s">
        <v>743</v>
      </c>
      <c r="I50" s="22" t="s">
        <v>744</v>
      </c>
      <c r="J50" s="21" t="s">
        <v>745</v>
      </c>
      <c r="K50" s="22" t="s">
        <v>746</v>
      </c>
    </row>
    <row r="51" customFormat="false" ht="15" hidden="false" customHeight="false" outlineLevel="0" collapsed="false">
      <c r="A51" s="11" t="s">
        <v>411</v>
      </c>
      <c r="B51" s="21" t="s">
        <v>319</v>
      </c>
      <c r="C51" s="11" t="n">
        <v>11</v>
      </c>
      <c r="D51" s="21" t="s">
        <v>747</v>
      </c>
      <c r="E51" s="21" t="s">
        <v>618</v>
      </c>
      <c r="F51" s="20" t="s">
        <v>597</v>
      </c>
      <c r="G51" s="11" t="s">
        <v>598</v>
      </c>
      <c r="H51" s="22"/>
      <c r="I51" s="22" t="s">
        <v>748</v>
      </c>
      <c r="J51" s="22"/>
      <c r="K51" s="21" t="s">
        <v>749</v>
      </c>
    </row>
    <row r="52" customFormat="false" ht="15" hidden="false" customHeight="false" outlineLevel="0" collapsed="false">
      <c r="A52" s="11" t="s">
        <v>411</v>
      </c>
      <c r="B52" s="21" t="s">
        <v>319</v>
      </c>
      <c r="C52" s="11" t="n">
        <v>12</v>
      </c>
      <c r="D52" s="21" t="s">
        <v>750</v>
      </c>
      <c r="E52" s="21" t="s">
        <v>751</v>
      </c>
      <c r="F52" s="20" t="s">
        <v>579</v>
      </c>
      <c r="G52" s="11"/>
      <c r="H52" s="22"/>
      <c r="I52" s="22" t="s">
        <v>752</v>
      </c>
      <c r="J52" s="22"/>
      <c r="K52" s="21" t="s">
        <v>753</v>
      </c>
    </row>
    <row r="53" customFormat="false" ht="15" hidden="false" customHeight="false" outlineLevel="0" collapsed="false">
      <c r="A53" s="11" t="s">
        <v>411</v>
      </c>
      <c r="B53" s="21" t="s">
        <v>319</v>
      </c>
      <c r="C53" s="11" t="n">
        <v>13</v>
      </c>
      <c r="D53" s="21" t="s">
        <v>754</v>
      </c>
      <c r="E53" s="21" t="s">
        <v>698</v>
      </c>
      <c r="F53" s="11" t="s">
        <v>351</v>
      </c>
      <c r="G53" s="11"/>
      <c r="H53" s="22"/>
      <c r="I53" s="22"/>
      <c r="J53" s="22"/>
      <c r="K53" s="21" t="s">
        <v>755</v>
      </c>
    </row>
    <row r="54" customFormat="false" ht="15" hidden="false" customHeight="false" outlineLevel="0" collapsed="false">
      <c r="A54" s="11" t="s">
        <v>411</v>
      </c>
      <c r="B54" s="21" t="s">
        <v>319</v>
      </c>
      <c r="C54" s="11" t="n">
        <v>14</v>
      </c>
      <c r="D54" s="21" t="s">
        <v>756</v>
      </c>
      <c r="E54" s="21" t="s">
        <v>698</v>
      </c>
      <c r="F54" s="11" t="s">
        <v>351</v>
      </c>
      <c r="G54" s="11"/>
      <c r="H54" s="22"/>
      <c r="I54" s="22"/>
      <c r="J54" s="22"/>
      <c r="K54" s="22" t="s">
        <v>757</v>
      </c>
    </row>
    <row r="55" customFormat="false" ht="15" hidden="false" customHeight="false" outlineLevel="0" collapsed="false">
      <c r="A55" s="11" t="s">
        <v>414</v>
      </c>
      <c r="B55" s="21" t="s">
        <v>325</v>
      </c>
      <c r="C55" s="11" t="n">
        <v>1</v>
      </c>
      <c r="D55" s="21" t="s">
        <v>758</v>
      </c>
      <c r="E55" s="21" t="s">
        <v>578</v>
      </c>
      <c r="F55" s="20" t="s">
        <v>579</v>
      </c>
      <c r="G55" s="11"/>
      <c r="H55" s="22"/>
      <c r="I55" s="22" t="s">
        <v>759</v>
      </c>
      <c r="J55" s="22"/>
      <c r="K55" s="21" t="s">
        <v>760</v>
      </c>
    </row>
    <row r="56" customFormat="false" ht="15" hidden="false" customHeight="false" outlineLevel="0" collapsed="false">
      <c r="A56" s="11" t="s">
        <v>414</v>
      </c>
      <c r="B56" s="21" t="s">
        <v>325</v>
      </c>
      <c r="C56" s="11" t="n">
        <v>2</v>
      </c>
      <c r="D56" s="22" t="s">
        <v>761</v>
      </c>
      <c r="E56" s="21" t="s">
        <v>762</v>
      </c>
      <c r="F56" s="20" t="s">
        <v>597</v>
      </c>
      <c r="G56" s="20" t="s">
        <v>763</v>
      </c>
      <c r="H56" s="22" t="s">
        <v>764</v>
      </c>
      <c r="I56" s="22" t="s">
        <v>765</v>
      </c>
      <c r="J56" s="22"/>
      <c r="K56" s="22" t="s">
        <v>766</v>
      </c>
    </row>
    <row r="57" customFormat="false" ht="15" hidden="false" customHeight="false" outlineLevel="0" collapsed="false">
      <c r="A57" s="11" t="s">
        <v>414</v>
      </c>
      <c r="B57" s="21" t="s">
        <v>325</v>
      </c>
      <c r="C57" s="11" t="n">
        <v>3</v>
      </c>
      <c r="D57" s="21" t="s">
        <v>767</v>
      </c>
      <c r="E57" s="21" t="s">
        <v>630</v>
      </c>
      <c r="F57" s="20" t="s">
        <v>597</v>
      </c>
      <c r="G57" s="11"/>
      <c r="H57" s="22" t="s">
        <v>768</v>
      </c>
      <c r="I57" s="22" t="s">
        <v>769</v>
      </c>
      <c r="J57" s="22"/>
      <c r="K57" s="22" t="s">
        <v>770</v>
      </c>
    </row>
    <row r="58" customFormat="false" ht="15" hidden="false" customHeight="false" outlineLevel="0" collapsed="false">
      <c r="A58" s="11" t="s">
        <v>414</v>
      </c>
      <c r="B58" s="21" t="s">
        <v>325</v>
      </c>
      <c r="C58" s="11" t="n">
        <v>4</v>
      </c>
      <c r="D58" s="21" t="s">
        <v>771</v>
      </c>
      <c r="E58" s="21" t="s">
        <v>772</v>
      </c>
      <c r="F58" s="20" t="s">
        <v>597</v>
      </c>
      <c r="G58" s="11" t="s">
        <v>598</v>
      </c>
      <c r="H58" s="21" t="s">
        <v>773</v>
      </c>
      <c r="I58" s="22" t="s">
        <v>774</v>
      </c>
      <c r="J58" s="22"/>
      <c r="K58" s="22"/>
    </row>
    <row r="59" customFormat="false" ht="26.85" hidden="false" customHeight="false" outlineLevel="0" collapsed="false">
      <c r="A59" s="11" t="s">
        <v>414</v>
      </c>
      <c r="B59" s="21" t="s">
        <v>325</v>
      </c>
      <c r="C59" s="11" t="n">
        <v>5</v>
      </c>
      <c r="D59" s="21" t="s">
        <v>775</v>
      </c>
      <c r="E59" s="21" t="s">
        <v>776</v>
      </c>
      <c r="F59" s="20" t="s">
        <v>597</v>
      </c>
      <c r="G59" s="20" t="s">
        <v>777</v>
      </c>
      <c r="H59" s="22" t="s">
        <v>778</v>
      </c>
      <c r="I59" s="22" t="s">
        <v>779</v>
      </c>
      <c r="J59" s="22"/>
      <c r="K59" s="22"/>
    </row>
    <row r="60" customFormat="false" ht="15" hidden="false" customHeight="false" outlineLevel="0" collapsed="false">
      <c r="A60" s="11" t="s">
        <v>414</v>
      </c>
      <c r="B60" s="21" t="s">
        <v>325</v>
      </c>
      <c r="C60" s="11" t="n">
        <v>6</v>
      </c>
      <c r="D60" s="21" t="s">
        <v>780</v>
      </c>
      <c r="E60" s="21" t="s">
        <v>698</v>
      </c>
      <c r="F60" s="11" t="s">
        <v>351</v>
      </c>
      <c r="G60" s="11"/>
      <c r="H60" s="22"/>
      <c r="I60" s="22"/>
      <c r="J60" s="22"/>
      <c r="K60" s="21" t="s">
        <v>781</v>
      </c>
    </row>
    <row r="61" customFormat="false" ht="26.85" hidden="false" customHeight="false" outlineLevel="0" collapsed="false">
      <c r="A61" s="11" t="s">
        <v>414</v>
      </c>
      <c r="B61" s="21" t="s">
        <v>325</v>
      </c>
      <c r="C61" s="11" t="n">
        <v>7</v>
      </c>
      <c r="D61" s="21" t="s">
        <v>782</v>
      </c>
      <c r="E61" s="21" t="s">
        <v>578</v>
      </c>
      <c r="F61" s="20" t="s">
        <v>579</v>
      </c>
      <c r="G61" s="11"/>
      <c r="H61" s="22"/>
      <c r="I61" s="22" t="s">
        <v>783</v>
      </c>
      <c r="J61" s="22"/>
      <c r="K61" s="22" t="s">
        <v>784</v>
      </c>
    </row>
    <row r="62" customFormat="false" ht="15" hidden="false" customHeight="false" outlineLevel="0" collapsed="false">
      <c r="A62" s="11" t="s">
        <v>414</v>
      </c>
      <c r="B62" s="21" t="s">
        <v>325</v>
      </c>
      <c r="C62" s="11" t="n">
        <v>8</v>
      </c>
      <c r="D62" s="21" t="s">
        <v>785</v>
      </c>
      <c r="E62" s="21" t="s">
        <v>772</v>
      </c>
      <c r="F62" s="20" t="s">
        <v>597</v>
      </c>
      <c r="G62" s="11" t="s">
        <v>598</v>
      </c>
      <c r="H62" s="21" t="s">
        <v>786</v>
      </c>
      <c r="I62" s="22" t="s">
        <v>787</v>
      </c>
      <c r="J62" s="22"/>
      <c r="K62" s="21" t="s">
        <v>788</v>
      </c>
    </row>
    <row r="63" customFormat="false" ht="15" hidden="false" customHeight="false" outlineLevel="0" collapsed="false">
      <c r="A63" s="11" t="s">
        <v>534</v>
      </c>
      <c r="B63" s="21" t="s">
        <v>535</v>
      </c>
      <c r="C63" s="11" t="n">
        <v>1</v>
      </c>
      <c r="D63" s="21" t="s">
        <v>723</v>
      </c>
      <c r="E63" s="21" t="s">
        <v>708</v>
      </c>
      <c r="F63" s="20" t="s">
        <v>597</v>
      </c>
      <c r="G63" s="11"/>
      <c r="H63" s="22"/>
      <c r="I63" s="22" t="s">
        <v>789</v>
      </c>
      <c r="J63" s="22"/>
      <c r="K63" s="21" t="s">
        <v>790</v>
      </c>
    </row>
    <row r="64" customFormat="false" ht="15" hidden="false" customHeight="false" outlineLevel="0" collapsed="false">
      <c r="A64" s="11" t="s">
        <v>534</v>
      </c>
      <c r="B64" s="21" t="s">
        <v>535</v>
      </c>
      <c r="C64" s="11" t="n">
        <v>2</v>
      </c>
      <c r="D64" s="21" t="s">
        <v>791</v>
      </c>
      <c r="E64" s="21" t="s">
        <v>596</v>
      </c>
      <c r="F64" s="20" t="s">
        <v>597</v>
      </c>
      <c r="G64" s="11"/>
      <c r="H64" s="22" t="s">
        <v>792</v>
      </c>
      <c r="I64" s="22" t="s">
        <v>752</v>
      </c>
      <c r="J64" s="22"/>
      <c r="K64" s="21" t="s">
        <v>793</v>
      </c>
    </row>
    <row r="65" customFormat="false" ht="15" hidden="false" customHeight="false" outlineLevel="0" collapsed="false">
      <c r="A65" s="11" t="s">
        <v>534</v>
      </c>
      <c r="B65" s="21" t="s">
        <v>535</v>
      </c>
      <c r="C65" s="11" t="n">
        <v>3</v>
      </c>
      <c r="D65" s="21" t="s">
        <v>794</v>
      </c>
      <c r="E65" s="21" t="s">
        <v>795</v>
      </c>
      <c r="F65" s="20" t="s">
        <v>597</v>
      </c>
      <c r="G65" s="11"/>
      <c r="H65" s="22"/>
      <c r="I65" s="22" t="s">
        <v>774</v>
      </c>
      <c r="J65" s="22" t="s">
        <v>796</v>
      </c>
      <c r="K65" s="21" t="s">
        <v>790</v>
      </c>
    </row>
    <row r="66" customFormat="false" ht="15" hidden="false" customHeight="false" outlineLevel="0" collapsed="false">
      <c r="A66" s="11" t="s">
        <v>534</v>
      </c>
      <c r="B66" s="21" t="s">
        <v>535</v>
      </c>
      <c r="C66" s="11" t="n">
        <v>4</v>
      </c>
      <c r="D66" s="21" t="s">
        <v>797</v>
      </c>
      <c r="E66" s="21" t="s">
        <v>798</v>
      </c>
      <c r="F66" s="20" t="s">
        <v>597</v>
      </c>
      <c r="G66" s="11"/>
      <c r="H66" s="22" t="s">
        <v>716</v>
      </c>
      <c r="I66" s="22" t="s">
        <v>799</v>
      </c>
      <c r="J66" s="22"/>
      <c r="K66" s="21" t="s">
        <v>790</v>
      </c>
    </row>
    <row r="67" customFormat="false" ht="26.85" hidden="false" customHeight="false" outlineLevel="0" collapsed="false">
      <c r="A67" s="11" t="s">
        <v>534</v>
      </c>
      <c r="B67" s="21" t="s">
        <v>535</v>
      </c>
      <c r="C67" s="11" t="n">
        <v>5</v>
      </c>
      <c r="D67" s="21" t="s">
        <v>800</v>
      </c>
      <c r="E67" s="21" t="s">
        <v>578</v>
      </c>
      <c r="F67" s="20" t="s">
        <v>579</v>
      </c>
      <c r="G67" s="11"/>
      <c r="H67" s="22"/>
      <c r="I67" s="22" t="s">
        <v>801</v>
      </c>
      <c r="J67" s="22"/>
      <c r="K67" s="21" t="s">
        <v>802</v>
      </c>
    </row>
    <row r="68" customFormat="false" ht="15" hidden="false" customHeight="false" outlineLevel="0" collapsed="false">
      <c r="A68" s="11" t="s">
        <v>534</v>
      </c>
      <c r="B68" s="21" t="s">
        <v>535</v>
      </c>
      <c r="C68" s="11" t="n">
        <v>6</v>
      </c>
      <c r="D68" s="22" t="s">
        <v>803</v>
      </c>
      <c r="E68" s="21" t="s">
        <v>698</v>
      </c>
      <c r="F68" s="11" t="s">
        <v>351</v>
      </c>
      <c r="G68" s="11"/>
      <c r="H68" s="22"/>
      <c r="I68" s="22"/>
      <c r="J68" s="22"/>
      <c r="K68" s="21" t="s">
        <v>804</v>
      </c>
    </row>
    <row r="69" customFormat="false" ht="26.85" hidden="false" customHeight="false" outlineLevel="0" collapsed="false">
      <c r="A69" s="11" t="s">
        <v>423</v>
      </c>
      <c r="B69" s="21" t="s">
        <v>538</v>
      </c>
      <c r="C69" s="11" t="n">
        <v>1</v>
      </c>
      <c r="D69" s="21" t="s">
        <v>805</v>
      </c>
      <c r="E69" s="21" t="s">
        <v>806</v>
      </c>
      <c r="F69" s="20" t="s">
        <v>579</v>
      </c>
      <c r="G69" s="11"/>
      <c r="H69" s="22"/>
      <c r="I69" s="22" t="s">
        <v>807</v>
      </c>
      <c r="J69" s="22"/>
      <c r="K69" s="21" t="s">
        <v>808</v>
      </c>
    </row>
    <row r="70" customFormat="false" ht="15" hidden="false" customHeight="false" outlineLevel="0" collapsed="false">
      <c r="A70" s="11" t="s">
        <v>423</v>
      </c>
      <c r="B70" s="21" t="s">
        <v>538</v>
      </c>
      <c r="C70" s="11" t="n">
        <v>2</v>
      </c>
      <c r="D70" s="21" t="s">
        <v>794</v>
      </c>
      <c r="E70" s="21" t="s">
        <v>806</v>
      </c>
      <c r="F70" s="20" t="s">
        <v>579</v>
      </c>
      <c r="G70" s="11"/>
      <c r="H70" s="22"/>
      <c r="I70" s="22" t="s">
        <v>774</v>
      </c>
      <c r="J70" s="22"/>
      <c r="K70" s="21" t="s">
        <v>809</v>
      </c>
    </row>
    <row r="71" customFormat="false" ht="15" hidden="false" customHeight="false" outlineLevel="0" collapsed="false">
      <c r="A71" s="11" t="s">
        <v>423</v>
      </c>
      <c r="B71" s="21" t="s">
        <v>538</v>
      </c>
      <c r="C71" s="11" t="n">
        <v>3</v>
      </c>
      <c r="D71" s="21" t="s">
        <v>810</v>
      </c>
      <c r="E71" s="21" t="s">
        <v>578</v>
      </c>
      <c r="F71" s="20" t="s">
        <v>579</v>
      </c>
      <c r="G71" s="11"/>
      <c r="H71" s="22"/>
      <c r="I71" s="22" t="s">
        <v>811</v>
      </c>
      <c r="J71" s="22"/>
      <c r="K71" s="21" t="s">
        <v>812</v>
      </c>
    </row>
    <row r="72" customFormat="false" ht="15" hidden="false" customHeight="false" outlineLevel="0" collapsed="false">
      <c r="A72" s="11" t="s">
        <v>423</v>
      </c>
      <c r="B72" s="21" t="s">
        <v>538</v>
      </c>
      <c r="C72" s="11" t="n">
        <v>4</v>
      </c>
      <c r="D72" s="21" t="s">
        <v>813</v>
      </c>
      <c r="E72" s="21" t="s">
        <v>578</v>
      </c>
      <c r="F72" s="20" t="s">
        <v>579</v>
      </c>
      <c r="G72" s="11"/>
      <c r="H72" s="22"/>
      <c r="I72" s="22" t="s">
        <v>814</v>
      </c>
      <c r="J72" s="22"/>
      <c r="K72" s="21" t="s">
        <v>815</v>
      </c>
    </row>
    <row r="73" customFormat="false" ht="15" hidden="false" customHeight="false" outlineLevel="0" collapsed="false">
      <c r="A73" s="11" t="s">
        <v>423</v>
      </c>
      <c r="B73" s="21" t="s">
        <v>538</v>
      </c>
      <c r="C73" s="11" t="n">
        <v>5</v>
      </c>
      <c r="D73" s="21" t="s">
        <v>816</v>
      </c>
      <c r="E73" s="21" t="s">
        <v>578</v>
      </c>
      <c r="F73" s="20" t="s">
        <v>571</v>
      </c>
      <c r="G73" s="11"/>
      <c r="H73" s="22" t="s">
        <v>764</v>
      </c>
      <c r="I73" s="22" t="s">
        <v>765</v>
      </c>
      <c r="J73" s="22"/>
      <c r="K73" s="22" t="s">
        <v>817</v>
      </c>
    </row>
    <row r="74" customFormat="false" ht="15" hidden="false" customHeight="false" outlineLevel="0" collapsed="false">
      <c r="A74" s="11" t="s">
        <v>423</v>
      </c>
      <c r="B74" s="21" t="s">
        <v>538</v>
      </c>
      <c r="C74" s="11" t="n">
        <v>6</v>
      </c>
      <c r="D74" s="21" t="s">
        <v>818</v>
      </c>
      <c r="E74" s="21" t="s">
        <v>578</v>
      </c>
      <c r="F74" s="20" t="s">
        <v>579</v>
      </c>
      <c r="G74" s="11"/>
      <c r="H74" s="22"/>
      <c r="I74" s="22" t="s">
        <v>819</v>
      </c>
      <c r="J74" s="22"/>
      <c r="K74" s="21" t="s">
        <v>820</v>
      </c>
    </row>
    <row r="75" customFormat="false" ht="35.05" hidden="false" customHeight="false" outlineLevel="0" collapsed="false">
      <c r="A75" s="11" t="s">
        <v>423</v>
      </c>
      <c r="B75" s="21" t="s">
        <v>538</v>
      </c>
      <c r="C75" s="11" t="n">
        <v>7</v>
      </c>
      <c r="D75" s="21" t="s">
        <v>821</v>
      </c>
      <c r="E75" s="21" t="s">
        <v>618</v>
      </c>
      <c r="F75" s="20" t="s">
        <v>597</v>
      </c>
      <c r="G75" s="11" t="s">
        <v>598</v>
      </c>
      <c r="H75" s="22" t="s">
        <v>822</v>
      </c>
      <c r="I75" s="22" t="s">
        <v>774</v>
      </c>
      <c r="J75" s="22"/>
      <c r="K75" s="22" t="s">
        <v>823</v>
      </c>
    </row>
    <row r="76" customFormat="false" ht="15" hidden="false" customHeight="false" outlineLevel="0" collapsed="false">
      <c r="A76" s="11" t="s">
        <v>423</v>
      </c>
      <c r="B76" s="21" t="s">
        <v>538</v>
      </c>
      <c r="C76" s="11" t="n">
        <v>8</v>
      </c>
      <c r="D76" s="21" t="s">
        <v>824</v>
      </c>
      <c r="E76" s="21" t="s">
        <v>776</v>
      </c>
      <c r="F76" s="20" t="s">
        <v>597</v>
      </c>
      <c r="G76" s="11" t="s">
        <v>598</v>
      </c>
      <c r="H76" s="22" t="s">
        <v>778</v>
      </c>
      <c r="I76" s="22" t="s">
        <v>825</v>
      </c>
      <c r="J76" s="22"/>
      <c r="K76" s="22" t="s">
        <v>826</v>
      </c>
    </row>
    <row r="77" customFormat="false" ht="15" hidden="false" customHeight="false" outlineLevel="0" collapsed="false">
      <c r="A77" s="11" t="s">
        <v>423</v>
      </c>
      <c r="B77" s="21" t="s">
        <v>538</v>
      </c>
      <c r="C77" s="11" t="n">
        <v>9</v>
      </c>
      <c r="D77" s="21" t="s">
        <v>827</v>
      </c>
      <c r="E77" s="21" t="s">
        <v>698</v>
      </c>
      <c r="F77" s="11" t="s">
        <v>351</v>
      </c>
      <c r="G77" s="11"/>
      <c r="H77" s="22"/>
      <c r="I77" s="22"/>
      <c r="J77" s="22"/>
      <c r="K77" s="21" t="s">
        <v>828</v>
      </c>
    </row>
    <row r="78" customFormat="false" ht="15" hidden="false" customHeight="false" outlineLevel="0" collapsed="false">
      <c r="A78" s="11" t="s">
        <v>423</v>
      </c>
      <c r="B78" s="21" t="s">
        <v>538</v>
      </c>
      <c r="C78" s="11" t="n">
        <v>10</v>
      </c>
      <c r="D78" s="21" t="s">
        <v>829</v>
      </c>
      <c r="E78" s="21" t="s">
        <v>698</v>
      </c>
      <c r="F78" s="11" t="s">
        <v>351</v>
      </c>
      <c r="G78" s="11"/>
      <c r="H78" s="22"/>
      <c r="I78" s="22"/>
      <c r="J78" s="22"/>
      <c r="K78" s="22" t="s">
        <v>830</v>
      </c>
    </row>
    <row r="79" customFormat="false" ht="15" hidden="false" customHeight="false" outlineLevel="0" collapsed="false">
      <c r="A79" s="11" t="s">
        <v>427</v>
      </c>
      <c r="B79" s="21" t="s">
        <v>425</v>
      </c>
      <c r="C79" s="11" t="n">
        <v>1</v>
      </c>
      <c r="D79" s="21" t="s">
        <v>723</v>
      </c>
      <c r="E79" s="21" t="s">
        <v>708</v>
      </c>
      <c r="F79" s="20" t="s">
        <v>597</v>
      </c>
      <c r="G79" s="11"/>
      <c r="H79" s="22"/>
      <c r="I79" s="22" t="s">
        <v>789</v>
      </c>
      <c r="J79" s="22"/>
      <c r="K79" s="21" t="s">
        <v>790</v>
      </c>
    </row>
    <row r="80" customFormat="false" ht="15" hidden="false" customHeight="false" outlineLevel="0" collapsed="false">
      <c r="A80" s="11" t="s">
        <v>427</v>
      </c>
      <c r="B80" s="21" t="s">
        <v>425</v>
      </c>
      <c r="C80" s="11" t="n">
        <v>2</v>
      </c>
      <c r="D80" s="21" t="s">
        <v>831</v>
      </c>
      <c r="E80" s="21" t="s">
        <v>618</v>
      </c>
      <c r="F80" s="20" t="s">
        <v>597</v>
      </c>
      <c r="G80" s="11"/>
      <c r="H80" s="22"/>
      <c r="I80" s="22" t="s">
        <v>832</v>
      </c>
      <c r="J80" s="22"/>
      <c r="K80" s="21" t="s">
        <v>790</v>
      </c>
    </row>
    <row r="81" customFormat="false" ht="15" hidden="false" customHeight="false" outlineLevel="0" collapsed="false">
      <c r="A81" s="11" t="s">
        <v>427</v>
      </c>
      <c r="B81" s="21" t="s">
        <v>425</v>
      </c>
      <c r="C81" s="11" t="n">
        <v>3</v>
      </c>
      <c r="D81" s="21" t="s">
        <v>833</v>
      </c>
      <c r="E81" s="21" t="s">
        <v>607</v>
      </c>
      <c r="F81" s="20" t="s">
        <v>597</v>
      </c>
      <c r="G81" s="11"/>
      <c r="H81" s="22"/>
      <c r="I81" s="21" t="s">
        <v>834</v>
      </c>
      <c r="J81" s="22" t="s">
        <v>684</v>
      </c>
      <c r="K81" s="22" t="s">
        <v>835</v>
      </c>
    </row>
    <row r="82" customFormat="false" ht="26.85" hidden="false" customHeight="false" outlineLevel="0" collapsed="false">
      <c r="A82" s="11" t="s">
        <v>427</v>
      </c>
      <c r="B82" s="21" t="s">
        <v>425</v>
      </c>
      <c r="C82" s="11" t="n">
        <v>4</v>
      </c>
      <c r="D82" s="21" t="s">
        <v>836</v>
      </c>
      <c r="E82" s="21" t="s">
        <v>578</v>
      </c>
      <c r="F82" s="20" t="s">
        <v>579</v>
      </c>
      <c r="G82" s="11"/>
      <c r="H82" s="22"/>
      <c r="I82" s="22" t="s">
        <v>837</v>
      </c>
      <c r="J82" s="22"/>
      <c r="K82" s="21" t="s">
        <v>838</v>
      </c>
    </row>
    <row r="83" customFormat="false" ht="15" hidden="false" customHeight="false" outlineLevel="0" collapsed="false">
      <c r="A83" s="11" t="s">
        <v>427</v>
      </c>
      <c r="B83" s="21" t="s">
        <v>425</v>
      </c>
      <c r="C83" s="11" t="n">
        <v>5</v>
      </c>
      <c r="D83" s="22" t="s">
        <v>803</v>
      </c>
      <c r="E83" s="21" t="s">
        <v>698</v>
      </c>
      <c r="F83" s="11" t="s">
        <v>351</v>
      </c>
      <c r="G83" s="11"/>
      <c r="H83" s="22"/>
      <c r="I83" s="22"/>
      <c r="J83" s="22"/>
      <c r="K83" s="21" t="s">
        <v>804</v>
      </c>
    </row>
    <row r="84" customFormat="false" ht="26.85" hidden="false" customHeight="false" outlineLevel="0" collapsed="false">
      <c r="A84" s="11" t="s">
        <v>431</v>
      </c>
      <c r="B84" s="21" t="s">
        <v>542</v>
      </c>
      <c r="C84" s="11" t="n">
        <v>1</v>
      </c>
      <c r="D84" s="21" t="s">
        <v>839</v>
      </c>
      <c r="E84" s="21" t="s">
        <v>772</v>
      </c>
      <c r="F84" s="20" t="s">
        <v>597</v>
      </c>
      <c r="G84" s="11" t="s">
        <v>598</v>
      </c>
      <c r="H84" s="21" t="s">
        <v>840</v>
      </c>
      <c r="I84" s="22" t="s">
        <v>787</v>
      </c>
      <c r="J84" s="21" t="s">
        <v>841</v>
      </c>
      <c r="K84" s="22" t="s">
        <v>842</v>
      </c>
    </row>
    <row r="85" customFormat="false" ht="15" hidden="false" customHeight="false" outlineLevel="0" collapsed="false">
      <c r="A85" s="11" t="s">
        <v>431</v>
      </c>
      <c r="B85" s="21" t="s">
        <v>542</v>
      </c>
      <c r="C85" s="11" t="n">
        <v>2</v>
      </c>
      <c r="D85" s="21" t="s">
        <v>416</v>
      </c>
      <c r="E85" s="21" t="s">
        <v>708</v>
      </c>
      <c r="F85" s="20" t="s">
        <v>597</v>
      </c>
      <c r="G85" s="11" t="s">
        <v>598</v>
      </c>
      <c r="H85" s="22"/>
      <c r="I85" s="22" t="s">
        <v>843</v>
      </c>
      <c r="J85" s="22"/>
      <c r="K85" s="21" t="s">
        <v>844</v>
      </c>
    </row>
    <row r="86" customFormat="false" ht="26.85" hidden="false" customHeight="false" outlineLevel="0" collapsed="false">
      <c r="A86" s="11" t="s">
        <v>431</v>
      </c>
      <c r="B86" s="21" t="s">
        <v>542</v>
      </c>
      <c r="C86" s="11" t="n">
        <v>3</v>
      </c>
      <c r="D86" s="21" t="s">
        <v>845</v>
      </c>
      <c r="E86" s="21" t="s">
        <v>618</v>
      </c>
      <c r="F86" s="20" t="s">
        <v>597</v>
      </c>
      <c r="G86" s="11" t="s">
        <v>598</v>
      </c>
      <c r="H86" s="22"/>
      <c r="I86" s="22" t="s">
        <v>846</v>
      </c>
      <c r="J86" s="22"/>
      <c r="K86" s="21" t="s">
        <v>847</v>
      </c>
    </row>
    <row r="87" customFormat="false" ht="15" hidden="false" customHeight="false" outlineLevel="0" collapsed="false">
      <c r="A87" s="11" t="s">
        <v>431</v>
      </c>
      <c r="B87" s="21" t="s">
        <v>542</v>
      </c>
      <c r="C87" s="11" t="n">
        <v>4</v>
      </c>
      <c r="D87" s="21" t="s">
        <v>848</v>
      </c>
      <c r="E87" s="21" t="s">
        <v>618</v>
      </c>
      <c r="F87" s="20" t="s">
        <v>597</v>
      </c>
      <c r="G87" s="20" t="s">
        <v>849</v>
      </c>
      <c r="H87" s="22"/>
      <c r="I87" s="22" t="s">
        <v>846</v>
      </c>
      <c r="J87" s="22"/>
      <c r="K87" s="21" t="s">
        <v>850</v>
      </c>
    </row>
    <row r="88" customFormat="false" ht="26.85" hidden="false" customHeight="false" outlineLevel="0" collapsed="false">
      <c r="A88" s="11" t="s">
        <v>431</v>
      </c>
      <c r="B88" s="21" t="s">
        <v>542</v>
      </c>
      <c r="C88" s="11" t="n">
        <v>5</v>
      </c>
      <c r="D88" s="21" t="s">
        <v>851</v>
      </c>
      <c r="E88" s="21" t="s">
        <v>630</v>
      </c>
      <c r="F88" s="20" t="s">
        <v>597</v>
      </c>
      <c r="G88" s="11" t="s">
        <v>598</v>
      </c>
      <c r="H88" s="21" t="s">
        <v>631</v>
      </c>
      <c r="I88" s="22" t="s">
        <v>852</v>
      </c>
      <c r="J88" s="22"/>
      <c r="K88" s="21" t="s">
        <v>853</v>
      </c>
    </row>
    <row r="89" customFormat="false" ht="26.85" hidden="false" customHeight="false" outlineLevel="0" collapsed="false">
      <c r="A89" s="11" t="s">
        <v>431</v>
      </c>
      <c r="B89" s="21" t="s">
        <v>542</v>
      </c>
      <c r="C89" s="11" t="n">
        <v>6</v>
      </c>
      <c r="D89" s="21" t="s">
        <v>854</v>
      </c>
      <c r="E89" s="21" t="s">
        <v>776</v>
      </c>
      <c r="F89" s="20" t="s">
        <v>597</v>
      </c>
      <c r="G89" s="20" t="s">
        <v>855</v>
      </c>
      <c r="H89" s="22" t="s">
        <v>778</v>
      </c>
      <c r="I89" s="22" t="s">
        <v>856</v>
      </c>
      <c r="J89" s="22"/>
      <c r="K89" s="21" t="s">
        <v>857</v>
      </c>
    </row>
    <row r="90" customFormat="false" ht="15" hidden="false" customHeight="false" outlineLevel="0" collapsed="false">
      <c r="A90" s="11" t="s">
        <v>431</v>
      </c>
      <c r="B90" s="21" t="s">
        <v>542</v>
      </c>
      <c r="C90" s="11" t="n">
        <v>7</v>
      </c>
      <c r="D90" s="21" t="s">
        <v>754</v>
      </c>
      <c r="E90" s="21" t="s">
        <v>698</v>
      </c>
      <c r="F90" s="11" t="s">
        <v>351</v>
      </c>
      <c r="G90" s="11"/>
      <c r="H90" s="22"/>
      <c r="I90" s="22"/>
      <c r="J90" s="22"/>
      <c r="K90" s="21" t="s">
        <v>858</v>
      </c>
    </row>
    <row r="91" customFormat="false" ht="26.85" hidden="false" customHeight="false" outlineLevel="0" collapsed="false">
      <c r="A91" s="11" t="s">
        <v>431</v>
      </c>
      <c r="B91" s="21" t="s">
        <v>542</v>
      </c>
      <c r="C91" s="11" t="n">
        <v>8</v>
      </c>
      <c r="D91" s="21" t="s">
        <v>859</v>
      </c>
      <c r="E91" s="21" t="s">
        <v>618</v>
      </c>
      <c r="F91" s="20" t="s">
        <v>597</v>
      </c>
      <c r="G91" s="20" t="s">
        <v>860</v>
      </c>
      <c r="H91" s="22"/>
      <c r="I91" s="22" t="s">
        <v>861</v>
      </c>
      <c r="J91" s="22"/>
      <c r="K91" s="21" t="s">
        <v>862</v>
      </c>
    </row>
    <row r="92" customFormat="false" ht="15" hidden="false" customHeight="false" outlineLevel="0" collapsed="false">
      <c r="A92" s="11" t="s">
        <v>443</v>
      </c>
      <c r="B92" s="21" t="s">
        <v>547</v>
      </c>
      <c r="C92" s="11" t="n">
        <v>1</v>
      </c>
      <c r="D92" s="21" t="s">
        <v>863</v>
      </c>
      <c r="E92" s="21" t="s">
        <v>751</v>
      </c>
      <c r="F92" s="20" t="s">
        <v>579</v>
      </c>
      <c r="G92" s="11"/>
      <c r="H92" s="22"/>
      <c r="I92" s="22" t="s">
        <v>864</v>
      </c>
      <c r="J92" s="22"/>
      <c r="K92" s="21" t="s">
        <v>865</v>
      </c>
    </row>
    <row r="93" customFormat="false" ht="15" hidden="false" customHeight="false" outlineLevel="0" collapsed="false">
      <c r="A93" s="11" t="s">
        <v>443</v>
      </c>
      <c r="B93" s="21" t="s">
        <v>547</v>
      </c>
      <c r="C93" s="11" t="n">
        <v>2</v>
      </c>
      <c r="D93" s="21" t="s">
        <v>866</v>
      </c>
      <c r="E93" s="21" t="s">
        <v>708</v>
      </c>
      <c r="F93" s="20" t="s">
        <v>597</v>
      </c>
      <c r="G93" s="11" t="s">
        <v>598</v>
      </c>
      <c r="H93" s="22"/>
      <c r="I93" s="22" t="s">
        <v>867</v>
      </c>
      <c r="J93" s="22"/>
      <c r="K93" s="21" t="s">
        <v>868</v>
      </c>
    </row>
    <row r="94" customFormat="false" ht="15" hidden="false" customHeight="false" outlineLevel="0" collapsed="false">
      <c r="A94" s="11" t="s">
        <v>443</v>
      </c>
      <c r="B94" s="21" t="s">
        <v>547</v>
      </c>
      <c r="C94" s="11" t="n">
        <v>3</v>
      </c>
      <c r="D94" s="21" t="s">
        <v>869</v>
      </c>
      <c r="E94" s="21" t="s">
        <v>618</v>
      </c>
      <c r="F94" s="20" t="s">
        <v>597</v>
      </c>
      <c r="G94" s="11" t="s">
        <v>598</v>
      </c>
      <c r="H94" s="22"/>
      <c r="I94" s="22" t="s">
        <v>870</v>
      </c>
      <c r="J94" s="21" t="s">
        <v>871</v>
      </c>
      <c r="K94" s="21" t="s">
        <v>872</v>
      </c>
    </row>
    <row r="95" customFormat="false" ht="15" hidden="false" customHeight="false" outlineLevel="0" collapsed="false">
      <c r="A95" s="11" t="s">
        <v>443</v>
      </c>
      <c r="B95" s="21" t="s">
        <v>547</v>
      </c>
      <c r="C95" s="11" t="n">
        <v>4</v>
      </c>
      <c r="D95" s="21" t="s">
        <v>873</v>
      </c>
      <c r="E95" s="21" t="s">
        <v>80</v>
      </c>
      <c r="F95" s="20" t="s">
        <v>597</v>
      </c>
      <c r="G95" s="11" t="s">
        <v>598</v>
      </c>
      <c r="H95" s="22" t="s">
        <v>716</v>
      </c>
      <c r="I95" s="22" t="s">
        <v>874</v>
      </c>
      <c r="J95" s="21" t="s">
        <v>718</v>
      </c>
      <c r="K95" s="22"/>
    </row>
    <row r="96" customFormat="false" ht="15" hidden="false" customHeight="false" outlineLevel="0" collapsed="false">
      <c r="A96" s="11" t="s">
        <v>443</v>
      </c>
      <c r="B96" s="21" t="s">
        <v>547</v>
      </c>
      <c r="C96" s="11" t="n">
        <v>5</v>
      </c>
      <c r="D96" s="21" t="s">
        <v>875</v>
      </c>
      <c r="E96" s="21" t="s">
        <v>80</v>
      </c>
      <c r="F96" s="20" t="s">
        <v>597</v>
      </c>
      <c r="G96" s="11"/>
      <c r="H96" s="22" t="s">
        <v>716</v>
      </c>
      <c r="I96" s="22" t="s">
        <v>876</v>
      </c>
      <c r="J96" s="22"/>
      <c r="K96" s="21" t="s">
        <v>877</v>
      </c>
    </row>
    <row r="97" customFormat="false" ht="15" hidden="false" customHeight="false" outlineLevel="0" collapsed="false">
      <c r="A97" s="11" t="s">
        <v>443</v>
      </c>
      <c r="B97" s="21" t="s">
        <v>547</v>
      </c>
      <c r="C97" s="11" t="n">
        <v>6</v>
      </c>
      <c r="D97" s="21" t="s">
        <v>338</v>
      </c>
      <c r="E97" s="21" t="s">
        <v>618</v>
      </c>
      <c r="F97" s="20" t="s">
        <v>597</v>
      </c>
      <c r="G97" s="11" t="s">
        <v>598</v>
      </c>
      <c r="H97" s="22"/>
      <c r="I97" s="22" t="s">
        <v>878</v>
      </c>
      <c r="J97" s="21" t="s">
        <v>879</v>
      </c>
      <c r="K97" s="22"/>
    </row>
    <row r="98" customFormat="false" ht="15" hidden="false" customHeight="false" outlineLevel="0" collapsed="false">
      <c r="A98" s="11" t="s">
        <v>443</v>
      </c>
      <c r="B98" s="21" t="s">
        <v>547</v>
      </c>
      <c r="C98" s="11" t="n">
        <v>7</v>
      </c>
      <c r="D98" s="21" t="s">
        <v>723</v>
      </c>
      <c r="E98" s="21" t="s">
        <v>708</v>
      </c>
      <c r="F98" s="20" t="s">
        <v>597</v>
      </c>
      <c r="G98" s="11" t="s">
        <v>598</v>
      </c>
      <c r="H98" s="22"/>
      <c r="I98" s="22" t="s">
        <v>880</v>
      </c>
      <c r="J98" s="22"/>
      <c r="K98" s="22" t="s">
        <v>881</v>
      </c>
    </row>
    <row r="99" customFormat="false" ht="15" hidden="false" customHeight="false" outlineLevel="0" collapsed="false">
      <c r="A99" s="11" t="s">
        <v>443</v>
      </c>
      <c r="B99" s="21" t="s">
        <v>547</v>
      </c>
      <c r="C99" s="11" t="n">
        <v>8</v>
      </c>
      <c r="D99" s="21" t="s">
        <v>882</v>
      </c>
      <c r="E99" s="21" t="s">
        <v>751</v>
      </c>
      <c r="F99" s="20" t="s">
        <v>579</v>
      </c>
      <c r="G99" s="11"/>
      <c r="H99" s="22"/>
      <c r="I99" s="21" t="s">
        <v>883</v>
      </c>
      <c r="J99" s="22"/>
      <c r="K99" s="22" t="s">
        <v>884</v>
      </c>
    </row>
    <row r="100" customFormat="false" ht="15" hidden="false" customHeight="false" outlineLevel="0" collapsed="false">
      <c r="A100" s="11" t="s">
        <v>443</v>
      </c>
      <c r="B100" s="21" t="s">
        <v>547</v>
      </c>
      <c r="C100" s="11" t="n">
        <v>9</v>
      </c>
      <c r="D100" s="21" t="s">
        <v>885</v>
      </c>
      <c r="E100" s="21" t="s">
        <v>630</v>
      </c>
      <c r="F100" s="20" t="s">
        <v>597</v>
      </c>
      <c r="G100" s="11" t="s">
        <v>598</v>
      </c>
      <c r="H100" s="21" t="s">
        <v>631</v>
      </c>
      <c r="I100" s="22" t="s">
        <v>886</v>
      </c>
      <c r="J100" s="22"/>
      <c r="K100" s="22" t="s">
        <v>887</v>
      </c>
    </row>
    <row r="101" customFormat="false" ht="15" hidden="false" customHeight="false" outlineLevel="0" collapsed="false">
      <c r="A101" s="11" t="s">
        <v>443</v>
      </c>
      <c r="B101" s="21" t="s">
        <v>547</v>
      </c>
      <c r="C101" s="11" t="n">
        <v>10</v>
      </c>
      <c r="D101" s="21" t="s">
        <v>888</v>
      </c>
      <c r="E101" s="21" t="s">
        <v>630</v>
      </c>
      <c r="F101" s="20" t="s">
        <v>597</v>
      </c>
      <c r="G101" s="11" t="s">
        <v>598</v>
      </c>
      <c r="H101" s="22" t="s">
        <v>743</v>
      </c>
      <c r="I101" s="22" t="s">
        <v>889</v>
      </c>
      <c r="J101" s="21" t="s">
        <v>890</v>
      </c>
      <c r="K101" s="22" t="s">
        <v>746</v>
      </c>
    </row>
    <row r="102" customFormat="false" ht="15" hidden="false" customHeight="false" outlineLevel="0" collapsed="false">
      <c r="A102" s="11" t="s">
        <v>443</v>
      </c>
      <c r="B102" s="21" t="s">
        <v>547</v>
      </c>
      <c r="C102" s="11" t="n">
        <v>11</v>
      </c>
      <c r="D102" s="21" t="s">
        <v>891</v>
      </c>
      <c r="E102" s="21" t="s">
        <v>751</v>
      </c>
      <c r="F102" s="20" t="s">
        <v>579</v>
      </c>
      <c r="G102" s="11"/>
      <c r="H102" s="22"/>
      <c r="I102" s="21" t="s">
        <v>892</v>
      </c>
      <c r="J102" s="22"/>
      <c r="K102" s="22" t="s">
        <v>893</v>
      </c>
    </row>
    <row r="103" customFormat="false" ht="15" hidden="false" customHeight="false" outlineLevel="0" collapsed="false">
      <c r="A103" s="11" t="s">
        <v>443</v>
      </c>
      <c r="B103" s="21" t="s">
        <v>547</v>
      </c>
      <c r="C103" s="11" t="n">
        <v>12</v>
      </c>
      <c r="D103" s="21" t="s">
        <v>894</v>
      </c>
      <c r="E103" s="21" t="s">
        <v>698</v>
      </c>
      <c r="F103" s="11" t="s">
        <v>351</v>
      </c>
      <c r="G103" s="11"/>
      <c r="H103" s="22"/>
      <c r="I103" s="22"/>
      <c r="J103" s="22"/>
      <c r="K103" s="21" t="s">
        <v>895</v>
      </c>
    </row>
    <row r="104" customFormat="false" ht="15" hidden="false" customHeight="false" outlineLevel="0" collapsed="false">
      <c r="A104" s="11" t="s">
        <v>443</v>
      </c>
      <c r="B104" s="21" t="s">
        <v>547</v>
      </c>
      <c r="C104" s="11" t="n">
        <v>13</v>
      </c>
      <c r="D104" s="21" t="s">
        <v>794</v>
      </c>
      <c r="E104" s="21" t="s">
        <v>751</v>
      </c>
      <c r="F104" s="20" t="s">
        <v>579</v>
      </c>
      <c r="G104" s="11"/>
      <c r="H104" s="22"/>
      <c r="I104" s="22" t="s">
        <v>896</v>
      </c>
      <c r="J104" s="22"/>
      <c r="K104" s="22" t="s">
        <v>897</v>
      </c>
    </row>
    <row r="105" customFormat="false" ht="15" hidden="false" customHeight="false" outlineLevel="0" collapsed="false">
      <c r="A105" s="11" t="s">
        <v>443</v>
      </c>
      <c r="B105" s="21" t="s">
        <v>547</v>
      </c>
      <c r="C105" s="11" t="n">
        <v>14</v>
      </c>
      <c r="D105" s="21" t="s">
        <v>898</v>
      </c>
      <c r="E105" s="21" t="s">
        <v>751</v>
      </c>
      <c r="F105" s="20" t="s">
        <v>579</v>
      </c>
      <c r="G105" s="11"/>
      <c r="H105" s="22"/>
      <c r="I105" s="22" t="s">
        <v>899</v>
      </c>
      <c r="J105" s="22"/>
      <c r="K105" s="21" t="s">
        <v>900</v>
      </c>
    </row>
    <row r="106" customFormat="false" ht="15" hidden="false" customHeight="false" outlineLevel="0" collapsed="false">
      <c r="A106" s="11" t="s">
        <v>443</v>
      </c>
      <c r="B106" s="21" t="s">
        <v>547</v>
      </c>
      <c r="C106" s="11" t="n">
        <v>15</v>
      </c>
      <c r="D106" s="21" t="s">
        <v>901</v>
      </c>
      <c r="E106" s="21" t="s">
        <v>698</v>
      </c>
      <c r="F106" s="11" t="s">
        <v>351</v>
      </c>
      <c r="G106" s="11"/>
      <c r="H106" s="22"/>
      <c r="I106" s="22"/>
      <c r="J106" s="22"/>
      <c r="K106" s="22" t="s">
        <v>902</v>
      </c>
    </row>
    <row r="107" customFormat="false" ht="15" hidden="false" customHeight="false" outlineLevel="0" collapsed="false">
      <c r="A107" s="11" t="s">
        <v>443</v>
      </c>
      <c r="B107" s="21" t="s">
        <v>547</v>
      </c>
      <c r="C107" s="11" t="n">
        <v>16</v>
      </c>
      <c r="D107" s="21" t="s">
        <v>903</v>
      </c>
      <c r="E107" s="21" t="s">
        <v>698</v>
      </c>
      <c r="F107" s="11" t="s">
        <v>351</v>
      </c>
      <c r="G107" s="11"/>
      <c r="H107" s="22"/>
      <c r="I107" s="22"/>
      <c r="J107" s="22"/>
      <c r="K107" s="22" t="s">
        <v>904</v>
      </c>
    </row>
    <row r="108" customFormat="false" ht="15" hidden="false" customHeight="false" outlineLevel="0" collapsed="false">
      <c r="A108" s="11" t="s">
        <v>447</v>
      </c>
      <c r="B108" s="21" t="s">
        <v>550</v>
      </c>
      <c r="C108" s="11" t="n">
        <v>1</v>
      </c>
      <c r="D108" s="21" t="s">
        <v>863</v>
      </c>
      <c r="E108" s="21" t="s">
        <v>708</v>
      </c>
      <c r="F108" s="20" t="s">
        <v>597</v>
      </c>
      <c r="G108" s="11" t="s">
        <v>598</v>
      </c>
      <c r="H108" s="22"/>
      <c r="I108" s="22" t="s">
        <v>905</v>
      </c>
      <c r="J108" s="22"/>
      <c r="K108" s="22" t="s">
        <v>906</v>
      </c>
    </row>
    <row r="109" customFormat="false" ht="15" hidden="false" customHeight="false" outlineLevel="0" collapsed="false">
      <c r="A109" s="11" t="s">
        <v>447</v>
      </c>
      <c r="B109" s="21" t="s">
        <v>550</v>
      </c>
      <c r="C109" s="11" t="n">
        <v>2</v>
      </c>
      <c r="D109" s="21" t="s">
        <v>907</v>
      </c>
      <c r="E109" s="21" t="s">
        <v>80</v>
      </c>
      <c r="F109" s="20" t="s">
        <v>597</v>
      </c>
      <c r="G109" s="11" t="s">
        <v>598</v>
      </c>
      <c r="H109" s="22" t="s">
        <v>716</v>
      </c>
      <c r="I109" s="22" t="s">
        <v>908</v>
      </c>
      <c r="J109" s="21" t="s">
        <v>718</v>
      </c>
      <c r="K109" s="22"/>
    </row>
    <row r="110" customFormat="false" ht="15" hidden="false" customHeight="false" outlineLevel="0" collapsed="false">
      <c r="A110" s="11" t="s">
        <v>447</v>
      </c>
      <c r="B110" s="21" t="s">
        <v>550</v>
      </c>
      <c r="C110" s="11" t="n">
        <v>3</v>
      </c>
      <c r="D110" s="21" t="s">
        <v>909</v>
      </c>
      <c r="E110" s="21" t="s">
        <v>578</v>
      </c>
      <c r="F110" s="20" t="s">
        <v>579</v>
      </c>
      <c r="G110" s="11"/>
      <c r="H110" s="22"/>
      <c r="I110" s="22" t="s">
        <v>910</v>
      </c>
      <c r="J110" s="22"/>
      <c r="K110" s="21" t="s">
        <v>911</v>
      </c>
    </row>
    <row r="111" customFormat="false" ht="15" hidden="false" customHeight="false" outlineLevel="0" collapsed="false">
      <c r="A111" s="11" t="s">
        <v>447</v>
      </c>
      <c r="B111" s="21" t="s">
        <v>550</v>
      </c>
      <c r="C111" s="11" t="n">
        <v>4</v>
      </c>
      <c r="D111" s="21" t="s">
        <v>912</v>
      </c>
      <c r="E111" s="21" t="s">
        <v>698</v>
      </c>
      <c r="F111" s="11" t="s">
        <v>351</v>
      </c>
      <c r="G111" s="11"/>
      <c r="H111" s="22"/>
      <c r="I111" s="22"/>
      <c r="J111" s="22"/>
      <c r="K111" s="21" t="s">
        <v>913</v>
      </c>
    </row>
    <row r="112" customFormat="false" ht="25.35" hidden="false" customHeight="false" outlineLevel="0" collapsed="false">
      <c r="A112" s="11" t="s">
        <v>447</v>
      </c>
      <c r="B112" s="21" t="s">
        <v>550</v>
      </c>
      <c r="C112" s="11" t="n">
        <v>5</v>
      </c>
      <c r="D112" s="21" t="s">
        <v>914</v>
      </c>
      <c r="E112" s="21" t="s">
        <v>618</v>
      </c>
      <c r="F112" s="20" t="s">
        <v>597</v>
      </c>
      <c r="G112" s="11" t="s">
        <v>598</v>
      </c>
      <c r="H112" s="22"/>
      <c r="I112" s="22" t="s">
        <v>915</v>
      </c>
      <c r="J112" s="21" t="s">
        <v>916</v>
      </c>
      <c r="K112" s="22" t="s">
        <v>917</v>
      </c>
    </row>
    <row r="113" customFormat="false" ht="15" hidden="false" customHeight="false" outlineLevel="0" collapsed="false">
      <c r="A113" s="11" t="s">
        <v>447</v>
      </c>
      <c r="B113" s="21" t="s">
        <v>550</v>
      </c>
      <c r="C113" s="11" t="n">
        <v>6</v>
      </c>
      <c r="D113" s="21" t="s">
        <v>918</v>
      </c>
      <c r="E113" s="21" t="s">
        <v>618</v>
      </c>
      <c r="F113" s="20" t="s">
        <v>597</v>
      </c>
      <c r="G113" s="11" t="s">
        <v>598</v>
      </c>
      <c r="H113" s="22"/>
      <c r="I113" s="22" t="s">
        <v>919</v>
      </c>
      <c r="J113" s="21" t="s">
        <v>916</v>
      </c>
      <c r="K113" s="21" t="s">
        <v>920</v>
      </c>
    </row>
    <row r="114" customFormat="false" ht="15" hidden="false" customHeight="false" outlineLevel="0" collapsed="false">
      <c r="A114" s="11" t="s">
        <v>447</v>
      </c>
      <c r="B114" s="21" t="s">
        <v>550</v>
      </c>
      <c r="C114" s="11" t="n">
        <v>7</v>
      </c>
      <c r="D114" s="21" t="s">
        <v>921</v>
      </c>
      <c r="E114" s="21" t="s">
        <v>630</v>
      </c>
      <c r="F114" s="20" t="s">
        <v>597</v>
      </c>
      <c r="G114" s="11" t="s">
        <v>598</v>
      </c>
      <c r="H114" s="21" t="s">
        <v>631</v>
      </c>
      <c r="I114" s="22" t="s">
        <v>922</v>
      </c>
      <c r="J114" s="21" t="s">
        <v>916</v>
      </c>
      <c r="K114" s="22" t="s">
        <v>923</v>
      </c>
    </row>
    <row r="115" customFormat="false" ht="15" hidden="false" customHeight="false" outlineLevel="0" collapsed="false">
      <c r="A115" s="11" t="s">
        <v>447</v>
      </c>
      <c r="B115" s="21" t="s">
        <v>550</v>
      </c>
      <c r="C115" s="11" t="n">
        <v>8</v>
      </c>
      <c r="D115" s="21" t="s">
        <v>924</v>
      </c>
      <c r="E115" s="21" t="s">
        <v>618</v>
      </c>
      <c r="F115" s="20" t="s">
        <v>597</v>
      </c>
      <c r="G115" s="11"/>
      <c r="H115" s="22"/>
      <c r="I115" s="22" t="s">
        <v>925</v>
      </c>
      <c r="J115" s="22"/>
      <c r="K115" s="21" t="s">
        <v>926</v>
      </c>
    </row>
    <row r="116" customFormat="false" ht="15" hidden="false" customHeight="false" outlineLevel="0" collapsed="false">
      <c r="A116" s="11" t="s">
        <v>447</v>
      </c>
      <c r="B116" s="21" t="s">
        <v>550</v>
      </c>
      <c r="C116" s="11" t="n">
        <v>9</v>
      </c>
      <c r="D116" s="21" t="s">
        <v>927</v>
      </c>
      <c r="E116" s="21" t="s">
        <v>596</v>
      </c>
      <c r="F116" s="20" t="s">
        <v>597</v>
      </c>
      <c r="G116" s="11"/>
      <c r="H116" s="22" t="s">
        <v>728</v>
      </c>
      <c r="I116" s="22" t="s">
        <v>928</v>
      </c>
      <c r="J116" s="22"/>
      <c r="K116" s="22"/>
    </row>
    <row r="117" customFormat="false" ht="15" hidden="false" customHeight="false" outlineLevel="0" collapsed="false">
      <c r="A117" s="11" t="s">
        <v>447</v>
      </c>
      <c r="B117" s="21" t="s">
        <v>550</v>
      </c>
      <c r="C117" s="11" t="n">
        <v>10</v>
      </c>
      <c r="D117" s="21" t="s">
        <v>929</v>
      </c>
      <c r="E117" s="21" t="s">
        <v>698</v>
      </c>
      <c r="F117" s="11" t="s">
        <v>351</v>
      </c>
      <c r="G117" s="11"/>
      <c r="H117" s="22"/>
      <c r="I117" s="22"/>
      <c r="J117" s="22"/>
      <c r="K117" s="21" t="s">
        <v>930</v>
      </c>
    </row>
    <row r="118" customFormat="false" ht="15" hidden="false" customHeight="false" outlineLevel="0" collapsed="false">
      <c r="A118" s="11" t="s">
        <v>447</v>
      </c>
      <c r="B118" s="21" t="s">
        <v>550</v>
      </c>
      <c r="C118" s="11" t="n">
        <v>11</v>
      </c>
      <c r="D118" s="21" t="s">
        <v>931</v>
      </c>
      <c r="E118" s="21" t="s">
        <v>698</v>
      </c>
      <c r="F118" s="11" t="s">
        <v>351</v>
      </c>
      <c r="G118" s="11"/>
      <c r="H118" s="22"/>
      <c r="I118" s="22"/>
      <c r="J118" s="22"/>
      <c r="K118" s="22" t="s">
        <v>932</v>
      </c>
    </row>
    <row r="119" customFormat="false" ht="15" hidden="false" customHeight="false" outlineLevel="0" collapsed="false">
      <c r="A119" s="11" t="s">
        <v>447</v>
      </c>
      <c r="B119" s="21" t="s">
        <v>550</v>
      </c>
      <c r="C119" s="11" t="n">
        <v>12</v>
      </c>
      <c r="D119" s="21" t="s">
        <v>933</v>
      </c>
      <c r="E119" s="21" t="s">
        <v>698</v>
      </c>
      <c r="F119" s="11" t="s">
        <v>351</v>
      </c>
      <c r="G119" s="11"/>
      <c r="H119" s="22"/>
      <c r="I119" s="22"/>
      <c r="J119" s="22"/>
      <c r="K119" s="22" t="s">
        <v>934</v>
      </c>
    </row>
    <row r="120" customFormat="false" ht="15" hidden="false" customHeight="false" outlineLevel="0" collapsed="false">
      <c r="A120" s="11" t="s">
        <v>456</v>
      </c>
      <c r="B120" s="21" t="s">
        <v>454</v>
      </c>
      <c r="C120" s="11" t="n">
        <v>1</v>
      </c>
      <c r="D120" s="21" t="s">
        <v>935</v>
      </c>
      <c r="E120" s="21" t="s">
        <v>936</v>
      </c>
      <c r="F120" s="20" t="s">
        <v>597</v>
      </c>
      <c r="G120" s="11" t="s">
        <v>598</v>
      </c>
      <c r="H120" s="22"/>
      <c r="I120" s="22" t="s">
        <v>937</v>
      </c>
      <c r="J120" s="22"/>
      <c r="K120" s="21" t="s">
        <v>938</v>
      </c>
    </row>
    <row r="121" customFormat="false" ht="15" hidden="false" customHeight="false" outlineLevel="0" collapsed="false">
      <c r="A121" s="11" t="s">
        <v>456</v>
      </c>
      <c r="B121" s="21" t="s">
        <v>454</v>
      </c>
      <c r="C121" s="11" t="n">
        <v>2</v>
      </c>
      <c r="D121" s="21" t="s">
        <v>939</v>
      </c>
      <c r="E121" s="21" t="s">
        <v>618</v>
      </c>
      <c r="F121" s="20" t="s">
        <v>597</v>
      </c>
      <c r="G121" s="11" t="s">
        <v>598</v>
      </c>
      <c r="H121" s="22"/>
      <c r="I121" s="22" t="s">
        <v>940</v>
      </c>
      <c r="J121" s="22"/>
      <c r="K121" s="21" t="s">
        <v>941</v>
      </c>
    </row>
    <row r="122" customFormat="false" ht="15" hidden="false" customHeight="false" outlineLevel="0" collapsed="false">
      <c r="A122" s="11" t="s">
        <v>456</v>
      </c>
      <c r="B122" s="21" t="s">
        <v>454</v>
      </c>
      <c r="C122" s="11" t="n">
        <v>3</v>
      </c>
      <c r="D122" s="21" t="s">
        <v>942</v>
      </c>
      <c r="E122" s="21" t="s">
        <v>618</v>
      </c>
      <c r="F122" s="20" t="s">
        <v>597</v>
      </c>
      <c r="G122" s="11"/>
      <c r="H122" s="22"/>
      <c r="I122" s="22" t="s">
        <v>943</v>
      </c>
      <c r="J122" s="22"/>
      <c r="K122" s="21" t="s">
        <v>944</v>
      </c>
    </row>
    <row r="123" customFormat="false" ht="15" hidden="false" customHeight="false" outlineLevel="0" collapsed="false">
      <c r="A123" s="11" t="s">
        <v>456</v>
      </c>
      <c r="B123" s="21" t="s">
        <v>454</v>
      </c>
      <c r="C123" s="11" t="n">
        <v>4</v>
      </c>
      <c r="D123" s="21" t="s">
        <v>945</v>
      </c>
      <c r="E123" s="21" t="s">
        <v>80</v>
      </c>
      <c r="F123" s="20" t="s">
        <v>597</v>
      </c>
      <c r="G123" s="11" t="s">
        <v>598</v>
      </c>
      <c r="H123" s="22" t="s">
        <v>716</v>
      </c>
      <c r="I123" s="22" t="s">
        <v>946</v>
      </c>
      <c r="J123" s="21" t="s">
        <v>718</v>
      </c>
      <c r="K123" s="22"/>
    </row>
    <row r="124" customFormat="false" ht="15" hidden="false" customHeight="false" outlineLevel="0" collapsed="false">
      <c r="A124" s="11" t="s">
        <v>456</v>
      </c>
      <c r="B124" s="21" t="s">
        <v>454</v>
      </c>
      <c r="C124" s="11" t="n">
        <v>5</v>
      </c>
      <c r="D124" s="21" t="s">
        <v>947</v>
      </c>
      <c r="E124" s="21" t="s">
        <v>630</v>
      </c>
      <c r="F124" s="20" t="s">
        <v>597</v>
      </c>
      <c r="G124" s="11" t="s">
        <v>598</v>
      </c>
      <c r="H124" s="21" t="s">
        <v>631</v>
      </c>
      <c r="I124" s="22" t="s">
        <v>948</v>
      </c>
      <c r="J124" s="22"/>
      <c r="K124" s="21" t="s">
        <v>949</v>
      </c>
    </row>
    <row r="125" customFormat="false" ht="15" hidden="false" customHeight="false" outlineLevel="0" collapsed="false">
      <c r="A125" s="11" t="s">
        <v>456</v>
      </c>
      <c r="B125" s="21" t="s">
        <v>454</v>
      </c>
      <c r="C125" s="11" t="n">
        <v>6</v>
      </c>
      <c r="D125" s="21" t="s">
        <v>950</v>
      </c>
      <c r="E125" s="21" t="s">
        <v>776</v>
      </c>
      <c r="F125" s="20" t="s">
        <v>597</v>
      </c>
      <c r="G125" s="11" t="s">
        <v>598</v>
      </c>
      <c r="H125" s="22" t="s">
        <v>778</v>
      </c>
      <c r="I125" s="22" t="s">
        <v>951</v>
      </c>
      <c r="J125" s="22"/>
      <c r="K125" s="22"/>
    </row>
    <row r="126" customFormat="false" ht="15" hidden="false" customHeight="false" outlineLevel="0" collapsed="false">
      <c r="A126" s="11" t="s">
        <v>456</v>
      </c>
      <c r="B126" s="21" t="s">
        <v>454</v>
      </c>
      <c r="C126" s="11" t="n">
        <v>7</v>
      </c>
      <c r="D126" s="21" t="s">
        <v>952</v>
      </c>
      <c r="E126" s="21" t="s">
        <v>618</v>
      </c>
      <c r="F126" s="20" t="s">
        <v>597</v>
      </c>
      <c r="G126" s="11" t="s">
        <v>598</v>
      </c>
      <c r="H126" s="22"/>
      <c r="I126" s="22" t="s">
        <v>953</v>
      </c>
      <c r="J126" s="22"/>
      <c r="K126" s="22" t="s">
        <v>954</v>
      </c>
    </row>
    <row r="127" customFormat="false" ht="15" hidden="false" customHeight="false" outlineLevel="0" collapsed="false">
      <c r="A127" s="11" t="s">
        <v>456</v>
      </c>
      <c r="B127" s="21" t="s">
        <v>454</v>
      </c>
      <c r="C127" s="11" t="n">
        <v>8</v>
      </c>
      <c r="D127" s="21" t="s">
        <v>955</v>
      </c>
      <c r="E127" s="21" t="s">
        <v>772</v>
      </c>
      <c r="F127" s="20" t="s">
        <v>597</v>
      </c>
      <c r="G127" s="20" t="s">
        <v>956</v>
      </c>
      <c r="H127" s="22" t="s">
        <v>957</v>
      </c>
      <c r="I127" s="22" t="s">
        <v>958</v>
      </c>
      <c r="J127" s="22"/>
      <c r="K127" s="22" t="s">
        <v>959</v>
      </c>
    </row>
    <row r="128" customFormat="false" ht="25.35" hidden="false" customHeight="false" outlineLevel="0" collapsed="false">
      <c r="A128" s="11" t="s">
        <v>456</v>
      </c>
      <c r="B128" s="21" t="s">
        <v>454</v>
      </c>
      <c r="C128" s="11" t="n">
        <v>9</v>
      </c>
      <c r="D128" s="21" t="s">
        <v>960</v>
      </c>
      <c r="E128" s="21" t="s">
        <v>618</v>
      </c>
      <c r="F128" s="20" t="s">
        <v>597</v>
      </c>
      <c r="G128" s="11" t="s">
        <v>961</v>
      </c>
      <c r="H128" s="22"/>
      <c r="I128" s="22" t="s">
        <v>962</v>
      </c>
      <c r="J128" s="22"/>
      <c r="K128" s="21" t="s">
        <v>963</v>
      </c>
    </row>
    <row r="129" customFormat="false" ht="15" hidden="false" customHeight="false" outlineLevel="0" collapsed="false">
      <c r="A129" s="11" t="s">
        <v>456</v>
      </c>
      <c r="B129" s="21" t="s">
        <v>454</v>
      </c>
      <c r="C129" s="11" t="n">
        <v>10</v>
      </c>
      <c r="D129" s="21" t="s">
        <v>964</v>
      </c>
      <c r="E129" s="21" t="s">
        <v>698</v>
      </c>
      <c r="F129" s="11" t="s">
        <v>351</v>
      </c>
      <c r="G129" s="11"/>
      <c r="H129" s="22"/>
      <c r="I129" s="22"/>
      <c r="J129" s="22"/>
      <c r="K129" s="21" t="s">
        <v>965</v>
      </c>
    </row>
    <row r="130" customFormat="false" ht="15" hidden="false" customHeight="false" outlineLevel="0" collapsed="false">
      <c r="A130" s="11" t="s">
        <v>461</v>
      </c>
      <c r="B130" s="21" t="s">
        <v>555</v>
      </c>
      <c r="C130" s="11" t="n">
        <v>1</v>
      </c>
      <c r="D130" s="21" t="s">
        <v>791</v>
      </c>
      <c r="E130" s="21" t="s">
        <v>596</v>
      </c>
      <c r="F130" s="20" t="s">
        <v>597</v>
      </c>
      <c r="G130" s="11" t="s">
        <v>598</v>
      </c>
      <c r="H130" s="22" t="s">
        <v>792</v>
      </c>
      <c r="I130" s="22" t="s">
        <v>966</v>
      </c>
      <c r="J130" s="22"/>
      <c r="K130" s="21" t="s">
        <v>967</v>
      </c>
    </row>
    <row r="131" customFormat="false" ht="15" hidden="false" customHeight="false" outlineLevel="0" collapsed="false">
      <c r="A131" s="11" t="s">
        <v>461</v>
      </c>
      <c r="B131" s="21" t="s">
        <v>555</v>
      </c>
      <c r="C131" s="11" t="n">
        <v>2</v>
      </c>
      <c r="D131" s="21" t="s">
        <v>805</v>
      </c>
      <c r="E131" s="21" t="s">
        <v>806</v>
      </c>
      <c r="F131" s="20" t="s">
        <v>579</v>
      </c>
      <c r="G131" s="11"/>
      <c r="H131" s="22"/>
      <c r="I131" s="22" t="s">
        <v>807</v>
      </c>
      <c r="J131" s="22"/>
      <c r="K131" s="21" t="s">
        <v>968</v>
      </c>
    </row>
    <row r="132" customFormat="false" ht="15" hidden="false" customHeight="false" outlineLevel="0" collapsed="false">
      <c r="A132" s="11" t="s">
        <v>461</v>
      </c>
      <c r="B132" s="21" t="s">
        <v>555</v>
      </c>
      <c r="C132" s="11" t="n">
        <v>3</v>
      </c>
      <c r="D132" s="21" t="s">
        <v>969</v>
      </c>
      <c r="E132" s="21" t="s">
        <v>578</v>
      </c>
      <c r="F132" s="20" t="s">
        <v>579</v>
      </c>
      <c r="G132" s="11"/>
      <c r="H132" s="22"/>
      <c r="I132" s="22" t="s">
        <v>970</v>
      </c>
      <c r="J132" s="22"/>
      <c r="K132" s="21" t="s">
        <v>971</v>
      </c>
    </row>
    <row r="133" customFormat="false" ht="26.85" hidden="false" customHeight="false" outlineLevel="0" collapsed="false">
      <c r="A133" s="11" t="s">
        <v>461</v>
      </c>
      <c r="B133" s="21" t="s">
        <v>555</v>
      </c>
      <c r="C133" s="11" t="n">
        <v>4</v>
      </c>
      <c r="D133" s="21" t="s">
        <v>972</v>
      </c>
      <c r="E133" s="21" t="s">
        <v>578</v>
      </c>
      <c r="F133" s="20" t="s">
        <v>579</v>
      </c>
      <c r="G133" s="11"/>
      <c r="H133" s="22"/>
      <c r="I133" s="22" t="s">
        <v>973</v>
      </c>
      <c r="J133" s="22"/>
      <c r="K133" s="21" t="s">
        <v>974</v>
      </c>
    </row>
    <row r="134" customFormat="false" ht="26.85" hidden="false" customHeight="false" outlineLevel="0" collapsed="false">
      <c r="A134" s="11" t="s">
        <v>461</v>
      </c>
      <c r="B134" s="21" t="s">
        <v>555</v>
      </c>
      <c r="C134" s="11" t="n">
        <v>5</v>
      </c>
      <c r="D134" s="21" t="s">
        <v>975</v>
      </c>
      <c r="E134" s="21" t="s">
        <v>751</v>
      </c>
      <c r="F134" s="20" t="s">
        <v>579</v>
      </c>
      <c r="G134" s="11"/>
      <c r="H134" s="22"/>
      <c r="I134" s="22" t="s">
        <v>814</v>
      </c>
      <c r="J134" s="22"/>
      <c r="K134" s="21" t="s">
        <v>976</v>
      </c>
    </row>
    <row r="135" customFormat="false" ht="15" hidden="false" customHeight="false" outlineLevel="0" collapsed="false">
      <c r="A135" s="11" t="s">
        <v>461</v>
      </c>
      <c r="B135" s="21" t="s">
        <v>555</v>
      </c>
      <c r="C135" s="11" t="n">
        <v>6</v>
      </c>
      <c r="D135" s="22" t="s">
        <v>977</v>
      </c>
      <c r="E135" s="21" t="s">
        <v>698</v>
      </c>
      <c r="F135" s="11" t="s">
        <v>351</v>
      </c>
      <c r="G135" s="11"/>
      <c r="H135" s="22"/>
      <c r="I135" s="22"/>
      <c r="J135" s="22"/>
      <c r="K135" s="21" t="s">
        <v>804</v>
      </c>
    </row>
    <row r="136" customFormat="false" ht="15" hidden="false" customHeight="false" outlineLevel="0" collapsed="false">
      <c r="A136" s="11" t="s">
        <v>461</v>
      </c>
      <c r="B136" s="21" t="s">
        <v>555</v>
      </c>
      <c r="C136" s="11" t="n">
        <v>7</v>
      </c>
      <c r="D136" s="21" t="s">
        <v>978</v>
      </c>
      <c r="E136" s="21" t="s">
        <v>698</v>
      </c>
      <c r="F136" s="11" t="s">
        <v>351</v>
      </c>
      <c r="G136" s="11"/>
      <c r="H136" s="22"/>
      <c r="I136" s="22"/>
      <c r="J136" s="22"/>
      <c r="K136" s="22" t="s">
        <v>979</v>
      </c>
    </row>
    <row r="137" customFormat="false" ht="15" hidden="false" customHeight="false" outlineLevel="0" collapsed="false">
      <c r="A137" s="11" t="s">
        <v>465</v>
      </c>
      <c r="B137" s="21" t="s">
        <v>558</v>
      </c>
      <c r="C137" s="11" t="n">
        <v>1</v>
      </c>
      <c r="D137" s="21" t="s">
        <v>866</v>
      </c>
      <c r="E137" s="21" t="s">
        <v>708</v>
      </c>
      <c r="F137" s="20" t="s">
        <v>597</v>
      </c>
      <c r="G137" s="11" t="s">
        <v>598</v>
      </c>
      <c r="H137" s="22"/>
      <c r="I137" s="22" t="s">
        <v>980</v>
      </c>
      <c r="J137" s="22"/>
      <c r="K137" s="22"/>
    </row>
    <row r="138" customFormat="false" ht="15" hidden="false" customHeight="false" outlineLevel="0" collapsed="false">
      <c r="A138" s="11" t="s">
        <v>465</v>
      </c>
      <c r="B138" s="21" t="s">
        <v>558</v>
      </c>
      <c r="C138" s="11" t="n">
        <v>2</v>
      </c>
      <c r="D138" s="21" t="s">
        <v>981</v>
      </c>
      <c r="E138" s="21" t="s">
        <v>798</v>
      </c>
      <c r="F138" s="20" t="s">
        <v>597</v>
      </c>
      <c r="G138" s="11"/>
      <c r="H138" s="22" t="s">
        <v>716</v>
      </c>
      <c r="I138" s="22" t="s">
        <v>908</v>
      </c>
      <c r="J138" s="21" t="s">
        <v>982</v>
      </c>
      <c r="K138" s="22"/>
    </row>
    <row r="139" customFormat="false" ht="26.85" hidden="false" customHeight="false" outlineLevel="0" collapsed="false">
      <c r="A139" s="11" t="s">
        <v>465</v>
      </c>
      <c r="B139" s="21" t="s">
        <v>558</v>
      </c>
      <c r="C139" s="11" t="n">
        <v>3</v>
      </c>
      <c r="D139" s="21" t="s">
        <v>983</v>
      </c>
      <c r="E139" s="21" t="s">
        <v>578</v>
      </c>
      <c r="F139" s="20" t="s">
        <v>579</v>
      </c>
      <c r="G139" s="11"/>
      <c r="H139" s="22"/>
      <c r="I139" s="22" t="s">
        <v>984</v>
      </c>
      <c r="J139" s="22"/>
      <c r="K139" s="21" t="s">
        <v>985</v>
      </c>
    </row>
    <row r="140" customFormat="false" ht="15" hidden="false" customHeight="false" outlineLevel="0" collapsed="false">
      <c r="A140" s="11" t="s">
        <v>469</v>
      </c>
      <c r="B140" s="21" t="s">
        <v>560</v>
      </c>
      <c r="C140" s="11" t="n">
        <v>1</v>
      </c>
      <c r="D140" s="21" t="s">
        <v>986</v>
      </c>
      <c r="E140" s="21" t="s">
        <v>751</v>
      </c>
      <c r="F140" s="20" t="s">
        <v>579</v>
      </c>
      <c r="G140" s="11"/>
      <c r="H140" s="22"/>
      <c r="I140" s="22" t="s">
        <v>987</v>
      </c>
      <c r="J140" s="22"/>
      <c r="K140" s="21" t="s">
        <v>865</v>
      </c>
    </row>
    <row r="141" customFormat="false" ht="15" hidden="false" customHeight="false" outlineLevel="0" collapsed="false">
      <c r="A141" s="11" t="s">
        <v>469</v>
      </c>
      <c r="B141" s="21" t="s">
        <v>560</v>
      </c>
      <c r="C141" s="11" t="n">
        <v>2</v>
      </c>
      <c r="D141" s="21" t="s">
        <v>988</v>
      </c>
      <c r="E141" s="21" t="s">
        <v>596</v>
      </c>
      <c r="F141" s="20" t="s">
        <v>597</v>
      </c>
      <c r="G141" s="11" t="s">
        <v>598</v>
      </c>
      <c r="H141" s="22" t="s">
        <v>615</v>
      </c>
      <c r="I141" s="22" t="s">
        <v>989</v>
      </c>
      <c r="J141" s="22"/>
      <c r="K141" s="22"/>
    </row>
    <row r="142" customFormat="false" ht="15" hidden="false" customHeight="false" outlineLevel="0" collapsed="false">
      <c r="A142" s="11" t="s">
        <v>469</v>
      </c>
      <c r="B142" s="21" t="s">
        <v>560</v>
      </c>
      <c r="C142" s="11" t="n">
        <v>3</v>
      </c>
      <c r="D142" s="21" t="s">
        <v>990</v>
      </c>
      <c r="E142" s="21" t="s">
        <v>776</v>
      </c>
      <c r="F142" s="20" t="s">
        <v>597</v>
      </c>
      <c r="G142" s="11" t="s">
        <v>598</v>
      </c>
      <c r="H142" s="22" t="s">
        <v>991</v>
      </c>
      <c r="I142" s="22" t="s">
        <v>992</v>
      </c>
      <c r="J142" s="22"/>
      <c r="K142" s="22"/>
    </row>
    <row r="143" customFormat="false" ht="15" hidden="false" customHeight="false" outlineLevel="0" collapsed="false">
      <c r="A143" s="11" t="s">
        <v>469</v>
      </c>
      <c r="B143" s="21" t="s">
        <v>560</v>
      </c>
      <c r="C143" s="11" t="n">
        <v>4</v>
      </c>
      <c r="D143" s="21" t="s">
        <v>993</v>
      </c>
      <c r="E143" s="21" t="s">
        <v>618</v>
      </c>
      <c r="F143" s="20" t="s">
        <v>597</v>
      </c>
      <c r="G143" s="11" t="s">
        <v>598</v>
      </c>
      <c r="H143" s="21" t="s">
        <v>994</v>
      </c>
      <c r="I143" s="22" t="s">
        <v>995</v>
      </c>
      <c r="J143" s="22"/>
      <c r="K143" s="22"/>
    </row>
    <row r="144" customFormat="false" ht="15" hidden="false" customHeight="false" outlineLevel="0" collapsed="false">
      <c r="A144" s="11" t="s">
        <v>469</v>
      </c>
      <c r="B144" s="21" t="s">
        <v>560</v>
      </c>
      <c r="C144" s="11" t="n">
        <v>5</v>
      </c>
      <c r="D144" s="21" t="s">
        <v>996</v>
      </c>
      <c r="E144" s="21" t="s">
        <v>795</v>
      </c>
      <c r="F144" s="20" t="s">
        <v>597</v>
      </c>
      <c r="G144" s="11" t="s">
        <v>598</v>
      </c>
      <c r="H144" s="22"/>
      <c r="I144" s="22" t="s">
        <v>997</v>
      </c>
      <c r="J144" s="22"/>
      <c r="K144" s="22" t="s">
        <v>998</v>
      </c>
    </row>
    <row r="145" customFormat="false" ht="15" hidden="false" customHeight="false" outlineLevel="0" collapsed="false">
      <c r="A145" s="11" t="s">
        <v>469</v>
      </c>
      <c r="B145" s="21" t="s">
        <v>560</v>
      </c>
      <c r="C145" s="11" t="n">
        <v>6</v>
      </c>
      <c r="D145" s="21" t="s">
        <v>999</v>
      </c>
      <c r="E145" s="21" t="s">
        <v>698</v>
      </c>
      <c r="F145" s="11" t="s">
        <v>351</v>
      </c>
      <c r="G145" s="11"/>
      <c r="H145" s="22"/>
      <c r="I145" s="22"/>
      <c r="J145" s="22"/>
      <c r="K145" s="21" t="s">
        <v>1000</v>
      </c>
    </row>
    <row r="146" customFormat="false" ht="26.85" hidden="false" customHeight="false" outlineLevel="0" collapsed="false">
      <c r="A146" s="11" t="s">
        <v>469</v>
      </c>
      <c r="B146" s="21" t="s">
        <v>560</v>
      </c>
      <c r="C146" s="11" t="n">
        <v>7</v>
      </c>
      <c r="D146" s="21" t="s">
        <v>1001</v>
      </c>
      <c r="E146" s="21" t="s">
        <v>664</v>
      </c>
      <c r="F146" s="20" t="s">
        <v>571</v>
      </c>
      <c r="G146" s="11"/>
      <c r="H146" s="22"/>
      <c r="I146" s="22" t="s">
        <v>1002</v>
      </c>
      <c r="J146" s="22"/>
      <c r="K146" s="21" t="s">
        <v>1003</v>
      </c>
    </row>
    <row r="147" customFormat="false" ht="15" hidden="false" customHeight="false" outlineLevel="0" collapsed="false">
      <c r="A147" s="11" t="s">
        <v>469</v>
      </c>
      <c r="B147" s="21" t="s">
        <v>560</v>
      </c>
      <c r="C147" s="11" t="n">
        <v>8</v>
      </c>
      <c r="D147" s="21" t="s">
        <v>1004</v>
      </c>
      <c r="E147" s="21" t="s">
        <v>751</v>
      </c>
      <c r="F147" s="20" t="s">
        <v>579</v>
      </c>
      <c r="G147" s="11"/>
      <c r="H147" s="22"/>
      <c r="I147" s="21" t="s">
        <v>883</v>
      </c>
      <c r="J147" s="22"/>
      <c r="K147" s="21" t="s">
        <v>1005</v>
      </c>
    </row>
    <row r="148" customFormat="false" ht="15" hidden="false" customHeight="false" outlineLevel="0" collapsed="false">
      <c r="A148" s="11" t="s">
        <v>469</v>
      </c>
      <c r="B148" s="21" t="s">
        <v>560</v>
      </c>
      <c r="C148" s="11" t="n">
        <v>9</v>
      </c>
      <c r="D148" s="21" t="s">
        <v>1006</v>
      </c>
      <c r="E148" s="21" t="s">
        <v>698</v>
      </c>
      <c r="F148" s="11" t="s">
        <v>351</v>
      </c>
      <c r="G148" s="11"/>
      <c r="H148" s="22"/>
      <c r="I148" s="22"/>
      <c r="J148" s="22"/>
      <c r="K148" s="21" t="s">
        <v>1007</v>
      </c>
    </row>
    <row r="149" customFormat="false" ht="15" hidden="false" customHeight="false" outlineLevel="0" collapsed="false">
      <c r="A149" s="11" t="s">
        <v>469</v>
      </c>
      <c r="B149" s="21" t="s">
        <v>560</v>
      </c>
      <c r="C149" s="11" t="n">
        <v>10</v>
      </c>
      <c r="D149" s="21" t="s">
        <v>1008</v>
      </c>
      <c r="E149" s="21" t="s">
        <v>618</v>
      </c>
      <c r="F149" s="20" t="s">
        <v>597</v>
      </c>
      <c r="G149" s="11"/>
      <c r="H149" s="22" t="s">
        <v>1009</v>
      </c>
      <c r="I149" s="22" t="s">
        <v>1010</v>
      </c>
      <c r="J149" s="22"/>
      <c r="K149" s="22" t="s">
        <v>1011</v>
      </c>
    </row>
    <row r="150" customFormat="false" ht="15" hidden="false" customHeight="false" outlineLevel="0" collapsed="false">
      <c r="A150" s="11" t="s">
        <v>469</v>
      </c>
      <c r="B150" s="21" t="s">
        <v>560</v>
      </c>
      <c r="C150" s="11" t="n">
        <v>11</v>
      </c>
      <c r="D150" s="21" t="s">
        <v>1012</v>
      </c>
      <c r="E150" s="21" t="s">
        <v>630</v>
      </c>
      <c r="F150" s="20" t="s">
        <v>597</v>
      </c>
      <c r="G150" s="11"/>
      <c r="H150" s="21" t="s">
        <v>631</v>
      </c>
      <c r="I150" s="22" t="s">
        <v>1013</v>
      </c>
      <c r="J150" s="22" t="s">
        <v>1014</v>
      </c>
      <c r="K150" s="22" t="s">
        <v>1015</v>
      </c>
    </row>
    <row r="151" customFormat="false" ht="15" hidden="false" customHeight="false" outlineLevel="0" collapsed="false">
      <c r="A151" s="11" t="s">
        <v>469</v>
      </c>
      <c r="B151" s="21" t="s">
        <v>560</v>
      </c>
      <c r="C151" s="11" t="n">
        <v>12</v>
      </c>
      <c r="D151" s="21" t="s">
        <v>1016</v>
      </c>
      <c r="E151" s="21" t="s">
        <v>596</v>
      </c>
      <c r="F151" s="20" t="s">
        <v>597</v>
      </c>
      <c r="G151" s="11" t="s">
        <v>1017</v>
      </c>
      <c r="H151" s="22" t="s">
        <v>1018</v>
      </c>
      <c r="I151" s="22" t="s">
        <v>1019</v>
      </c>
      <c r="J151" s="22"/>
      <c r="K151" s="22"/>
    </row>
    <row r="152" customFormat="false" ht="15" hidden="false" customHeight="false" outlineLevel="0" collapsed="false">
      <c r="A152" s="11" t="s">
        <v>469</v>
      </c>
      <c r="B152" s="21" t="s">
        <v>560</v>
      </c>
      <c r="C152" s="11" t="n">
        <v>13</v>
      </c>
      <c r="D152" s="21" t="s">
        <v>1020</v>
      </c>
      <c r="E152" s="21" t="s">
        <v>698</v>
      </c>
      <c r="F152" s="11" t="s">
        <v>351</v>
      </c>
      <c r="G152" s="11"/>
      <c r="H152" s="22"/>
      <c r="I152" s="22"/>
      <c r="J152" s="22"/>
      <c r="K152" s="21" t="s">
        <v>1021</v>
      </c>
    </row>
    <row r="153" customFormat="false" ht="15" hidden="false" customHeight="false" outlineLevel="0" collapsed="false">
      <c r="A153" s="11" t="s">
        <v>477</v>
      </c>
      <c r="B153" s="21" t="s">
        <v>563</v>
      </c>
      <c r="C153" s="11" t="n">
        <v>1</v>
      </c>
      <c r="D153" s="21" t="s">
        <v>1022</v>
      </c>
      <c r="E153" s="21" t="s">
        <v>618</v>
      </c>
      <c r="F153" s="20" t="s">
        <v>597</v>
      </c>
      <c r="G153" s="11" t="s">
        <v>598</v>
      </c>
      <c r="H153" s="22" t="s">
        <v>1023</v>
      </c>
      <c r="I153" s="21" t="s">
        <v>1024</v>
      </c>
      <c r="J153" s="22"/>
      <c r="K153" s="21" t="s">
        <v>1025</v>
      </c>
    </row>
    <row r="154" customFormat="false" ht="15" hidden="false" customHeight="false" outlineLevel="0" collapsed="false">
      <c r="A154" s="11" t="s">
        <v>477</v>
      </c>
      <c r="B154" s="21" t="s">
        <v>563</v>
      </c>
      <c r="C154" s="11" t="n">
        <v>2</v>
      </c>
      <c r="D154" s="21" t="s">
        <v>1026</v>
      </c>
      <c r="E154" s="21" t="s">
        <v>1027</v>
      </c>
      <c r="F154" s="20" t="s">
        <v>597</v>
      </c>
      <c r="G154" s="11"/>
      <c r="H154" s="21" t="s">
        <v>1028</v>
      </c>
      <c r="I154" s="21" t="s">
        <v>1024</v>
      </c>
      <c r="J154" s="21" t="s">
        <v>1029</v>
      </c>
      <c r="K154" s="22"/>
    </row>
    <row r="155" customFormat="false" ht="15" hidden="false" customHeight="false" outlineLevel="0" collapsed="false">
      <c r="A155" s="11" t="s">
        <v>477</v>
      </c>
      <c r="B155" s="21" t="s">
        <v>563</v>
      </c>
      <c r="C155" s="11" t="n">
        <v>3</v>
      </c>
      <c r="D155" s="21" t="s">
        <v>1030</v>
      </c>
      <c r="E155" s="21" t="s">
        <v>698</v>
      </c>
      <c r="F155" s="11" t="s">
        <v>351</v>
      </c>
      <c r="G155" s="11"/>
      <c r="H155" s="22"/>
      <c r="I155" s="22"/>
      <c r="J155" s="22"/>
      <c r="K155" s="21" t="s">
        <v>804</v>
      </c>
    </row>
    <row r="156" customFormat="false" ht="26.85" hidden="false" customHeight="false" outlineLevel="0" collapsed="false">
      <c r="A156" s="11" t="s">
        <v>498</v>
      </c>
      <c r="B156" s="21" t="s">
        <v>566</v>
      </c>
      <c r="C156" s="11" t="n">
        <v>1</v>
      </c>
      <c r="D156" s="21" t="s">
        <v>1031</v>
      </c>
      <c r="E156" s="21" t="s">
        <v>1027</v>
      </c>
      <c r="F156" s="20" t="s">
        <v>597</v>
      </c>
      <c r="G156" s="11"/>
      <c r="H156" s="22"/>
      <c r="I156" s="22" t="s">
        <v>1032</v>
      </c>
      <c r="J156" s="21" t="s">
        <v>1033</v>
      </c>
      <c r="K156" s="22"/>
    </row>
    <row r="157" customFormat="false" ht="15" hidden="false" customHeight="false" outlineLevel="0" collapsed="false">
      <c r="A157" s="11" t="s">
        <v>498</v>
      </c>
      <c r="B157" s="21" t="s">
        <v>566</v>
      </c>
      <c r="C157" s="11" t="n">
        <v>2</v>
      </c>
      <c r="D157" s="21" t="s">
        <v>800</v>
      </c>
      <c r="E157" s="21" t="s">
        <v>578</v>
      </c>
      <c r="F157" s="20" t="s">
        <v>579</v>
      </c>
      <c r="G157" s="11"/>
      <c r="H157" s="22"/>
      <c r="I157" s="22" t="s">
        <v>1034</v>
      </c>
      <c r="J157" s="22"/>
      <c r="K157" s="21" t="s">
        <v>1035</v>
      </c>
    </row>
    <row r="158" customFormat="false" ht="15" hidden="false" customHeight="false" outlineLevel="0" collapsed="false">
      <c r="A158" s="11" t="s">
        <v>498</v>
      </c>
      <c r="B158" s="21" t="s">
        <v>566</v>
      </c>
      <c r="C158" s="11" t="n">
        <v>3</v>
      </c>
      <c r="D158" s="22" t="s">
        <v>803</v>
      </c>
      <c r="E158" s="21" t="s">
        <v>698</v>
      </c>
      <c r="F158" s="11" t="s">
        <v>351</v>
      </c>
      <c r="G158" s="11"/>
      <c r="H158" s="22"/>
      <c r="I158" s="22"/>
      <c r="J158" s="22"/>
      <c r="K158" s="21" t="s">
        <v>804</v>
      </c>
    </row>
  </sheetData>
  <autoFilter ref="A3:K158"/>
  <hyperlinks>
    <hyperlink ref="K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4" min="3" style="0" width="38"/>
    <col collapsed="false" customWidth="true" hidden="false" outlineLevel="0" max="5" min="5" style="0" width="18"/>
    <col collapsed="false" customWidth="true" hidden="false" outlineLevel="0" max="6" min="6" style="0" width="30"/>
    <col collapsed="false" customWidth="true" hidden="false" outlineLevel="0" max="7" min="7" style="0" width="9"/>
  </cols>
  <sheetData>
    <row r="1" customFormat="false" ht="15" hidden="false" customHeight="false" outlineLevel="0" collapsed="false">
      <c r="A1" s="25" t="s">
        <v>1036</v>
      </c>
      <c r="G1" s="19" t="s">
        <v>78</v>
      </c>
    </row>
    <row r="2" customFormat="false" ht="15" hidden="false" customHeight="false" outlineLevel="0" collapsed="false">
      <c r="A2" s="23" t="s">
        <v>1037</v>
      </c>
    </row>
    <row r="3" customFormat="false" ht="15" hidden="false" customHeight="false" outlineLevel="0" collapsed="false">
      <c r="A3" s="9" t="s">
        <v>1038</v>
      </c>
      <c r="B3" s="10" t="s">
        <v>1039</v>
      </c>
      <c r="C3" s="10" t="s">
        <v>1040</v>
      </c>
      <c r="D3" s="10" t="s">
        <v>373</v>
      </c>
      <c r="E3" s="10" t="s">
        <v>309</v>
      </c>
      <c r="F3" s="10" t="s">
        <v>1041</v>
      </c>
      <c r="G3" s="10" t="s">
        <v>43</v>
      </c>
    </row>
    <row r="4" customFormat="false" ht="15" hidden="false" customHeight="false" outlineLevel="0" collapsed="false">
      <c r="A4" s="11" t="s">
        <v>1042</v>
      </c>
      <c r="B4" s="11" t="s">
        <v>1043</v>
      </c>
      <c r="C4" s="22" t="s">
        <v>1044</v>
      </c>
      <c r="D4" s="21" t="s">
        <v>1045</v>
      </c>
      <c r="E4" s="22" t="s">
        <v>490</v>
      </c>
      <c r="F4" s="21" t="s">
        <v>1046</v>
      </c>
      <c r="G4" s="11"/>
    </row>
    <row r="5" customFormat="false" ht="15" hidden="false" customHeight="false" outlineLevel="0" collapsed="false">
      <c r="A5" s="11" t="s">
        <v>1047</v>
      </c>
      <c r="B5" s="11" t="s">
        <v>1048</v>
      </c>
      <c r="C5" s="22" t="s">
        <v>1049</v>
      </c>
      <c r="D5" s="21" t="s">
        <v>1050</v>
      </c>
      <c r="E5" s="22" t="s">
        <v>376</v>
      </c>
      <c r="F5" s="21" t="s">
        <v>1051</v>
      </c>
      <c r="G5" s="11"/>
    </row>
    <row r="6" customFormat="false" ht="15" hidden="false" customHeight="false" outlineLevel="0" collapsed="false">
      <c r="A6" s="11" t="s">
        <v>1052</v>
      </c>
      <c r="B6" s="11" t="s">
        <v>1053</v>
      </c>
      <c r="C6" s="22" t="s">
        <v>1054</v>
      </c>
      <c r="D6" s="21" t="s">
        <v>1055</v>
      </c>
      <c r="E6" s="22" t="s">
        <v>376</v>
      </c>
      <c r="F6" s="22" t="s">
        <v>1056</v>
      </c>
      <c r="G6" s="11"/>
    </row>
    <row r="7" customFormat="false" ht="15" hidden="false" customHeight="false" outlineLevel="0" collapsed="false">
      <c r="A7" s="11" t="s">
        <v>1057</v>
      </c>
      <c r="B7" s="11" t="s">
        <v>1048</v>
      </c>
      <c r="C7" s="22" t="s">
        <v>1058</v>
      </c>
      <c r="D7" s="21" t="s">
        <v>1059</v>
      </c>
      <c r="E7" s="22" t="s">
        <v>382</v>
      </c>
      <c r="F7" s="21" t="s">
        <v>1051</v>
      </c>
      <c r="G7" s="11"/>
    </row>
    <row r="8" customFormat="false" ht="15" hidden="false" customHeight="false" outlineLevel="0" collapsed="false">
      <c r="A8" s="11" t="s">
        <v>1060</v>
      </c>
      <c r="B8" s="11" t="s">
        <v>1053</v>
      </c>
      <c r="C8" s="22" t="s">
        <v>1061</v>
      </c>
      <c r="D8" s="21" t="s">
        <v>1062</v>
      </c>
      <c r="E8" s="22" t="s">
        <v>382</v>
      </c>
      <c r="F8" s="22" t="s">
        <v>1063</v>
      </c>
      <c r="G8" s="11"/>
    </row>
    <row r="9" customFormat="false" ht="15" hidden="false" customHeight="false" outlineLevel="0" collapsed="false">
      <c r="A9" s="11" t="s">
        <v>1064</v>
      </c>
      <c r="B9" s="11" t="s">
        <v>1048</v>
      </c>
      <c r="C9" s="22" t="s">
        <v>1065</v>
      </c>
      <c r="D9" s="21" t="s">
        <v>1066</v>
      </c>
      <c r="E9" s="22" t="s">
        <v>386</v>
      </c>
      <c r="F9" s="21" t="s">
        <v>1051</v>
      </c>
      <c r="G9" s="11"/>
    </row>
    <row r="10" customFormat="false" ht="15" hidden="false" customHeight="false" outlineLevel="0" collapsed="false">
      <c r="A10" s="11" t="s">
        <v>1067</v>
      </c>
      <c r="B10" s="11" t="s">
        <v>1053</v>
      </c>
      <c r="C10" s="22" t="s">
        <v>1068</v>
      </c>
      <c r="D10" s="21" t="s">
        <v>1069</v>
      </c>
      <c r="E10" s="22" t="s">
        <v>386</v>
      </c>
      <c r="F10" s="22" t="s">
        <v>1070</v>
      </c>
      <c r="G10" s="11"/>
    </row>
    <row r="11" customFormat="false" ht="15" hidden="false" customHeight="false" outlineLevel="0" collapsed="false">
      <c r="A11" s="11" t="s">
        <v>1071</v>
      </c>
      <c r="B11" s="11" t="s">
        <v>1072</v>
      </c>
      <c r="C11" s="22" t="s">
        <v>1073</v>
      </c>
      <c r="D11" s="21" t="s">
        <v>831</v>
      </c>
      <c r="E11" s="22" t="s">
        <v>390</v>
      </c>
      <c r="F11" s="21" t="s">
        <v>1074</v>
      </c>
      <c r="G11" s="11"/>
    </row>
    <row r="12" customFormat="false" ht="15" hidden="false" customHeight="false" outlineLevel="0" collapsed="false">
      <c r="A12" s="11" t="s">
        <v>1075</v>
      </c>
      <c r="B12" s="11" t="s">
        <v>1072</v>
      </c>
      <c r="C12" s="22" t="s">
        <v>1076</v>
      </c>
      <c r="D12" s="21" t="s">
        <v>521</v>
      </c>
      <c r="E12" s="22" t="s">
        <v>394</v>
      </c>
      <c r="F12" s="22" t="s">
        <v>1056</v>
      </c>
      <c r="G12" s="11"/>
    </row>
    <row r="13" customFormat="false" ht="15" hidden="false" customHeight="false" outlineLevel="0" collapsed="false">
      <c r="A13" s="11" t="s">
        <v>1077</v>
      </c>
      <c r="B13" s="11" t="s">
        <v>1078</v>
      </c>
      <c r="C13" s="22" t="s">
        <v>1079</v>
      </c>
      <c r="D13" s="21" t="s">
        <v>1080</v>
      </c>
      <c r="E13" s="22" t="s">
        <v>398</v>
      </c>
      <c r="F13" s="22" t="s">
        <v>1081</v>
      </c>
      <c r="G13" s="11"/>
    </row>
    <row r="14" customFormat="false" ht="15" hidden="false" customHeight="false" outlineLevel="0" collapsed="false">
      <c r="A14" s="11" t="s">
        <v>1082</v>
      </c>
      <c r="B14" s="11" t="s">
        <v>1072</v>
      </c>
      <c r="C14" s="22" t="s">
        <v>1083</v>
      </c>
      <c r="D14" s="21" t="s">
        <v>1084</v>
      </c>
      <c r="E14" s="22" t="s">
        <v>402</v>
      </c>
      <c r="F14" s="22" t="s">
        <v>1063</v>
      </c>
      <c r="G14" s="11"/>
    </row>
    <row r="15" customFormat="false" ht="15" hidden="false" customHeight="false" outlineLevel="0" collapsed="false">
      <c r="A15" s="11" t="s">
        <v>1085</v>
      </c>
      <c r="B15" s="11" t="s">
        <v>1043</v>
      </c>
      <c r="C15" s="22" t="s">
        <v>1086</v>
      </c>
      <c r="D15" s="21" t="s">
        <v>1087</v>
      </c>
      <c r="E15" s="22" t="s">
        <v>407</v>
      </c>
      <c r="F15" s="22" t="s">
        <v>1056</v>
      </c>
      <c r="G15" s="11"/>
    </row>
    <row r="16" customFormat="false" ht="15" hidden="false" customHeight="false" outlineLevel="0" collapsed="false">
      <c r="A16" s="11" t="s">
        <v>1088</v>
      </c>
      <c r="B16" s="11" t="s">
        <v>1043</v>
      </c>
      <c r="C16" s="22" t="s">
        <v>1089</v>
      </c>
      <c r="D16" s="21" t="s">
        <v>1090</v>
      </c>
      <c r="E16" s="22" t="s">
        <v>402</v>
      </c>
      <c r="F16" s="22" t="s">
        <v>1063</v>
      </c>
      <c r="G16" s="11"/>
    </row>
    <row r="17" customFormat="false" ht="15" hidden="false" customHeight="false" outlineLevel="0" collapsed="false">
      <c r="A17" s="11" t="s">
        <v>1091</v>
      </c>
      <c r="B17" s="11" t="s">
        <v>1043</v>
      </c>
      <c r="C17" s="22" t="s">
        <v>1092</v>
      </c>
      <c r="D17" s="21" t="s">
        <v>1093</v>
      </c>
      <c r="E17" s="22" t="s">
        <v>402</v>
      </c>
      <c r="F17" s="22" t="s">
        <v>1063</v>
      </c>
      <c r="G17" s="11"/>
    </row>
    <row r="18" customFormat="false" ht="15" hidden="false" customHeight="false" outlineLevel="0" collapsed="false">
      <c r="A18" s="11" t="s">
        <v>1094</v>
      </c>
      <c r="B18" s="11" t="s">
        <v>1048</v>
      </c>
      <c r="C18" s="22" t="s">
        <v>1095</v>
      </c>
      <c r="D18" s="21" t="s">
        <v>1096</v>
      </c>
      <c r="E18" s="22" t="s">
        <v>407</v>
      </c>
      <c r="F18" s="22" t="s">
        <v>1063</v>
      </c>
      <c r="G18" s="11"/>
    </row>
    <row r="19" customFormat="false" ht="15" hidden="false" customHeight="false" outlineLevel="0" collapsed="false">
      <c r="A19" s="11" t="s">
        <v>1097</v>
      </c>
      <c r="B19" s="11" t="s">
        <v>1043</v>
      </c>
      <c r="C19" s="22" t="s">
        <v>1098</v>
      </c>
      <c r="D19" s="21" t="s">
        <v>1099</v>
      </c>
      <c r="E19" s="22" t="s">
        <v>322</v>
      </c>
      <c r="F19" s="22" t="s">
        <v>1100</v>
      </c>
      <c r="G19" s="11"/>
    </row>
    <row r="20" customFormat="false" ht="15" hidden="false" customHeight="false" outlineLevel="0" collapsed="false">
      <c r="A20" s="11" t="s">
        <v>1101</v>
      </c>
      <c r="B20" s="11" t="s">
        <v>1043</v>
      </c>
      <c r="C20" s="22" t="s">
        <v>1102</v>
      </c>
      <c r="D20" s="21" t="s">
        <v>1103</v>
      </c>
      <c r="E20" s="22" t="s">
        <v>322</v>
      </c>
      <c r="F20" s="22" t="s">
        <v>1100</v>
      </c>
      <c r="G20" s="11" t="s">
        <v>1104</v>
      </c>
    </row>
    <row r="21" customFormat="false" ht="15" hidden="false" customHeight="false" outlineLevel="0" collapsed="false">
      <c r="A21" s="11" t="s">
        <v>1105</v>
      </c>
      <c r="B21" s="11" t="s">
        <v>1043</v>
      </c>
      <c r="C21" s="22" t="s">
        <v>1106</v>
      </c>
      <c r="D21" s="21" t="s">
        <v>1107</v>
      </c>
      <c r="E21" s="22" t="s">
        <v>322</v>
      </c>
      <c r="F21" s="22" t="s">
        <v>1056</v>
      </c>
      <c r="G21" s="11" t="s">
        <v>1108</v>
      </c>
    </row>
    <row r="22" customFormat="false" ht="15" hidden="false" customHeight="false" outlineLevel="0" collapsed="false">
      <c r="A22" s="11" t="s">
        <v>1109</v>
      </c>
      <c r="B22" s="11" t="s">
        <v>1043</v>
      </c>
      <c r="C22" s="22" t="s">
        <v>1110</v>
      </c>
      <c r="D22" s="21" t="s">
        <v>1111</v>
      </c>
      <c r="E22" s="22" t="s">
        <v>412</v>
      </c>
      <c r="F22" s="22" t="s">
        <v>1112</v>
      </c>
      <c r="G22" s="11" t="s">
        <v>1113</v>
      </c>
    </row>
    <row r="23" customFormat="false" ht="15" hidden="false" customHeight="false" outlineLevel="0" collapsed="false">
      <c r="A23" s="11" t="s">
        <v>1114</v>
      </c>
      <c r="B23" s="11" t="s">
        <v>1043</v>
      </c>
      <c r="C23" s="22" t="s">
        <v>1115</v>
      </c>
      <c r="D23" s="21" t="s">
        <v>1116</v>
      </c>
      <c r="E23" s="22" t="s">
        <v>412</v>
      </c>
      <c r="F23" s="22" t="s">
        <v>1112</v>
      </c>
      <c r="G23" s="11" t="s">
        <v>1117</v>
      </c>
    </row>
    <row r="24" customFormat="false" ht="15" hidden="false" customHeight="false" outlineLevel="0" collapsed="false">
      <c r="A24" s="11" t="s">
        <v>1118</v>
      </c>
      <c r="B24" s="11" t="s">
        <v>1043</v>
      </c>
      <c r="C24" s="22" t="s">
        <v>1119</v>
      </c>
      <c r="D24" s="21" t="s">
        <v>1120</v>
      </c>
      <c r="E24" s="22" t="s">
        <v>412</v>
      </c>
      <c r="F24" s="22" t="s">
        <v>1112</v>
      </c>
      <c r="G24" s="11"/>
    </row>
    <row r="25" customFormat="false" ht="15" hidden="false" customHeight="false" outlineLevel="0" collapsed="false">
      <c r="A25" s="11" t="s">
        <v>1121</v>
      </c>
      <c r="B25" s="11" t="s">
        <v>1048</v>
      </c>
      <c r="C25" s="22" t="s">
        <v>1122</v>
      </c>
      <c r="D25" s="21" t="s">
        <v>1123</v>
      </c>
      <c r="E25" s="22" t="s">
        <v>415</v>
      </c>
      <c r="F25" s="21" t="s">
        <v>1051</v>
      </c>
      <c r="G25" s="11"/>
    </row>
    <row r="26" customFormat="false" ht="15" hidden="false" customHeight="false" outlineLevel="0" collapsed="false">
      <c r="A26" s="11" t="s">
        <v>1124</v>
      </c>
      <c r="B26" s="11" t="s">
        <v>1048</v>
      </c>
      <c r="C26" s="22" t="s">
        <v>1125</v>
      </c>
      <c r="D26" s="21" t="s">
        <v>1126</v>
      </c>
      <c r="E26" s="22" t="s">
        <v>415</v>
      </c>
      <c r="F26" s="21" t="s">
        <v>1051</v>
      </c>
      <c r="G26" s="11"/>
    </row>
    <row r="27" customFormat="false" ht="15" hidden="false" customHeight="false" outlineLevel="0" collapsed="false">
      <c r="A27" s="11" t="s">
        <v>1127</v>
      </c>
      <c r="B27" s="11" t="s">
        <v>1043</v>
      </c>
      <c r="C27" s="22" t="s">
        <v>1128</v>
      </c>
      <c r="D27" s="21" t="s">
        <v>421</v>
      </c>
      <c r="E27" s="22" t="s">
        <v>420</v>
      </c>
      <c r="F27" s="22" t="s">
        <v>1112</v>
      </c>
      <c r="G27" s="11" t="s">
        <v>1129</v>
      </c>
    </row>
    <row r="28" customFormat="false" ht="15" hidden="false" customHeight="false" outlineLevel="0" collapsed="false">
      <c r="A28" s="11" t="s">
        <v>1130</v>
      </c>
      <c r="B28" s="11" t="s">
        <v>1048</v>
      </c>
      <c r="C28" s="22" t="s">
        <v>1131</v>
      </c>
      <c r="D28" s="21" t="s">
        <v>425</v>
      </c>
      <c r="E28" s="22" t="s">
        <v>424</v>
      </c>
      <c r="F28" s="21" t="s">
        <v>1051</v>
      </c>
      <c r="G28" s="11"/>
    </row>
    <row r="29" customFormat="false" ht="15" hidden="false" customHeight="false" outlineLevel="0" collapsed="false">
      <c r="A29" s="11" t="s">
        <v>1132</v>
      </c>
      <c r="B29" s="11" t="s">
        <v>1043</v>
      </c>
      <c r="C29" s="22" t="s">
        <v>1133</v>
      </c>
      <c r="D29" s="21" t="s">
        <v>1134</v>
      </c>
      <c r="E29" s="22" t="s">
        <v>428</v>
      </c>
      <c r="F29" s="22" t="s">
        <v>1100</v>
      </c>
      <c r="G29" s="11" t="s">
        <v>1135</v>
      </c>
    </row>
    <row r="30" customFormat="false" ht="15" hidden="false" customHeight="false" outlineLevel="0" collapsed="false">
      <c r="A30" s="11" t="s">
        <v>1136</v>
      </c>
      <c r="B30" s="11" t="s">
        <v>1043</v>
      </c>
      <c r="C30" s="22" t="s">
        <v>1137</v>
      </c>
      <c r="D30" s="21" t="s">
        <v>1138</v>
      </c>
      <c r="E30" s="22" t="s">
        <v>367</v>
      </c>
      <c r="F30" s="22" t="s">
        <v>1100</v>
      </c>
      <c r="G30" s="11" t="s">
        <v>1135</v>
      </c>
    </row>
    <row r="31" customFormat="false" ht="15" hidden="false" customHeight="false" outlineLevel="0" collapsed="false">
      <c r="A31" s="11" t="s">
        <v>1139</v>
      </c>
      <c r="B31" s="11" t="s">
        <v>1043</v>
      </c>
      <c r="C31" s="22" t="s">
        <v>1140</v>
      </c>
      <c r="D31" s="21" t="s">
        <v>1141</v>
      </c>
      <c r="E31" s="22" t="s">
        <v>367</v>
      </c>
      <c r="F31" s="22" t="s">
        <v>1100</v>
      </c>
      <c r="G31" s="11" t="s">
        <v>1142</v>
      </c>
    </row>
    <row r="32" customFormat="false" ht="15" hidden="false" customHeight="false" outlineLevel="0" collapsed="false">
      <c r="A32" s="11" t="s">
        <v>1143</v>
      </c>
      <c r="B32" s="11" t="s">
        <v>1043</v>
      </c>
      <c r="C32" s="22" t="s">
        <v>1144</v>
      </c>
      <c r="D32" s="21" t="s">
        <v>1145</v>
      </c>
      <c r="E32" s="22" t="s">
        <v>333</v>
      </c>
      <c r="F32" s="22" t="s">
        <v>1146</v>
      </c>
      <c r="G32" s="11" t="s">
        <v>1147</v>
      </c>
    </row>
    <row r="33" customFormat="false" ht="15" hidden="false" customHeight="false" outlineLevel="0" collapsed="false">
      <c r="A33" s="11" t="s">
        <v>1148</v>
      </c>
      <c r="B33" s="11" t="s">
        <v>1048</v>
      </c>
      <c r="C33" s="22" t="s">
        <v>1149</v>
      </c>
      <c r="D33" s="21" t="s">
        <v>577</v>
      </c>
      <c r="E33" s="22" t="s">
        <v>437</v>
      </c>
      <c r="F33" s="21" t="s">
        <v>1051</v>
      </c>
      <c r="G33" s="11"/>
    </row>
    <row r="34" customFormat="false" ht="15" hidden="false" customHeight="false" outlineLevel="0" collapsed="false">
      <c r="A34" s="11" t="s">
        <v>1150</v>
      </c>
      <c r="B34" s="11" t="s">
        <v>1072</v>
      </c>
      <c r="C34" s="22" t="s">
        <v>1151</v>
      </c>
      <c r="D34" s="21" t="s">
        <v>1152</v>
      </c>
      <c r="E34" s="22" t="s">
        <v>340</v>
      </c>
      <c r="F34" s="22" t="s">
        <v>1070</v>
      </c>
      <c r="G34" s="11" t="s">
        <v>1153</v>
      </c>
    </row>
    <row r="35" customFormat="false" ht="15" hidden="false" customHeight="false" outlineLevel="0" collapsed="false">
      <c r="A35" s="11" t="s">
        <v>1154</v>
      </c>
      <c r="B35" s="11" t="s">
        <v>1043</v>
      </c>
      <c r="C35" s="22" t="s">
        <v>1155</v>
      </c>
      <c r="D35" s="21" t="s">
        <v>1156</v>
      </c>
      <c r="E35" s="22" t="s">
        <v>340</v>
      </c>
      <c r="F35" s="22" t="s">
        <v>1070</v>
      </c>
      <c r="G35" s="11" t="s">
        <v>1153</v>
      </c>
    </row>
    <row r="36" customFormat="false" ht="15" hidden="false" customHeight="false" outlineLevel="0" collapsed="false">
      <c r="A36" s="11" t="s">
        <v>1157</v>
      </c>
      <c r="B36" s="11" t="s">
        <v>1043</v>
      </c>
      <c r="C36" s="22" t="s">
        <v>1158</v>
      </c>
      <c r="D36" s="21" t="s">
        <v>1159</v>
      </c>
      <c r="E36" s="22" t="s">
        <v>340</v>
      </c>
      <c r="F36" s="22" t="s">
        <v>1056</v>
      </c>
      <c r="G36" s="11" t="s">
        <v>1153</v>
      </c>
    </row>
    <row r="37" customFormat="false" ht="15" hidden="false" customHeight="false" outlineLevel="0" collapsed="false">
      <c r="A37" s="11" t="s">
        <v>1160</v>
      </c>
      <c r="B37" s="11" t="s">
        <v>1043</v>
      </c>
      <c r="C37" s="22" t="s">
        <v>1161</v>
      </c>
      <c r="D37" s="21" t="s">
        <v>1162</v>
      </c>
      <c r="E37" s="22" t="s">
        <v>340</v>
      </c>
      <c r="F37" s="22" t="s">
        <v>1070</v>
      </c>
      <c r="G37" s="11" t="s">
        <v>1153</v>
      </c>
    </row>
    <row r="38" customFormat="false" ht="15" hidden="false" customHeight="false" outlineLevel="0" collapsed="false">
      <c r="A38" s="11" t="s">
        <v>1163</v>
      </c>
      <c r="B38" s="11" t="s">
        <v>1043</v>
      </c>
      <c r="C38" s="22" t="s">
        <v>1164</v>
      </c>
      <c r="D38" s="21" t="s">
        <v>1165</v>
      </c>
      <c r="E38" s="22" t="s">
        <v>444</v>
      </c>
      <c r="F38" s="22" t="s">
        <v>1100</v>
      </c>
      <c r="G38" s="11" t="s">
        <v>1166</v>
      </c>
    </row>
    <row r="39" customFormat="false" ht="15" hidden="false" customHeight="false" outlineLevel="0" collapsed="false">
      <c r="A39" s="11" t="s">
        <v>1167</v>
      </c>
      <c r="B39" s="11" t="s">
        <v>1043</v>
      </c>
      <c r="C39" s="22" t="s">
        <v>1168</v>
      </c>
      <c r="D39" s="21" t="s">
        <v>1169</v>
      </c>
      <c r="E39" s="22" t="s">
        <v>448</v>
      </c>
      <c r="F39" s="22" t="s">
        <v>1100</v>
      </c>
      <c r="G39" s="11" t="s">
        <v>1170</v>
      </c>
    </row>
    <row r="40" customFormat="false" ht="26.85" hidden="false" customHeight="false" outlineLevel="0" collapsed="false">
      <c r="A40" s="11" t="s">
        <v>1171</v>
      </c>
      <c r="B40" s="11" t="s">
        <v>1043</v>
      </c>
      <c r="C40" s="22" t="s">
        <v>1172</v>
      </c>
      <c r="D40" s="21" t="s">
        <v>1173</v>
      </c>
      <c r="E40" s="22" t="s">
        <v>448</v>
      </c>
      <c r="F40" s="22" t="s">
        <v>1174</v>
      </c>
      <c r="G40" s="11" t="s">
        <v>1175</v>
      </c>
    </row>
    <row r="41" customFormat="false" ht="15" hidden="false" customHeight="false" outlineLevel="0" collapsed="false">
      <c r="A41" s="11" t="s">
        <v>1176</v>
      </c>
      <c r="B41" s="11" t="s">
        <v>1177</v>
      </c>
      <c r="C41" s="22" t="s">
        <v>1178</v>
      </c>
      <c r="D41" s="21" t="s">
        <v>1179</v>
      </c>
      <c r="E41" s="22" t="s">
        <v>444</v>
      </c>
      <c r="F41" s="22" t="s">
        <v>1100</v>
      </c>
      <c r="G41" s="11" t="s">
        <v>1180</v>
      </c>
    </row>
    <row r="42" customFormat="false" ht="15" hidden="false" customHeight="false" outlineLevel="0" collapsed="false">
      <c r="A42" s="11" t="s">
        <v>1181</v>
      </c>
      <c r="B42" s="11" t="s">
        <v>1048</v>
      </c>
      <c r="C42" s="22" t="s">
        <v>1182</v>
      </c>
      <c r="D42" s="21" t="s">
        <v>1183</v>
      </c>
      <c r="E42" s="22" t="s">
        <v>451</v>
      </c>
      <c r="F42" s="22" t="s">
        <v>1184</v>
      </c>
      <c r="G42" s="11"/>
    </row>
    <row r="43" customFormat="false" ht="15" hidden="false" customHeight="false" outlineLevel="0" collapsed="false">
      <c r="A43" s="11" t="s">
        <v>1185</v>
      </c>
      <c r="B43" s="11" t="s">
        <v>1043</v>
      </c>
      <c r="C43" s="22" t="s">
        <v>1186</v>
      </c>
      <c r="D43" s="21" t="s">
        <v>454</v>
      </c>
      <c r="E43" s="22" t="s">
        <v>355</v>
      </c>
      <c r="F43" s="22" t="s">
        <v>1100</v>
      </c>
      <c r="G43" s="11" t="s">
        <v>1187</v>
      </c>
    </row>
    <row r="44" customFormat="false" ht="15" hidden="false" customHeight="false" outlineLevel="0" collapsed="false">
      <c r="A44" s="11" t="s">
        <v>1188</v>
      </c>
      <c r="B44" s="11" t="s">
        <v>1043</v>
      </c>
      <c r="C44" s="22" t="s">
        <v>1189</v>
      </c>
      <c r="D44" s="21" t="s">
        <v>1190</v>
      </c>
      <c r="E44" s="22" t="s">
        <v>355</v>
      </c>
      <c r="F44" s="22" t="s">
        <v>1112</v>
      </c>
      <c r="G44" s="11" t="s">
        <v>1187</v>
      </c>
    </row>
    <row r="45" customFormat="false" ht="15" hidden="false" customHeight="false" outlineLevel="0" collapsed="false">
      <c r="A45" s="11" t="s">
        <v>1191</v>
      </c>
      <c r="B45" s="11" t="s">
        <v>1048</v>
      </c>
      <c r="C45" s="22" t="s">
        <v>1192</v>
      </c>
      <c r="D45" s="21" t="s">
        <v>459</v>
      </c>
      <c r="E45" s="22" t="s">
        <v>457</v>
      </c>
      <c r="F45" s="21" t="s">
        <v>1051</v>
      </c>
      <c r="G45" s="11"/>
    </row>
    <row r="46" customFormat="false" ht="15" hidden="false" customHeight="false" outlineLevel="0" collapsed="false">
      <c r="A46" s="11" t="s">
        <v>1193</v>
      </c>
      <c r="B46" s="11" t="s">
        <v>1048</v>
      </c>
      <c r="C46" s="22" t="s">
        <v>1194</v>
      </c>
      <c r="D46" s="21" t="s">
        <v>463</v>
      </c>
      <c r="E46" s="22" t="s">
        <v>462</v>
      </c>
      <c r="F46" s="21" t="s">
        <v>1051</v>
      </c>
      <c r="G46" s="11"/>
    </row>
    <row r="47" customFormat="false" ht="15" hidden="false" customHeight="false" outlineLevel="0" collapsed="false">
      <c r="A47" s="11" t="s">
        <v>1195</v>
      </c>
      <c r="B47" s="11" t="s">
        <v>1043</v>
      </c>
      <c r="C47" s="22" t="s">
        <v>1196</v>
      </c>
      <c r="D47" s="21" t="s">
        <v>1197</v>
      </c>
      <c r="E47" s="22" t="s">
        <v>466</v>
      </c>
      <c r="F47" s="22" t="s">
        <v>1112</v>
      </c>
      <c r="G47" s="11" t="s">
        <v>1198</v>
      </c>
    </row>
    <row r="48" customFormat="false" ht="15" hidden="false" customHeight="false" outlineLevel="0" collapsed="false">
      <c r="A48" s="11" t="s">
        <v>1199</v>
      </c>
      <c r="B48" s="11" t="s">
        <v>1043</v>
      </c>
      <c r="C48" s="22" t="s">
        <v>1200</v>
      </c>
      <c r="D48" s="21" t="s">
        <v>1201</v>
      </c>
      <c r="E48" s="22" t="s">
        <v>466</v>
      </c>
      <c r="F48" s="22" t="s">
        <v>1112</v>
      </c>
      <c r="G48" s="11" t="s">
        <v>1202</v>
      </c>
    </row>
    <row r="49" customFormat="false" ht="26.85" hidden="false" customHeight="false" outlineLevel="0" collapsed="false">
      <c r="A49" s="11" t="s">
        <v>1203</v>
      </c>
      <c r="B49" s="11" t="s">
        <v>1177</v>
      </c>
      <c r="C49" s="22" t="s">
        <v>1204</v>
      </c>
      <c r="D49" s="21" t="s">
        <v>1205</v>
      </c>
      <c r="E49" s="22" t="s">
        <v>470</v>
      </c>
      <c r="F49" s="22" t="s">
        <v>1206</v>
      </c>
      <c r="G49" s="11" t="s">
        <v>1207</v>
      </c>
    </row>
    <row r="50" customFormat="false" ht="15" hidden="false" customHeight="false" outlineLevel="0" collapsed="false">
      <c r="A50" s="11" t="s">
        <v>1208</v>
      </c>
      <c r="B50" s="11" t="s">
        <v>1043</v>
      </c>
      <c r="C50" s="22" t="s">
        <v>1209</v>
      </c>
      <c r="D50" s="21" t="s">
        <v>1210</v>
      </c>
      <c r="E50" s="22" t="s">
        <v>470</v>
      </c>
      <c r="F50" s="22" t="s">
        <v>1112</v>
      </c>
      <c r="G50" s="11" t="s">
        <v>1211</v>
      </c>
    </row>
    <row r="51" customFormat="false" ht="23.85" hidden="false" customHeight="false" outlineLevel="0" collapsed="false">
      <c r="A51" s="11" t="s">
        <v>1212</v>
      </c>
      <c r="B51" s="11" t="s">
        <v>1048</v>
      </c>
      <c r="C51" s="22" t="s">
        <v>1213</v>
      </c>
      <c r="D51" s="21" t="s">
        <v>66</v>
      </c>
      <c r="E51" s="22" t="s">
        <v>1214</v>
      </c>
      <c r="F51" s="21" t="s">
        <v>1215</v>
      </c>
      <c r="G51" s="11"/>
    </row>
    <row r="52" customFormat="false" ht="15" hidden="false" customHeight="false" outlineLevel="0" collapsed="false">
      <c r="A52" s="11" t="s">
        <v>1216</v>
      </c>
      <c r="B52" s="11" t="s">
        <v>1048</v>
      </c>
      <c r="C52" s="22" t="s">
        <v>1217</v>
      </c>
      <c r="D52" s="21" t="s">
        <v>566</v>
      </c>
      <c r="E52" s="22" t="s">
        <v>495</v>
      </c>
      <c r="F52" s="22" t="s">
        <v>1081</v>
      </c>
      <c r="G52" s="11"/>
    </row>
    <row r="53" customFormat="false" ht="15" hidden="false" customHeight="false" outlineLevel="0" collapsed="false">
      <c r="A53" s="11" t="s">
        <v>1218</v>
      </c>
      <c r="B53" s="11" t="s">
        <v>1048</v>
      </c>
      <c r="C53" s="22" t="s">
        <v>1219</v>
      </c>
      <c r="D53" s="21" t="s">
        <v>500</v>
      </c>
      <c r="E53" s="22" t="s">
        <v>499</v>
      </c>
      <c r="F53" s="21" t="s">
        <v>1051</v>
      </c>
      <c r="G53" s="11"/>
    </row>
  </sheetData>
  <autoFilter ref="A3:G53"/>
  <hyperlinks>
    <hyperlink ref="G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100"/>
    <col collapsed="false" customWidth="true" hidden="false" outlineLevel="0" max="5" min="5" style="0" width="14"/>
  </cols>
  <sheetData>
    <row r="1" customFormat="false" ht="15" hidden="false" customHeight="false" outlineLevel="0" collapsed="false">
      <c r="A1" s="5" t="s">
        <v>43</v>
      </c>
      <c r="E1" s="19" t="s">
        <v>78</v>
      </c>
    </row>
    <row r="2" customFormat="false" ht="15" hidden="false" customHeight="false" outlineLevel="0" collapsed="false">
      <c r="A2" s="23" t="s">
        <v>1220</v>
      </c>
    </row>
    <row r="3" customFormat="false" ht="26.85" hidden="false" customHeight="false" outlineLevel="0" collapsed="false">
      <c r="A3" s="10" t="s">
        <v>1221</v>
      </c>
      <c r="B3" s="10" t="s">
        <v>1222</v>
      </c>
      <c r="C3" s="10" t="s">
        <v>307</v>
      </c>
      <c r="D3" s="10" t="s">
        <v>26</v>
      </c>
      <c r="E3" s="10" t="s">
        <v>1223</v>
      </c>
    </row>
    <row r="4" customFormat="false" ht="26.85" hidden="false" customHeight="false" outlineLevel="0" collapsed="false">
      <c r="A4" s="26" t="s">
        <v>1224</v>
      </c>
      <c r="B4" s="27" t="s">
        <v>1225</v>
      </c>
      <c r="C4" s="26" t="n">
        <v>1</v>
      </c>
      <c r="D4" s="27" t="s">
        <v>1226</v>
      </c>
      <c r="E4" s="26"/>
    </row>
    <row r="5" customFormat="false" ht="26.85" hidden="false" customHeight="false" outlineLevel="0" collapsed="false">
      <c r="A5" s="11" t="s">
        <v>1224</v>
      </c>
      <c r="B5" s="21" t="s">
        <v>1225</v>
      </c>
      <c r="C5" s="11" t="n">
        <v>2</v>
      </c>
      <c r="D5" s="22" t="s">
        <v>1227</v>
      </c>
      <c r="E5" s="11"/>
    </row>
    <row r="6" customFormat="false" ht="26.85" hidden="false" customHeight="false" outlineLevel="0" collapsed="false">
      <c r="A6" s="11" t="s">
        <v>1224</v>
      </c>
      <c r="B6" s="21" t="s">
        <v>1225</v>
      </c>
      <c r="C6" s="11" t="n">
        <v>3</v>
      </c>
      <c r="D6" s="22" t="s">
        <v>1228</v>
      </c>
      <c r="E6" s="11"/>
    </row>
    <row r="7" customFormat="false" ht="26.85" hidden="false" customHeight="false" outlineLevel="0" collapsed="false">
      <c r="A7" s="11" t="s">
        <v>1224</v>
      </c>
      <c r="B7" s="21" t="s">
        <v>1225</v>
      </c>
      <c r="C7" s="11" t="n">
        <v>4</v>
      </c>
      <c r="D7" s="21" t="s">
        <v>1229</v>
      </c>
      <c r="E7" s="11" t="s">
        <v>1230</v>
      </c>
    </row>
    <row r="8" customFormat="false" ht="26.85" hidden="false" customHeight="false" outlineLevel="0" collapsed="false">
      <c r="A8" s="11" t="s">
        <v>1224</v>
      </c>
      <c r="B8" s="21" t="s">
        <v>1225</v>
      </c>
      <c r="C8" s="11" t="n">
        <v>5</v>
      </c>
      <c r="D8" s="21" t="s">
        <v>1231</v>
      </c>
      <c r="E8" s="11"/>
    </row>
    <row r="9" customFormat="false" ht="26.85" hidden="false" customHeight="false" outlineLevel="0" collapsed="false">
      <c r="A9" s="11" t="s">
        <v>1224</v>
      </c>
      <c r="B9" s="21" t="s">
        <v>1225</v>
      </c>
      <c r="C9" s="11" t="n">
        <v>6</v>
      </c>
      <c r="D9" s="21" t="s">
        <v>1232</v>
      </c>
      <c r="E9" s="11"/>
    </row>
    <row r="10" customFormat="false" ht="26.85" hidden="false" customHeight="false" outlineLevel="0" collapsed="false">
      <c r="A10" s="11" t="s">
        <v>1224</v>
      </c>
      <c r="B10" s="21" t="s">
        <v>1225</v>
      </c>
      <c r="C10" s="11" t="n">
        <v>7</v>
      </c>
      <c r="D10" s="21" t="s">
        <v>1233</v>
      </c>
      <c r="E10" s="11" t="s">
        <v>1234</v>
      </c>
    </row>
    <row r="11" customFormat="false" ht="15" hidden="false" customHeight="false" outlineLevel="0" collapsed="false">
      <c r="A11" s="26" t="s">
        <v>1104</v>
      </c>
      <c r="B11" s="27" t="s">
        <v>1235</v>
      </c>
      <c r="C11" s="26" t="n">
        <v>1</v>
      </c>
      <c r="D11" s="27" t="s">
        <v>1236</v>
      </c>
      <c r="E11" s="26" t="s">
        <v>1230</v>
      </c>
    </row>
    <row r="12" customFormat="false" ht="15" hidden="false" customHeight="false" outlineLevel="0" collapsed="false">
      <c r="A12" s="11" t="s">
        <v>1104</v>
      </c>
      <c r="B12" s="21" t="s">
        <v>1235</v>
      </c>
      <c r="C12" s="11" t="n">
        <v>2</v>
      </c>
      <c r="D12" s="21" t="s">
        <v>1237</v>
      </c>
      <c r="E12" s="11" t="s">
        <v>1238</v>
      </c>
    </row>
    <row r="13" customFormat="false" ht="39.55" hidden="false" customHeight="false" outlineLevel="0" collapsed="false">
      <c r="A13" s="11" t="s">
        <v>1104</v>
      </c>
      <c r="B13" s="21" t="s">
        <v>1235</v>
      </c>
      <c r="C13" s="11" t="n">
        <v>3</v>
      </c>
      <c r="D13" s="21" t="s">
        <v>1239</v>
      </c>
      <c r="E13" s="11" t="s">
        <v>1240</v>
      </c>
    </row>
    <row r="14" customFormat="false" ht="15" hidden="false" customHeight="false" outlineLevel="0" collapsed="false">
      <c r="A14" s="11" t="s">
        <v>1104</v>
      </c>
      <c r="B14" s="21" t="s">
        <v>1235</v>
      </c>
      <c r="C14" s="11" t="n">
        <v>4</v>
      </c>
      <c r="D14" s="21" t="s">
        <v>1241</v>
      </c>
      <c r="E14" s="11" t="s">
        <v>1242</v>
      </c>
    </row>
    <row r="15" customFormat="false" ht="15" hidden="false" customHeight="false" outlineLevel="0" collapsed="false">
      <c r="A15" s="11" t="s">
        <v>1104</v>
      </c>
      <c r="B15" s="21" t="s">
        <v>1235</v>
      </c>
      <c r="C15" s="11" t="n">
        <v>5</v>
      </c>
      <c r="D15" s="22" t="s">
        <v>1243</v>
      </c>
      <c r="E15" s="11"/>
    </row>
    <row r="16" customFormat="false" ht="15" hidden="false" customHeight="false" outlineLevel="0" collapsed="false">
      <c r="A16" s="11" t="s">
        <v>1104</v>
      </c>
      <c r="B16" s="21" t="s">
        <v>1235</v>
      </c>
      <c r="C16" s="11" t="n">
        <v>6</v>
      </c>
      <c r="D16" s="22" t="s">
        <v>1244</v>
      </c>
      <c r="E16" s="11"/>
    </row>
    <row r="17" customFormat="false" ht="15" hidden="false" customHeight="false" outlineLevel="0" collapsed="false">
      <c r="A17" s="11" t="s">
        <v>1104</v>
      </c>
      <c r="B17" s="21" t="s">
        <v>1235</v>
      </c>
      <c r="C17" s="11" t="n">
        <v>7</v>
      </c>
      <c r="D17" s="21" t="s">
        <v>1245</v>
      </c>
      <c r="E17" s="11"/>
    </row>
    <row r="18" customFormat="false" ht="15" hidden="false" customHeight="false" outlineLevel="0" collapsed="false">
      <c r="A18" s="11" t="s">
        <v>1104</v>
      </c>
      <c r="B18" s="21" t="s">
        <v>1235</v>
      </c>
      <c r="C18" s="11" t="n">
        <v>8</v>
      </c>
      <c r="D18" s="22" t="s">
        <v>1246</v>
      </c>
      <c r="E18" s="11" t="s">
        <v>1247</v>
      </c>
    </row>
    <row r="19" customFormat="false" ht="15" hidden="false" customHeight="false" outlineLevel="0" collapsed="false">
      <c r="A19" s="26" t="s">
        <v>1117</v>
      </c>
      <c r="B19" s="27" t="s">
        <v>1116</v>
      </c>
      <c r="C19" s="26" t="n">
        <v>1</v>
      </c>
      <c r="D19" s="27" t="s">
        <v>1248</v>
      </c>
      <c r="E19" s="26" t="s">
        <v>1230</v>
      </c>
    </row>
    <row r="20" customFormat="false" ht="15" hidden="false" customHeight="false" outlineLevel="0" collapsed="false">
      <c r="A20" s="11" t="s">
        <v>1117</v>
      </c>
      <c r="B20" s="21" t="s">
        <v>1116</v>
      </c>
      <c r="C20" s="11" t="n">
        <v>2</v>
      </c>
      <c r="D20" s="21" t="s">
        <v>1249</v>
      </c>
      <c r="E20" s="11" t="s">
        <v>1250</v>
      </c>
    </row>
    <row r="21" customFormat="false" ht="15" hidden="false" customHeight="false" outlineLevel="0" collapsed="false">
      <c r="A21" s="11" t="s">
        <v>1117</v>
      </c>
      <c r="B21" s="21" t="s">
        <v>1116</v>
      </c>
      <c r="C21" s="11" t="n">
        <v>3</v>
      </c>
      <c r="D21" s="21" t="s">
        <v>1251</v>
      </c>
      <c r="E21" s="11" t="s">
        <v>826</v>
      </c>
    </row>
    <row r="22" customFormat="false" ht="15" hidden="false" customHeight="false" outlineLevel="0" collapsed="false">
      <c r="A22" s="11" t="s">
        <v>1117</v>
      </c>
      <c r="B22" s="21" t="s">
        <v>1116</v>
      </c>
      <c r="C22" s="11" t="n">
        <v>4</v>
      </c>
      <c r="D22" s="21" t="s">
        <v>1252</v>
      </c>
      <c r="E22" s="11" t="s">
        <v>1253</v>
      </c>
    </row>
    <row r="23" customFormat="false" ht="15" hidden="false" customHeight="false" outlineLevel="0" collapsed="false">
      <c r="A23" s="11" t="s">
        <v>1117</v>
      </c>
      <c r="B23" s="21" t="s">
        <v>1116</v>
      </c>
      <c r="C23" s="11" t="n">
        <v>5</v>
      </c>
      <c r="D23" s="22" t="s">
        <v>1254</v>
      </c>
      <c r="E23" s="11"/>
    </row>
    <row r="24" customFormat="false" ht="26.85" hidden="false" customHeight="false" outlineLevel="0" collapsed="false">
      <c r="A24" s="26" t="s">
        <v>1153</v>
      </c>
      <c r="B24" s="27" t="s">
        <v>1255</v>
      </c>
      <c r="C24" s="26" t="n">
        <v>1</v>
      </c>
      <c r="D24" s="27" t="s">
        <v>1256</v>
      </c>
      <c r="E24" s="26" t="s">
        <v>1257</v>
      </c>
    </row>
    <row r="25" customFormat="false" ht="15" hidden="false" customHeight="false" outlineLevel="0" collapsed="false">
      <c r="A25" s="11" t="s">
        <v>1153</v>
      </c>
      <c r="B25" s="21" t="s">
        <v>1255</v>
      </c>
      <c r="C25" s="11" t="n">
        <v>2</v>
      </c>
      <c r="D25" s="21" t="s">
        <v>1258</v>
      </c>
      <c r="E25" s="11" t="s">
        <v>1259</v>
      </c>
    </row>
    <row r="26" customFormat="false" ht="15" hidden="false" customHeight="false" outlineLevel="0" collapsed="false">
      <c r="A26" s="11" t="s">
        <v>1153</v>
      </c>
      <c r="B26" s="21" t="s">
        <v>1255</v>
      </c>
      <c r="C26" s="11" t="n">
        <v>3</v>
      </c>
      <c r="D26" s="21" t="s">
        <v>1260</v>
      </c>
      <c r="E26" s="11" t="s">
        <v>1261</v>
      </c>
    </row>
    <row r="27" customFormat="false" ht="15" hidden="false" customHeight="false" outlineLevel="0" collapsed="false">
      <c r="A27" s="11" t="s">
        <v>1153</v>
      </c>
      <c r="B27" s="21" t="s">
        <v>1255</v>
      </c>
      <c r="C27" s="11" t="n">
        <v>4</v>
      </c>
      <c r="D27" s="21" t="s">
        <v>1262</v>
      </c>
      <c r="E27" s="11"/>
    </row>
    <row r="28" customFormat="false" ht="26.85" hidden="false" customHeight="false" outlineLevel="0" collapsed="false">
      <c r="A28" s="11" t="s">
        <v>1153</v>
      </c>
      <c r="B28" s="21" t="s">
        <v>1255</v>
      </c>
      <c r="C28" s="11" t="n">
        <v>5</v>
      </c>
      <c r="D28" s="21" t="s">
        <v>1263</v>
      </c>
      <c r="E28" s="11" t="s">
        <v>1264</v>
      </c>
    </row>
    <row r="29" customFormat="false" ht="26.85" hidden="false" customHeight="false" outlineLevel="0" collapsed="false">
      <c r="A29" s="26" t="s">
        <v>1166</v>
      </c>
      <c r="B29" s="27" t="s">
        <v>1165</v>
      </c>
      <c r="C29" s="26" t="n">
        <v>1</v>
      </c>
      <c r="D29" s="27" t="s">
        <v>1265</v>
      </c>
      <c r="E29" s="26" t="s">
        <v>1230</v>
      </c>
    </row>
    <row r="30" customFormat="false" ht="25.35" hidden="false" customHeight="false" outlineLevel="0" collapsed="false">
      <c r="A30" s="11" t="s">
        <v>1166</v>
      </c>
      <c r="B30" s="21" t="s">
        <v>1165</v>
      </c>
      <c r="C30" s="11" t="n">
        <v>2</v>
      </c>
      <c r="D30" s="21" t="s">
        <v>1266</v>
      </c>
      <c r="E30" s="11"/>
    </row>
    <row r="31" customFormat="false" ht="15" hidden="false" customHeight="false" outlineLevel="0" collapsed="false">
      <c r="A31" s="11" t="s">
        <v>1166</v>
      </c>
      <c r="B31" s="21" t="s">
        <v>1165</v>
      </c>
      <c r="C31" s="11" t="n">
        <v>3</v>
      </c>
      <c r="D31" s="21" t="s">
        <v>1267</v>
      </c>
      <c r="E31" s="11"/>
    </row>
    <row r="32" customFormat="false" ht="26.85" hidden="false" customHeight="false" outlineLevel="0" collapsed="false">
      <c r="A32" s="11" t="s">
        <v>1166</v>
      </c>
      <c r="B32" s="21" t="s">
        <v>1165</v>
      </c>
      <c r="C32" s="11" t="n">
        <v>4</v>
      </c>
      <c r="D32" s="21" t="s">
        <v>1268</v>
      </c>
      <c r="E32" s="11" t="s">
        <v>1269</v>
      </c>
    </row>
    <row r="33" customFormat="false" ht="15" hidden="false" customHeight="false" outlineLevel="0" collapsed="false">
      <c r="A33" s="11" t="s">
        <v>1166</v>
      </c>
      <c r="B33" s="21" t="s">
        <v>1165</v>
      </c>
      <c r="C33" s="11" t="n">
        <v>5</v>
      </c>
      <c r="D33" s="21" t="s">
        <v>1270</v>
      </c>
      <c r="E33" s="11" t="s">
        <v>1271</v>
      </c>
    </row>
    <row r="34" customFormat="false" ht="26.85" hidden="false" customHeight="false" outlineLevel="0" collapsed="false">
      <c r="A34" s="26" t="s">
        <v>1170</v>
      </c>
      <c r="B34" s="27" t="s">
        <v>1169</v>
      </c>
      <c r="C34" s="26" t="n">
        <v>1</v>
      </c>
      <c r="D34" s="27" t="s">
        <v>1272</v>
      </c>
      <c r="E34" s="26" t="s">
        <v>1230</v>
      </c>
    </row>
    <row r="35" customFormat="false" ht="26.85" hidden="false" customHeight="false" outlineLevel="0" collapsed="false">
      <c r="A35" s="11" t="s">
        <v>1170</v>
      </c>
      <c r="B35" s="21" t="s">
        <v>1169</v>
      </c>
      <c r="C35" s="11" t="n">
        <v>2</v>
      </c>
      <c r="D35" s="22" t="s">
        <v>1273</v>
      </c>
      <c r="E35" s="11" t="s">
        <v>1274</v>
      </c>
    </row>
    <row r="36" customFormat="false" ht="15" hidden="false" customHeight="false" outlineLevel="0" collapsed="false">
      <c r="A36" s="11" t="s">
        <v>1170</v>
      </c>
      <c r="B36" s="21" t="s">
        <v>1169</v>
      </c>
      <c r="C36" s="11" t="n">
        <v>3</v>
      </c>
      <c r="D36" s="22" t="s">
        <v>1275</v>
      </c>
      <c r="E36" s="11" t="s">
        <v>1269</v>
      </c>
    </row>
    <row r="37" customFormat="false" ht="15" hidden="false" customHeight="false" outlineLevel="0" collapsed="false">
      <c r="A37" s="11" t="s">
        <v>1170</v>
      </c>
      <c r="B37" s="21" t="s">
        <v>1169</v>
      </c>
      <c r="C37" s="11" t="n">
        <v>4</v>
      </c>
      <c r="D37" s="22" t="s">
        <v>1276</v>
      </c>
      <c r="E37" s="11"/>
    </row>
    <row r="38" customFormat="false" ht="15" hidden="false" customHeight="false" outlineLevel="0" collapsed="false">
      <c r="A38" s="11" t="s">
        <v>1170</v>
      </c>
      <c r="B38" s="21" t="s">
        <v>1169</v>
      </c>
      <c r="C38" s="11" t="n">
        <v>5</v>
      </c>
      <c r="D38" s="22" t="s">
        <v>1277</v>
      </c>
      <c r="E38" s="11"/>
    </row>
    <row r="39" customFormat="false" ht="15" hidden="false" customHeight="false" outlineLevel="0" collapsed="false">
      <c r="A39" s="11" t="s">
        <v>1170</v>
      </c>
      <c r="B39" s="21" t="s">
        <v>1169</v>
      </c>
      <c r="C39" s="11" t="n">
        <v>6</v>
      </c>
      <c r="D39" s="22" t="s">
        <v>1278</v>
      </c>
      <c r="E39" s="11" t="s">
        <v>1279</v>
      </c>
    </row>
    <row r="40" customFormat="false" ht="15" hidden="false" customHeight="false" outlineLevel="0" collapsed="false">
      <c r="A40" s="11" t="s">
        <v>1170</v>
      </c>
      <c r="B40" s="21" t="s">
        <v>1169</v>
      </c>
      <c r="C40" s="11" t="n">
        <v>7</v>
      </c>
      <c r="D40" s="22" t="s">
        <v>1280</v>
      </c>
      <c r="E40" s="11"/>
    </row>
    <row r="41" customFormat="false" ht="26.85" hidden="false" customHeight="false" outlineLevel="0" collapsed="false">
      <c r="A41" s="26" t="s">
        <v>1175</v>
      </c>
      <c r="B41" s="27" t="s">
        <v>1281</v>
      </c>
      <c r="C41" s="26" t="n">
        <v>1</v>
      </c>
      <c r="D41" s="27" t="s">
        <v>1282</v>
      </c>
      <c r="E41" s="26"/>
    </row>
    <row r="42" customFormat="false" ht="15" hidden="false" customHeight="false" outlineLevel="0" collapsed="false">
      <c r="A42" s="11" t="s">
        <v>1175</v>
      </c>
      <c r="B42" s="21" t="s">
        <v>1281</v>
      </c>
      <c r="C42" s="11" t="n">
        <v>2</v>
      </c>
      <c r="D42" s="22" t="s">
        <v>1283</v>
      </c>
      <c r="E42" s="11" t="s">
        <v>1284</v>
      </c>
    </row>
    <row r="43" customFormat="false" ht="15" hidden="false" customHeight="false" outlineLevel="0" collapsed="false">
      <c r="A43" s="11" t="s">
        <v>1175</v>
      </c>
      <c r="B43" s="21" t="s">
        <v>1281</v>
      </c>
      <c r="C43" s="11" t="n">
        <v>3</v>
      </c>
      <c r="D43" s="22" t="s">
        <v>1285</v>
      </c>
      <c r="E43" s="11"/>
    </row>
    <row r="44" customFormat="false" ht="15" hidden="false" customHeight="false" outlineLevel="0" collapsed="false">
      <c r="A44" s="11" t="s">
        <v>1175</v>
      </c>
      <c r="B44" s="21" t="s">
        <v>1281</v>
      </c>
      <c r="C44" s="11" t="n">
        <v>4</v>
      </c>
      <c r="D44" s="21" t="s">
        <v>1286</v>
      </c>
      <c r="E44" s="11"/>
    </row>
    <row r="45" customFormat="false" ht="15" hidden="false" customHeight="false" outlineLevel="0" collapsed="false">
      <c r="A45" s="11" t="s">
        <v>1175</v>
      </c>
      <c r="B45" s="21" t="s">
        <v>1281</v>
      </c>
      <c r="C45" s="11" t="n">
        <v>5</v>
      </c>
      <c r="D45" s="21" t="s">
        <v>1287</v>
      </c>
      <c r="E45" s="11"/>
    </row>
    <row r="46" customFormat="false" ht="26.85" hidden="false" customHeight="false" outlineLevel="0" collapsed="false">
      <c r="A46" s="26" t="s">
        <v>1187</v>
      </c>
      <c r="B46" s="27" t="s">
        <v>1288</v>
      </c>
      <c r="C46" s="26" t="n">
        <v>1</v>
      </c>
      <c r="D46" s="27" t="s">
        <v>1289</v>
      </c>
      <c r="E46" s="26" t="s">
        <v>1290</v>
      </c>
    </row>
    <row r="47" customFormat="false" ht="26.85" hidden="false" customHeight="false" outlineLevel="0" collapsed="false">
      <c r="A47" s="11" t="s">
        <v>1187</v>
      </c>
      <c r="B47" s="21" t="s">
        <v>1288</v>
      </c>
      <c r="C47" s="11" t="n">
        <v>2</v>
      </c>
      <c r="D47" s="21" t="s">
        <v>1291</v>
      </c>
      <c r="E47" s="11" t="s">
        <v>1292</v>
      </c>
    </row>
    <row r="48" customFormat="false" ht="15" hidden="false" customHeight="false" outlineLevel="0" collapsed="false">
      <c r="A48" s="11" t="s">
        <v>1187</v>
      </c>
      <c r="B48" s="21" t="s">
        <v>1288</v>
      </c>
      <c r="C48" s="11" t="n">
        <v>3</v>
      </c>
      <c r="D48" s="21" t="s">
        <v>1293</v>
      </c>
      <c r="E48" s="11" t="s">
        <v>1242</v>
      </c>
    </row>
    <row r="49" customFormat="false" ht="15" hidden="false" customHeight="false" outlineLevel="0" collapsed="false">
      <c r="A49" s="11" t="s">
        <v>1187</v>
      </c>
      <c r="B49" s="21" t="s">
        <v>1288</v>
      </c>
      <c r="C49" s="11" t="n">
        <v>4</v>
      </c>
      <c r="D49" s="21" t="s">
        <v>1294</v>
      </c>
      <c r="E49" s="11"/>
    </row>
    <row r="50" customFormat="false" ht="26.85" hidden="false" customHeight="false" outlineLevel="0" collapsed="false">
      <c r="A50" s="11" t="s">
        <v>1187</v>
      </c>
      <c r="B50" s="21" t="s">
        <v>1288</v>
      </c>
      <c r="C50" s="11" t="n">
        <v>5</v>
      </c>
      <c r="D50" s="21" t="s">
        <v>1295</v>
      </c>
      <c r="E50" s="11" t="s">
        <v>1296</v>
      </c>
    </row>
    <row r="51" customFormat="false" ht="15" hidden="false" customHeight="false" outlineLevel="0" collapsed="false">
      <c r="A51" s="11" t="s">
        <v>1187</v>
      </c>
      <c r="B51" s="21" t="s">
        <v>1288</v>
      </c>
      <c r="C51" s="11" t="n">
        <v>6</v>
      </c>
      <c r="D51" s="21" t="s">
        <v>1297</v>
      </c>
      <c r="E51" s="11"/>
    </row>
    <row r="52" customFormat="false" ht="15" hidden="false" customHeight="false" outlineLevel="0" collapsed="false">
      <c r="A52" s="11" t="s">
        <v>1187</v>
      </c>
      <c r="B52" s="21" t="s">
        <v>1288</v>
      </c>
      <c r="C52" s="11" t="n">
        <v>7</v>
      </c>
      <c r="D52" s="21" t="s">
        <v>1298</v>
      </c>
      <c r="E52" s="11"/>
    </row>
    <row r="53" customFormat="false" ht="15" hidden="false" customHeight="false" outlineLevel="0" collapsed="false">
      <c r="A53" s="26" t="s">
        <v>1198</v>
      </c>
      <c r="B53" s="27" t="s">
        <v>467</v>
      </c>
      <c r="C53" s="26" t="n">
        <v>1</v>
      </c>
      <c r="D53" s="27" t="s">
        <v>1299</v>
      </c>
      <c r="E53" s="26" t="s">
        <v>1300</v>
      </c>
    </row>
    <row r="54" customFormat="false" ht="15" hidden="false" customHeight="false" outlineLevel="0" collapsed="false">
      <c r="A54" s="11" t="s">
        <v>1198</v>
      </c>
      <c r="B54" s="21" t="s">
        <v>467</v>
      </c>
      <c r="C54" s="11" t="n">
        <v>2</v>
      </c>
      <c r="D54" s="21" t="s">
        <v>1301</v>
      </c>
      <c r="E54" s="11"/>
    </row>
    <row r="55" customFormat="false" ht="15" hidden="false" customHeight="false" outlineLevel="0" collapsed="false">
      <c r="A55" s="11" t="s">
        <v>1198</v>
      </c>
      <c r="B55" s="21" t="s">
        <v>467</v>
      </c>
      <c r="C55" s="11" t="n">
        <v>3</v>
      </c>
      <c r="D55" s="22" t="s">
        <v>1302</v>
      </c>
      <c r="E55" s="11"/>
    </row>
    <row r="56" customFormat="false" ht="15" hidden="false" customHeight="false" outlineLevel="0" collapsed="false">
      <c r="A56" s="11" t="s">
        <v>1198</v>
      </c>
      <c r="B56" s="21" t="s">
        <v>467</v>
      </c>
      <c r="C56" s="11" t="n">
        <v>4</v>
      </c>
      <c r="D56" s="21" t="s">
        <v>1303</v>
      </c>
      <c r="E56" s="11"/>
    </row>
    <row r="57" customFormat="false" ht="15" hidden="false" customHeight="false" outlineLevel="0" collapsed="false">
      <c r="A57" s="26" t="s">
        <v>1147</v>
      </c>
      <c r="B57" s="27" t="s">
        <v>1304</v>
      </c>
      <c r="C57" s="26" t="n">
        <v>1</v>
      </c>
      <c r="D57" s="27" t="s">
        <v>1305</v>
      </c>
      <c r="E57" s="26"/>
    </row>
    <row r="58" customFormat="false" ht="15" hidden="false" customHeight="false" outlineLevel="0" collapsed="false">
      <c r="A58" s="11" t="s">
        <v>1147</v>
      </c>
      <c r="B58" s="21" t="s">
        <v>1304</v>
      </c>
      <c r="C58" s="11" t="n">
        <v>2</v>
      </c>
      <c r="D58" s="21" t="s">
        <v>1306</v>
      </c>
      <c r="E58" s="11" t="s">
        <v>1307</v>
      </c>
    </row>
    <row r="59" customFormat="false" ht="15" hidden="false" customHeight="false" outlineLevel="0" collapsed="false">
      <c r="A59" s="11" t="s">
        <v>1147</v>
      </c>
      <c r="B59" s="21" t="s">
        <v>1304</v>
      </c>
      <c r="C59" s="11" t="n">
        <v>3</v>
      </c>
      <c r="D59" s="21" t="s">
        <v>1308</v>
      </c>
      <c r="E59" s="11"/>
    </row>
    <row r="60" customFormat="false" ht="15" hidden="false" customHeight="false" outlineLevel="0" collapsed="false">
      <c r="A60" s="11" t="s">
        <v>1147</v>
      </c>
      <c r="B60" s="21" t="s">
        <v>1304</v>
      </c>
      <c r="C60" s="11" t="n">
        <v>4</v>
      </c>
      <c r="D60" s="21" t="s">
        <v>1309</v>
      </c>
      <c r="E60" s="11"/>
    </row>
    <row r="61" customFormat="false" ht="15" hidden="false" customHeight="false" outlineLevel="0" collapsed="false">
      <c r="A61" s="26" t="s">
        <v>1135</v>
      </c>
      <c r="B61" s="27" t="s">
        <v>1310</v>
      </c>
      <c r="C61" s="26" t="n">
        <v>1</v>
      </c>
      <c r="D61" s="27" t="s">
        <v>1311</v>
      </c>
      <c r="E61" s="26" t="s">
        <v>1312</v>
      </c>
    </row>
    <row r="62" customFormat="false" ht="15" hidden="false" customHeight="false" outlineLevel="0" collapsed="false">
      <c r="A62" s="11" t="s">
        <v>1135</v>
      </c>
      <c r="B62" s="21" t="s">
        <v>1310</v>
      </c>
      <c r="C62" s="11" t="n">
        <v>2</v>
      </c>
      <c r="D62" s="21" t="s">
        <v>1313</v>
      </c>
      <c r="E62" s="11" t="s">
        <v>1242</v>
      </c>
    </row>
    <row r="63" customFormat="false" ht="15" hidden="false" customHeight="false" outlineLevel="0" collapsed="false">
      <c r="A63" s="11" t="s">
        <v>1135</v>
      </c>
      <c r="B63" s="21" t="s">
        <v>1310</v>
      </c>
      <c r="C63" s="11" t="n">
        <v>3</v>
      </c>
      <c r="D63" s="21" t="s">
        <v>1314</v>
      </c>
      <c r="E63" s="11" t="s">
        <v>1315</v>
      </c>
    </row>
    <row r="64" customFormat="false" ht="26.85" hidden="false" customHeight="false" outlineLevel="0" collapsed="false">
      <c r="A64" s="26" t="s">
        <v>1316</v>
      </c>
      <c r="B64" s="27" t="s">
        <v>1317</v>
      </c>
      <c r="C64" s="26" t="n">
        <v>1</v>
      </c>
      <c r="D64" s="27" t="s">
        <v>1318</v>
      </c>
      <c r="E64" s="26"/>
    </row>
    <row r="65" customFormat="false" ht="26.85" hidden="false" customHeight="false" outlineLevel="0" collapsed="false">
      <c r="A65" s="11" t="s">
        <v>1316</v>
      </c>
      <c r="B65" s="21" t="s">
        <v>1317</v>
      </c>
      <c r="C65" s="11" t="n">
        <v>2</v>
      </c>
      <c r="D65" s="21" t="s">
        <v>1319</v>
      </c>
      <c r="E65" s="11"/>
    </row>
    <row r="66" customFormat="false" ht="26.85" hidden="false" customHeight="false" outlineLevel="0" collapsed="false">
      <c r="A66" s="11" t="s">
        <v>1316</v>
      </c>
      <c r="B66" s="21" t="s">
        <v>1317</v>
      </c>
      <c r="C66" s="11" t="n">
        <v>3</v>
      </c>
      <c r="D66" s="22" t="s">
        <v>1320</v>
      </c>
      <c r="E66" s="11"/>
    </row>
    <row r="67" customFormat="false" ht="15" hidden="false" customHeight="false" outlineLevel="0" collapsed="false">
      <c r="A67" s="26" t="s">
        <v>1108</v>
      </c>
      <c r="B67" s="27" t="s">
        <v>1321</v>
      </c>
      <c r="C67" s="26" t="n">
        <v>1</v>
      </c>
      <c r="D67" s="28" t="s">
        <v>1322</v>
      </c>
      <c r="E67" s="26" t="s">
        <v>1230</v>
      </c>
    </row>
    <row r="68" customFormat="false" ht="15" hidden="false" customHeight="false" outlineLevel="0" collapsed="false">
      <c r="A68" s="11" t="s">
        <v>1108</v>
      </c>
      <c r="B68" s="21" t="s">
        <v>1321</v>
      </c>
      <c r="C68" s="11" t="n">
        <v>2</v>
      </c>
      <c r="D68" s="21" t="s">
        <v>1323</v>
      </c>
      <c r="E68" s="11" t="s">
        <v>1324</v>
      </c>
    </row>
    <row r="69" customFormat="false" ht="15" hidden="false" customHeight="false" outlineLevel="0" collapsed="false">
      <c r="A69" s="11" t="s">
        <v>1108</v>
      </c>
      <c r="B69" s="21" t="s">
        <v>1321</v>
      </c>
      <c r="C69" s="11" t="n">
        <v>3</v>
      </c>
      <c r="D69" s="22" t="s">
        <v>1325</v>
      </c>
      <c r="E69" s="11"/>
    </row>
    <row r="70" customFormat="false" ht="15" hidden="false" customHeight="false" outlineLevel="0" collapsed="false">
      <c r="A70" s="11" t="s">
        <v>1108</v>
      </c>
      <c r="B70" s="21" t="s">
        <v>1321</v>
      </c>
      <c r="C70" s="11" t="n">
        <v>4</v>
      </c>
      <c r="D70" s="22" t="s">
        <v>1326</v>
      </c>
      <c r="E70" s="11"/>
    </row>
    <row r="71" customFormat="false" ht="15" hidden="false" customHeight="false" outlineLevel="0" collapsed="false">
      <c r="A71" s="11" t="s">
        <v>1108</v>
      </c>
      <c r="B71" s="21" t="s">
        <v>1321</v>
      </c>
      <c r="C71" s="11" t="n">
        <v>5</v>
      </c>
      <c r="D71" s="21" t="s">
        <v>1327</v>
      </c>
      <c r="E71" s="11"/>
    </row>
    <row r="72" customFormat="false" ht="26.85" hidden="false" customHeight="false" outlineLevel="0" collapsed="false">
      <c r="A72" s="26" t="s">
        <v>1180</v>
      </c>
      <c r="B72" s="27" t="s">
        <v>1328</v>
      </c>
      <c r="C72" s="26" t="n">
        <v>1</v>
      </c>
      <c r="D72" s="27" t="s">
        <v>1329</v>
      </c>
      <c r="E72" s="26" t="s">
        <v>1230</v>
      </c>
    </row>
    <row r="73" customFormat="false" ht="15" hidden="false" customHeight="false" outlineLevel="0" collapsed="false">
      <c r="A73" s="11" t="s">
        <v>1180</v>
      </c>
      <c r="B73" s="21" t="s">
        <v>1328</v>
      </c>
      <c r="C73" s="11" t="n">
        <v>2</v>
      </c>
      <c r="D73" s="21" t="s">
        <v>1330</v>
      </c>
      <c r="E73" s="11" t="s">
        <v>1331</v>
      </c>
    </row>
    <row r="74" customFormat="false" ht="15" hidden="false" customHeight="false" outlineLevel="0" collapsed="false">
      <c r="A74" s="11" t="s">
        <v>1180</v>
      </c>
      <c r="B74" s="21" t="s">
        <v>1328</v>
      </c>
      <c r="C74" s="11" t="n">
        <v>3</v>
      </c>
      <c r="D74" s="21" t="s">
        <v>1332</v>
      </c>
      <c r="E74" s="11" t="s">
        <v>1279</v>
      </c>
    </row>
    <row r="75" customFormat="false" ht="15" hidden="false" customHeight="false" outlineLevel="0" collapsed="false">
      <c r="A75" s="26" t="s">
        <v>1211</v>
      </c>
      <c r="B75" s="27" t="s">
        <v>1210</v>
      </c>
      <c r="C75" s="26" t="n">
        <v>1</v>
      </c>
      <c r="D75" s="27" t="s">
        <v>1333</v>
      </c>
      <c r="E75" s="26" t="s">
        <v>1334</v>
      </c>
    </row>
    <row r="76" customFormat="false" ht="15" hidden="false" customHeight="false" outlineLevel="0" collapsed="false">
      <c r="A76" s="11" t="s">
        <v>1211</v>
      </c>
      <c r="B76" s="21" t="s">
        <v>1210</v>
      </c>
      <c r="C76" s="11" t="n">
        <v>2</v>
      </c>
      <c r="D76" s="21" t="s">
        <v>1335</v>
      </c>
      <c r="E76" s="11" t="s">
        <v>1336</v>
      </c>
    </row>
    <row r="77" customFormat="false" ht="26.85" hidden="false" customHeight="false" outlineLevel="0" collapsed="false">
      <c r="A77" s="26" t="s">
        <v>1129</v>
      </c>
      <c r="B77" s="27" t="s">
        <v>1337</v>
      </c>
      <c r="C77" s="26" t="n">
        <v>1</v>
      </c>
      <c r="D77" s="27" t="s">
        <v>1338</v>
      </c>
      <c r="E77" s="26" t="s">
        <v>1339</v>
      </c>
    </row>
    <row r="78" customFormat="false" ht="26.85" hidden="false" customHeight="false" outlineLevel="0" collapsed="false">
      <c r="A78" s="11" t="s">
        <v>1129</v>
      </c>
      <c r="B78" s="21" t="s">
        <v>1337</v>
      </c>
      <c r="C78" s="11" t="n">
        <v>2</v>
      </c>
      <c r="D78" s="21" t="s">
        <v>1340</v>
      </c>
      <c r="E78" s="11" t="s">
        <v>1341</v>
      </c>
    </row>
    <row r="79" customFormat="false" ht="26.85" hidden="false" customHeight="false" outlineLevel="0" collapsed="false">
      <c r="A79" s="11" t="s">
        <v>1129</v>
      </c>
      <c r="B79" s="21" t="s">
        <v>1337</v>
      </c>
      <c r="C79" s="11" t="n">
        <v>3</v>
      </c>
      <c r="D79" s="22" t="s">
        <v>1342</v>
      </c>
      <c r="E79" s="11"/>
    </row>
    <row r="80" customFormat="false" ht="15" hidden="false" customHeight="false" outlineLevel="0" collapsed="false">
      <c r="A80" s="26" t="s">
        <v>1113</v>
      </c>
      <c r="B80" s="27" t="s">
        <v>1343</v>
      </c>
      <c r="C80" s="26" t="n">
        <v>1</v>
      </c>
      <c r="D80" s="27" t="s">
        <v>1344</v>
      </c>
      <c r="E80" s="26" t="s">
        <v>1234</v>
      </c>
    </row>
    <row r="81" customFormat="false" ht="26.85" hidden="false" customHeight="false" outlineLevel="0" collapsed="false">
      <c r="A81" s="11" t="s">
        <v>1113</v>
      </c>
      <c r="B81" s="21" t="s">
        <v>1343</v>
      </c>
      <c r="C81" s="11" t="n">
        <v>2</v>
      </c>
      <c r="D81" s="21" t="s">
        <v>1345</v>
      </c>
      <c r="E81" s="11" t="s">
        <v>1242</v>
      </c>
    </row>
    <row r="82" customFormat="false" ht="25.35" hidden="false" customHeight="false" outlineLevel="0" collapsed="false">
      <c r="A82" s="11" t="s">
        <v>1113</v>
      </c>
      <c r="B82" s="21" t="s">
        <v>1343</v>
      </c>
      <c r="C82" s="11" t="n">
        <v>3</v>
      </c>
      <c r="D82" s="21" t="s">
        <v>1346</v>
      </c>
      <c r="E82" s="11"/>
    </row>
    <row r="83" customFormat="false" ht="26.85" hidden="false" customHeight="false" outlineLevel="0" collapsed="false">
      <c r="A83" s="26" t="s">
        <v>1142</v>
      </c>
      <c r="B83" s="27" t="s">
        <v>1141</v>
      </c>
      <c r="C83" s="26" t="n">
        <v>1</v>
      </c>
      <c r="D83" s="27" t="s">
        <v>1347</v>
      </c>
      <c r="E83" s="26" t="s">
        <v>1339</v>
      </c>
    </row>
    <row r="84" customFormat="false" ht="26.85" hidden="false" customHeight="false" outlineLevel="0" collapsed="false">
      <c r="A84" s="11" t="s">
        <v>1142</v>
      </c>
      <c r="B84" s="21" t="s">
        <v>1141</v>
      </c>
      <c r="C84" s="11" t="n">
        <v>2</v>
      </c>
      <c r="D84" s="21" t="s">
        <v>1348</v>
      </c>
      <c r="E84" s="11" t="s">
        <v>1349</v>
      </c>
    </row>
    <row r="85" customFormat="false" ht="15" hidden="false" customHeight="false" outlineLevel="0" collapsed="false">
      <c r="A85" s="11" t="s">
        <v>1142</v>
      </c>
      <c r="B85" s="21" t="s">
        <v>1141</v>
      </c>
      <c r="C85" s="11" t="n">
        <v>3</v>
      </c>
      <c r="D85" s="21" t="s">
        <v>1350</v>
      </c>
      <c r="E85" s="11"/>
    </row>
    <row r="86" customFormat="false" ht="15" hidden="false" customHeight="false" outlineLevel="0" collapsed="false">
      <c r="A86" s="26" t="s">
        <v>1202</v>
      </c>
      <c r="B86" s="27" t="s">
        <v>1351</v>
      </c>
      <c r="C86" s="26" t="n">
        <v>1</v>
      </c>
      <c r="D86" s="27" t="s">
        <v>1352</v>
      </c>
      <c r="E86" s="26" t="s">
        <v>1230</v>
      </c>
    </row>
    <row r="87" customFormat="false" ht="15" hidden="false" customHeight="false" outlineLevel="0" collapsed="false">
      <c r="A87" s="11" t="s">
        <v>1202</v>
      </c>
      <c r="B87" s="21" t="s">
        <v>1351</v>
      </c>
      <c r="C87" s="11" t="n">
        <v>2</v>
      </c>
      <c r="D87" s="21" t="s">
        <v>1353</v>
      </c>
      <c r="E87" s="11"/>
    </row>
    <row r="88" customFormat="false" ht="15" hidden="false" customHeight="false" outlineLevel="0" collapsed="false">
      <c r="A88" s="26" t="s">
        <v>1207</v>
      </c>
      <c r="B88" s="27" t="s">
        <v>1354</v>
      </c>
      <c r="C88" s="26" t="n">
        <v>1</v>
      </c>
      <c r="D88" s="27" t="s">
        <v>1355</v>
      </c>
      <c r="E88" s="26" t="s">
        <v>1230</v>
      </c>
    </row>
    <row r="89" customFormat="false" ht="15" hidden="false" customHeight="false" outlineLevel="0" collapsed="false">
      <c r="A89" s="11" t="s">
        <v>1207</v>
      </c>
      <c r="B89" s="21" t="s">
        <v>1354</v>
      </c>
      <c r="C89" s="11" t="n">
        <v>2</v>
      </c>
      <c r="D89" s="22" t="s">
        <v>1356</v>
      </c>
      <c r="E89" s="11" t="s">
        <v>1339</v>
      </c>
    </row>
    <row r="90" customFormat="false" ht="15" hidden="false" customHeight="false" outlineLevel="0" collapsed="false">
      <c r="A90" s="11" t="s">
        <v>1207</v>
      </c>
      <c r="B90" s="21" t="s">
        <v>1354</v>
      </c>
      <c r="C90" s="11" t="n">
        <v>3</v>
      </c>
      <c r="D90" s="21" t="s">
        <v>1357</v>
      </c>
      <c r="E90" s="11"/>
    </row>
    <row r="91" customFormat="false" ht="15" hidden="false" customHeight="false" outlineLevel="0" collapsed="false">
      <c r="A91" s="26" t="s">
        <v>1202</v>
      </c>
      <c r="B91" s="27" t="s">
        <v>1351</v>
      </c>
      <c r="C91" s="26" t="n">
        <v>3</v>
      </c>
      <c r="D91" s="27" t="s">
        <v>1358</v>
      </c>
      <c r="E91" s="26"/>
    </row>
  </sheetData>
  <autoFilter ref="A3:E91"/>
  <hyperlinks>
    <hyperlink ref="E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100"/>
    <col collapsed="false" customWidth="true" hidden="false" outlineLevel="0" max="4" min="4" style="0" width="18"/>
  </cols>
  <sheetData>
    <row r="1" customFormat="false" ht="15" hidden="false" customHeight="false" outlineLevel="0" collapsed="false">
      <c r="A1" s="5" t="s">
        <v>46</v>
      </c>
      <c r="D1" s="19" t="s">
        <v>78</v>
      </c>
    </row>
    <row r="3" customFormat="false" ht="15" hidden="false" customHeight="false" outlineLevel="0" collapsed="false">
      <c r="A3" s="10" t="s">
        <v>1359</v>
      </c>
      <c r="B3" s="10" t="s">
        <v>81</v>
      </c>
      <c r="C3" s="10" t="s">
        <v>1360</v>
      </c>
      <c r="D3" s="10" t="s">
        <v>309</v>
      </c>
    </row>
    <row r="4" customFormat="false" ht="15" hidden="false" customHeight="false" outlineLevel="0" collapsed="false">
      <c r="A4" s="11" t="s">
        <v>1361</v>
      </c>
      <c r="B4" s="20" t="s">
        <v>1362</v>
      </c>
      <c r="C4" s="21" t="s">
        <v>1363</v>
      </c>
      <c r="D4" s="22" t="s">
        <v>444</v>
      </c>
    </row>
    <row r="5" customFormat="false" ht="15" hidden="false" customHeight="false" outlineLevel="0" collapsed="false">
      <c r="A5" s="11" t="s">
        <v>1364</v>
      </c>
      <c r="B5" s="20" t="s">
        <v>1362</v>
      </c>
      <c r="C5" s="21" t="s">
        <v>1365</v>
      </c>
      <c r="D5" s="22" t="s">
        <v>1366</v>
      </c>
    </row>
    <row r="6" customFormat="false" ht="15" hidden="false" customHeight="false" outlineLevel="0" collapsed="false">
      <c r="A6" s="11" t="s">
        <v>1367</v>
      </c>
      <c r="B6" s="20" t="s">
        <v>1362</v>
      </c>
      <c r="C6" s="21" t="s">
        <v>1368</v>
      </c>
      <c r="D6" s="22" t="s">
        <v>1369</v>
      </c>
    </row>
    <row r="7" customFormat="false" ht="15" hidden="false" customHeight="false" outlineLevel="0" collapsed="false">
      <c r="A7" s="11" t="s">
        <v>637</v>
      </c>
      <c r="B7" s="20" t="s">
        <v>358</v>
      </c>
      <c r="C7" s="21" t="s">
        <v>1370</v>
      </c>
      <c r="D7" s="22" t="s">
        <v>444</v>
      </c>
    </row>
    <row r="8" customFormat="false" ht="15" hidden="false" customHeight="false" outlineLevel="0" collapsed="false">
      <c r="A8" s="11" t="s">
        <v>1371</v>
      </c>
      <c r="B8" s="20" t="s">
        <v>358</v>
      </c>
      <c r="C8" s="21" t="s">
        <v>1372</v>
      </c>
      <c r="D8" s="22" t="s">
        <v>444</v>
      </c>
    </row>
    <row r="9" customFormat="false" ht="15" hidden="false" customHeight="false" outlineLevel="0" collapsed="false">
      <c r="A9" s="11" t="s">
        <v>1373</v>
      </c>
      <c r="B9" s="20" t="s">
        <v>358</v>
      </c>
      <c r="C9" s="21" t="s">
        <v>1374</v>
      </c>
      <c r="D9" s="22" t="s">
        <v>1375</v>
      </c>
    </row>
    <row r="10" customFormat="false" ht="26.85" hidden="false" customHeight="false" outlineLevel="0" collapsed="false">
      <c r="A10" s="11" t="s">
        <v>1376</v>
      </c>
      <c r="B10" s="20" t="s">
        <v>358</v>
      </c>
      <c r="C10" s="21" t="s">
        <v>1377</v>
      </c>
      <c r="D10" s="22" t="s">
        <v>333</v>
      </c>
    </row>
    <row r="11" customFormat="false" ht="15" hidden="false" customHeight="false" outlineLevel="0" collapsed="false">
      <c r="A11" s="11" t="s">
        <v>766</v>
      </c>
      <c r="B11" s="20" t="s">
        <v>358</v>
      </c>
      <c r="C11" s="21" t="s">
        <v>1378</v>
      </c>
      <c r="D11" s="22" t="s">
        <v>412</v>
      </c>
    </row>
    <row r="12" customFormat="false" ht="15" hidden="false" customHeight="false" outlineLevel="0" collapsed="false">
      <c r="A12" s="11" t="s">
        <v>1379</v>
      </c>
      <c r="B12" s="20" t="s">
        <v>336</v>
      </c>
      <c r="C12" s="21" t="s">
        <v>1380</v>
      </c>
      <c r="D12" s="22" t="s">
        <v>1381</v>
      </c>
    </row>
    <row r="13" customFormat="false" ht="15" hidden="false" customHeight="false" outlineLevel="0" collapsed="false">
      <c r="A13" s="11" t="s">
        <v>655</v>
      </c>
      <c r="B13" s="20" t="s">
        <v>336</v>
      </c>
      <c r="C13" s="21" t="s">
        <v>1382</v>
      </c>
      <c r="D13" s="22" t="s">
        <v>386</v>
      </c>
    </row>
    <row r="14" customFormat="false" ht="26.85" hidden="false" customHeight="false" outlineLevel="0" collapsed="false">
      <c r="A14" s="11" t="s">
        <v>1383</v>
      </c>
      <c r="B14" s="20" t="s">
        <v>336</v>
      </c>
      <c r="C14" s="21" t="s">
        <v>1384</v>
      </c>
      <c r="D14" s="22" t="s">
        <v>340</v>
      </c>
    </row>
    <row r="15" customFormat="false" ht="15" hidden="false" customHeight="false" outlineLevel="0" collapsed="false">
      <c r="A15" s="11" t="s">
        <v>1385</v>
      </c>
      <c r="B15" s="20" t="s">
        <v>336</v>
      </c>
      <c r="C15" s="21" t="s">
        <v>1386</v>
      </c>
      <c r="D15" s="22" t="s">
        <v>355</v>
      </c>
    </row>
    <row r="16" customFormat="false" ht="15" hidden="false" customHeight="false" outlineLevel="0" collapsed="false">
      <c r="A16" s="11" t="s">
        <v>1387</v>
      </c>
      <c r="B16" s="20" t="s">
        <v>235</v>
      </c>
      <c r="C16" s="21" t="s">
        <v>1388</v>
      </c>
      <c r="D16" s="22" t="s">
        <v>466</v>
      </c>
    </row>
    <row r="17" customFormat="false" ht="15" hidden="false" customHeight="false" outlineLevel="0" collapsed="false">
      <c r="A17" s="11" t="s">
        <v>1389</v>
      </c>
      <c r="B17" s="20" t="s">
        <v>235</v>
      </c>
      <c r="C17" s="21" t="s">
        <v>1390</v>
      </c>
      <c r="D17" s="22" t="s">
        <v>1391</v>
      </c>
    </row>
    <row r="18" customFormat="false" ht="26.85" hidden="false" customHeight="false" outlineLevel="0" collapsed="false">
      <c r="A18" s="11" t="s">
        <v>1392</v>
      </c>
      <c r="B18" s="20" t="s">
        <v>1393</v>
      </c>
      <c r="C18" s="21" t="s">
        <v>1394</v>
      </c>
      <c r="D18" s="22" t="s">
        <v>322</v>
      </c>
    </row>
    <row r="19" customFormat="false" ht="26.85" hidden="false" customHeight="false" outlineLevel="0" collapsed="false">
      <c r="A19" s="11" t="s">
        <v>1395</v>
      </c>
      <c r="B19" s="20" t="s">
        <v>358</v>
      </c>
      <c r="C19" s="21" t="s">
        <v>1396</v>
      </c>
      <c r="D19" s="22" t="s">
        <v>420</v>
      </c>
    </row>
    <row r="20" customFormat="false" ht="15" hidden="false" customHeight="false" outlineLevel="0" collapsed="false">
      <c r="A20" s="11" t="s">
        <v>1397</v>
      </c>
      <c r="B20" s="20" t="s">
        <v>235</v>
      </c>
      <c r="C20" s="21" t="s">
        <v>1398</v>
      </c>
      <c r="D20" s="22" t="s">
        <v>1399</v>
      </c>
    </row>
    <row r="21" customFormat="false" ht="15" hidden="false" customHeight="false" outlineLevel="0" collapsed="false">
      <c r="A21" s="11" t="s">
        <v>1400</v>
      </c>
      <c r="B21" s="20" t="s">
        <v>358</v>
      </c>
      <c r="C21" s="21" t="s">
        <v>1401</v>
      </c>
      <c r="D21" s="22" t="s">
        <v>1402</v>
      </c>
    </row>
    <row r="22" customFormat="false" ht="26.85" hidden="false" customHeight="false" outlineLevel="0" collapsed="false">
      <c r="A22" s="11" t="s">
        <v>1403</v>
      </c>
      <c r="B22" s="20" t="s">
        <v>249</v>
      </c>
      <c r="C22" s="21" t="s">
        <v>1404</v>
      </c>
      <c r="D22" s="22" t="s">
        <v>1405</v>
      </c>
    </row>
    <row r="23" customFormat="false" ht="15" hidden="false" customHeight="false" outlineLevel="0" collapsed="false">
      <c r="A23" s="11" t="s">
        <v>1406</v>
      </c>
      <c r="B23" s="20" t="s">
        <v>1407</v>
      </c>
      <c r="C23" s="21" t="s">
        <v>1408</v>
      </c>
      <c r="D23" s="22" t="s">
        <v>437</v>
      </c>
    </row>
  </sheetData>
  <autoFilter ref="A3:D23"/>
  <hyperlinks>
    <hyperlink ref="D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0"/>
    <col collapsed="false" customWidth="true" hidden="false" outlineLevel="0" max="4" min="4" style="0" width="24"/>
    <col collapsed="false" customWidth="true" hidden="false" outlineLevel="0" max="5" min="5" style="0" width="50"/>
    <col collapsed="false" customWidth="true" hidden="false" outlineLevel="0" max="6" min="6" style="0" width="12"/>
  </cols>
  <sheetData>
    <row r="1" customFormat="false" ht="15" hidden="false" customHeight="false" outlineLevel="0" collapsed="false">
      <c r="A1" s="5" t="s">
        <v>47</v>
      </c>
      <c r="F1" s="19" t="s">
        <v>78</v>
      </c>
    </row>
    <row r="3" customFormat="false" ht="15" hidden="false" customHeight="false" outlineLevel="0" collapsed="false">
      <c r="A3" s="10" t="s">
        <v>1409</v>
      </c>
      <c r="B3" s="10" t="s">
        <v>1410</v>
      </c>
      <c r="C3" s="10" t="s">
        <v>1411</v>
      </c>
      <c r="D3" s="10" t="s">
        <v>1412</v>
      </c>
      <c r="E3" s="10" t="s">
        <v>1413</v>
      </c>
      <c r="F3" s="10" t="s">
        <v>1414</v>
      </c>
    </row>
    <row r="4" customFormat="false" ht="15" hidden="false" customHeight="false" outlineLevel="0" collapsed="false">
      <c r="A4" s="20" t="s">
        <v>416</v>
      </c>
      <c r="B4" s="21" t="s">
        <v>1415</v>
      </c>
      <c r="C4" s="21" t="s">
        <v>1235</v>
      </c>
      <c r="D4" s="22" t="s">
        <v>1416</v>
      </c>
      <c r="E4" s="22" t="s">
        <v>1417</v>
      </c>
      <c r="F4" s="11" t="s">
        <v>1418</v>
      </c>
    </row>
    <row r="5" customFormat="false" ht="15" hidden="false" customHeight="false" outlineLevel="0" collapsed="false">
      <c r="A5" s="20" t="s">
        <v>416</v>
      </c>
      <c r="B5" s="22" t="s">
        <v>1416</v>
      </c>
      <c r="C5" s="21" t="s">
        <v>1419</v>
      </c>
      <c r="D5" s="22" t="s">
        <v>1416</v>
      </c>
      <c r="E5" s="22" t="s">
        <v>1420</v>
      </c>
      <c r="F5" s="11" t="s">
        <v>1418</v>
      </c>
    </row>
    <row r="6" customFormat="false" ht="15" hidden="false" customHeight="false" outlineLevel="0" collapsed="false">
      <c r="A6" s="20" t="s">
        <v>416</v>
      </c>
      <c r="B6" s="22" t="s">
        <v>1421</v>
      </c>
      <c r="C6" s="21" t="s">
        <v>1419</v>
      </c>
      <c r="D6" s="21" t="s">
        <v>1422</v>
      </c>
      <c r="E6" s="22" t="s">
        <v>1423</v>
      </c>
      <c r="F6" s="11" t="s">
        <v>1418</v>
      </c>
    </row>
    <row r="7" customFormat="false" ht="15" hidden="false" customHeight="false" outlineLevel="0" collapsed="false">
      <c r="A7" s="20" t="s">
        <v>416</v>
      </c>
      <c r="B7" s="22" t="s">
        <v>1424</v>
      </c>
      <c r="C7" s="21" t="s">
        <v>1425</v>
      </c>
      <c r="D7" s="22" t="s">
        <v>1416</v>
      </c>
      <c r="E7" s="22" t="s">
        <v>1426</v>
      </c>
      <c r="F7" s="11" t="s">
        <v>1418</v>
      </c>
    </row>
    <row r="8" customFormat="false" ht="15" hidden="false" customHeight="false" outlineLevel="0" collapsed="false">
      <c r="A8" s="20" t="s">
        <v>416</v>
      </c>
      <c r="B8" s="22" t="s">
        <v>1416</v>
      </c>
      <c r="C8" s="21" t="s">
        <v>1427</v>
      </c>
      <c r="D8" s="22" t="s">
        <v>1428</v>
      </c>
      <c r="E8" s="22" t="s">
        <v>1429</v>
      </c>
      <c r="F8" s="11" t="s">
        <v>1112</v>
      </c>
    </row>
    <row r="9" customFormat="false" ht="15" hidden="false" customHeight="false" outlineLevel="0" collapsed="false">
      <c r="A9" s="20" t="s">
        <v>416</v>
      </c>
      <c r="B9" s="22" t="s">
        <v>1416</v>
      </c>
      <c r="C9" s="21" t="s">
        <v>1430</v>
      </c>
      <c r="D9" s="22" t="s">
        <v>1431</v>
      </c>
      <c r="E9" s="22" t="s">
        <v>1432</v>
      </c>
      <c r="F9" s="11" t="s">
        <v>1112</v>
      </c>
    </row>
    <row r="10" customFormat="false" ht="15" hidden="false" customHeight="false" outlineLevel="0" collapsed="false">
      <c r="A10" s="20" t="s">
        <v>416</v>
      </c>
      <c r="B10" s="22" t="s">
        <v>1416</v>
      </c>
      <c r="C10" s="21" t="s">
        <v>1433</v>
      </c>
      <c r="D10" s="22" t="s">
        <v>1434</v>
      </c>
      <c r="E10" s="22" t="s">
        <v>1435</v>
      </c>
      <c r="F10" s="11" t="s">
        <v>1112</v>
      </c>
    </row>
    <row r="11" customFormat="false" ht="26.85" hidden="false" customHeight="false" outlineLevel="0" collapsed="false">
      <c r="A11" s="20" t="s">
        <v>416</v>
      </c>
      <c r="B11" s="22" t="s">
        <v>1436</v>
      </c>
      <c r="C11" s="21" t="s">
        <v>153</v>
      </c>
      <c r="D11" s="22" t="s">
        <v>1434</v>
      </c>
      <c r="E11" s="22" t="s">
        <v>1437</v>
      </c>
      <c r="F11" s="20" t="s">
        <v>1438</v>
      </c>
    </row>
    <row r="12" customFormat="false" ht="15" hidden="false" customHeight="false" outlineLevel="0" collapsed="false">
      <c r="A12" s="20" t="s">
        <v>416</v>
      </c>
      <c r="B12" s="22" t="s">
        <v>1428</v>
      </c>
      <c r="C12" s="21" t="s">
        <v>1439</v>
      </c>
      <c r="D12" s="22" t="s">
        <v>1434</v>
      </c>
      <c r="E12" s="22" t="s">
        <v>1440</v>
      </c>
      <c r="F12" s="11" t="s">
        <v>1112</v>
      </c>
    </row>
    <row r="13" customFormat="false" ht="15" hidden="false" customHeight="false" outlineLevel="0" collapsed="false">
      <c r="A13" s="20" t="s">
        <v>416</v>
      </c>
      <c r="B13" s="22" t="s">
        <v>1434</v>
      </c>
      <c r="C13" s="21" t="s">
        <v>1441</v>
      </c>
      <c r="D13" s="22" t="s">
        <v>1428</v>
      </c>
      <c r="E13" s="22" t="s">
        <v>1442</v>
      </c>
      <c r="F13" s="11" t="s">
        <v>1112</v>
      </c>
    </row>
    <row r="14" customFormat="false" ht="15" hidden="false" customHeight="false" outlineLevel="0" collapsed="false">
      <c r="A14" s="20" t="s">
        <v>416</v>
      </c>
      <c r="B14" s="22" t="s">
        <v>1434</v>
      </c>
      <c r="C14" s="21" t="s">
        <v>1443</v>
      </c>
      <c r="D14" s="22" t="s">
        <v>1416</v>
      </c>
      <c r="E14" s="22" t="s">
        <v>1444</v>
      </c>
      <c r="F14" s="11" t="s">
        <v>1112</v>
      </c>
    </row>
    <row r="15" customFormat="false" ht="15" hidden="false" customHeight="false" outlineLevel="0" collapsed="false">
      <c r="A15" s="20" t="s">
        <v>416</v>
      </c>
      <c r="B15" s="22" t="s">
        <v>1434</v>
      </c>
      <c r="C15" s="21" t="s">
        <v>1445</v>
      </c>
      <c r="D15" s="22" t="s">
        <v>1431</v>
      </c>
      <c r="E15" s="22" t="s">
        <v>1446</v>
      </c>
      <c r="F15" s="11" t="s">
        <v>1112</v>
      </c>
    </row>
    <row r="16" customFormat="false" ht="39.55" hidden="false" customHeight="false" outlineLevel="0" collapsed="false">
      <c r="A16" s="20" t="s">
        <v>416</v>
      </c>
      <c r="B16" s="22" t="s">
        <v>1447</v>
      </c>
      <c r="C16" s="21" t="s">
        <v>1448</v>
      </c>
      <c r="D16" s="22" t="s">
        <v>1449</v>
      </c>
      <c r="E16" s="22" t="s">
        <v>1450</v>
      </c>
      <c r="F16" s="11" t="s">
        <v>1112</v>
      </c>
    </row>
    <row r="17" customFormat="false" ht="15" hidden="false" customHeight="false" outlineLevel="0" collapsed="false">
      <c r="A17" s="20" t="s">
        <v>416</v>
      </c>
      <c r="B17" s="22" t="s">
        <v>1421</v>
      </c>
      <c r="C17" s="21" t="s">
        <v>1451</v>
      </c>
      <c r="D17" s="22" t="s">
        <v>1452</v>
      </c>
      <c r="E17" s="22" t="s">
        <v>1453</v>
      </c>
      <c r="F17" s="20" t="s">
        <v>1438</v>
      </c>
    </row>
    <row r="18" customFormat="false" ht="26.85" hidden="false" customHeight="false" outlineLevel="0" collapsed="false">
      <c r="A18" s="20" t="s">
        <v>416</v>
      </c>
      <c r="B18" s="22" t="s">
        <v>1416</v>
      </c>
      <c r="C18" s="21" t="s">
        <v>1321</v>
      </c>
      <c r="D18" s="22" t="s">
        <v>1424</v>
      </c>
      <c r="E18" s="22" t="s">
        <v>1454</v>
      </c>
      <c r="F18" s="11" t="s">
        <v>1056</v>
      </c>
    </row>
    <row r="19" customFormat="false" ht="26.85" hidden="false" customHeight="false" outlineLevel="0" collapsed="false">
      <c r="A19" s="20" t="s">
        <v>416</v>
      </c>
      <c r="B19" s="22" t="s">
        <v>1455</v>
      </c>
      <c r="C19" s="21" t="s">
        <v>1456</v>
      </c>
      <c r="D19" s="21" t="s">
        <v>1422</v>
      </c>
      <c r="E19" s="21" t="s">
        <v>1457</v>
      </c>
      <c r="F19" s="11" t="s">
        <v>1418</v>
      </c>
    </row>
    <row r="20" customFormat="false" ht="15" hidden="false" customHeight="false" outlineLevel="0" collapsed="false">
      <c r="A20" s="20" t="s">
        <v>313</v>
      </c>
      <c r="B20" s="22" t="s">
        <v>1458</v>
      </c>
      <c r="C20" s="21" t="s">
        <v>1459</v>
      </c>
      <c r="D20" s="22" t="s">
        <v>1460</v>
      </c>
      <c r="E20" s="22"/>
      <c r="F20" s="11" t="s">
        <v>1056</v>
      </c>
    </row>
    <row r="21" customFormat="false" ht="15" hidden="false" customHeight="false" outlineLevel="0" collapsed="false">
      <c r="A21" s="20" t="s">
        <v>313</v>
      </c>
      <c r="B21" s="22" t="s">
        <v>1460</v>
      </c>
      <c r="C21" s="21" t="s">
        <v>1461</v>
      </c>
      <c r="D21" s="22" t="s">
        <v>1462</v>
      </c>
      <c r="E21" s="21" t="s">
        <v>1463</v>
      </c>
      <c r="F21" s="11" t="s">
        <v>1418</v>
      </c>
    </row>
    <row r="22" customFormat="false" ht="26.85" hidden="false" customHeight="false" outlineLevel="0" collapsed="false">
      <c r="A22" s="20" t="s">
        <v>313</v>
      </c>
      <c r="B22" s="22" t="s">
        <v>1464</v>
      </c>
      <c r="C22" s="21" t="s">
        <v>1465</v>
      </c>
      <c r="D22" s="22" t="s">
        <v>1466</v>
      </c>
      <c r="E22" s="21" t="s">
        <v>1467</v>
      </c>
      <c r="F22" s="11" t="s">
        <v>1418</v>
      </c>
    </row>
    <row r="23" customFormat="false" ht="26.85" hidden="false" customHeight="false" outlineLevel="0" collapsed="false">
      <c r="A23" s="20" t="s">
        <v>313</v>
      </c>
      <c r="B23" s="22" t="s">
        <v>1468</v>
      </c>
      <c r="C23" s="21" t="s">
        <v>1321</v>
      </c>
      <c r="D23" s="22" t="s">
        <v>1464</v>
      </c>
      <c r="E23" s="22" t="s">
        <v>1469</v>
      </c>
      <c r="F23" s="11" t="s">
        <v>1056</v>
      </c>
    </row>
    <row r="24" customFormat="false" ht="15" hidden="false" customHeight="false" outlineLevel="0" collapsed="false">
      <c r="A24" s="20" t="s">
        <v>313</v>
      </c>
      <c r="B24" s="22" t="s">
        <v>1462</v>
      </c>
      <c r="C24" s="21" t="s">
        <v>1470</v>
      </c>
      <c r="D24" s="22" t="s">
        <v>1471</v>
      </c>
      <c r="E24" s="22" t="s">
        <v>1472</v>
      </c>
      <c r="F24" s="11" t="s">
        <v>1473</v>
      </c>
    </row>
    <row r="25" customFormat="false" ht="15" hidden="false" customHeight="false" outlineLevel="0" collapsed="false">
      <c r="A25" s="20" t="s">
        <v>313</v>
      </c>
      <c r="B25" s="22" t="s">
        <v>1471</v>
      </c>
      <c r="C25" s="21" t="s">
        <v>1321</v>
      </c>
      <c r="D25" s="22" t="s">
        <v>1471</v>
      </c>
      <c r="E25" s="22" t="s">
        <v>1474</v>
      </c>
      <c r="F25" s="11" t="s">
        <v>1056</v>
      </c>
    </row>
    <row r="26" customFormat="false" ht="15" hidden="false" customHeight="false" outlineLevel="0" collapsed="false">
      <c r="A26" s="20" t="s">
        <v>313</v>
      </c>
      <c r="B26" s="22" t="s">
        <v>1475</v>
      </c>
      <c r="C26" s="21" t="s">
        <v>1476</v>
      </c>
      <c r="D26" s="22" t="s">
        <v>1477</v>
      </c>
      <c r="E26" s="21" t="s">
        <v>1478</v>
      </c>
      <c r="F26" s="11" t="s">
        <v>1473</v>
      </c>
    </row>
    <row r="27" customFormat="false" ht="26.85" hidden="false" customHeight="false" outlineLevel="0" collapsed="false">
      <c r="A27" s="20" t="s">
        <v>337</v>
      </c>
      <c r="B27" s="21" t="s">
        <v>1415</v>
      </c>
      <c r="C27" s="21" t="s">
        <v>1479</v>
      </c>
      <c r="D27" s="22" t="s">
        <v>1480</v>
      </c>
      <c r="E27" s="22" t="s">
        <v>1481</v>
      </c>
      <c r="F27" s="11" t="s">
        <v>1482</v>
      </c>
    </row>
    <row r="28" customFormat="false" ht="26.85" hidden="false" customHeight="false" outlineLevel="0" collapsed="false">
      <c r="A28" s="20" t="s">
        <v>337</v>
      </c>
      <c r="B28" s="22" t="s">
        <v>1483</v>
      </c>
      <c r="C28" s="21" t="s">
        <v>1484</v>
      </c>
      <c r="D28" s="22" t="s">
        <v>1480</v>
      </c>
      <c r="E28" s="22" t="s">
        <v>1485</v>
      </c>
      <c r="F28" s="11" t="s">
        <v>1482</v>
      </c>
    </row>
    <row r="29" customFormat="false" ht="26.85" hidden="false" customHeight="false" outlineLevel="0" collapsed="false">
      <c r="A29" s="20" t="s">
        <v>337</v>
      </c>
      <c r="B29" s="22" t="s">
        <v>1480</v>
      </c>
      <c r="C29" s="21" t="s">
        <v>1486</v>
      </c>
      <c r="D29" s="22" t="s">
        <v>1483</v>
      </c>
      <c r="E29" s="22" t="s">
        <v>1487</v>
      </c>
      <c r="F29" s="11" t="s">
        <v>1056</v>
      </c>
    </row>
    <row r="30" customFormat="false" ht="15" hidden="false" customHeight="false" outlineLevel="0" collapsed="false">
      <c r="A30" s="20" t="s">
        <v>337</v>
      </c>
      <c r="B30" s="22" t="s">
        <v>1480</v>
      </c>
      <c r="C30" s="21" t="s">
        <v>1476</v>
      </c>
      <c r="D30" s="22" t="s">
        <v>1477</v>
      </c>
      <c r="E30" s="22"/>
      <c r="F30" s="11" t="s">
        <v>1482</v>
      </c>
    </row>
    <row r="31" customFormat="false" ht="15" hidden="false" customHeight="false" outlineLevel="0" collapsed="false">
      <c r="A31" s="20" t="s">
        <v>337</v>
      </c>
      <c r="B31" s="22" t="s">
        <v>1488</v>
      </c>
      <c r="C31" s="21" t="s">
        <v>1489</v>
      </c>
      <c r="D31" s="22" t="s">
        <v>1490</v>
      </c>
      <c r="E31" s="22"/>
      <c r="F31" s="11" t="s">
        <v>1418</v>
      </c>
    </row>
    <row r="32" customFormat="false" ht="15" hidden="false" customHeight="false" outlineLevel="0" collapsed="false">
      <c r="A32" s="20" t="s">
        <v>337</v>
      </c>
      <c r="B32" s="22" t="s">
        <v>1483</v>
      </c>
      <c r="C32" s="21" t="s">
        <v>1491</v>
      </c>
      <c r="D32" s="22" t="s">
        <v>1492</v>
      </c>
      <c r="E32" s="22"/>
      <c r="F32" s="11" t="s">
        <v>1418</v>
      </c>
    </row>
    <row r="33" customFormat="false" ht="26.85" hidden="false" customHeight="false" outlineLevel="0" collapsed="false">
      <c r="A33" s="20" t="s">
        <v>337</v>
      </c>
      <c r="B33" s="22" t="s">
        <v>1493</v>
      </c>
      <c r="C33" s="21" t="s">
        <v>1281</v>
      </c>
      <c r="D33" s="22" t="s">
        <v>1483</v>
      </c>
      <c r="E33" s="22" t="s">
        <v>1494</v>
      </c>
      <c r="F33" s="11" t="s">
        <v>1056</v>
      </c>
    </row>
    <row r="34" customFormat="false" ht="15" hidden="false" customHeight="false" outlineLevel="0" collapsed="false">
      <c r="A34" s="20" t="s">
        <v>337</v>
      </c>
      <c r="B34" s="22" t="s">
        <v>1471</v>
      </c>
      <c r="C34" s="21" t="s">
        <v>1281</v>
      </c>
      <c r="D34" s="22" t="s">
        <v>1471</v>
      </c>
      <c r="E34" s="22" t="s">
        <v>1495</v>
      </c>
      <c r="F34" s="11" t="s">
        <v>1056</v>
      </c>
    </row>
    <row r="35" customFormat="false" ht="15" hidden="false" customHeight="false" outlineLevel="0" collapsed="false">
      <c r="A35" s="20" t="s">
        <v>337</v>
      </c>
      <c r="B35" s="22" t="s">
        <v>1490</v>
      </c>
      <c r="C35" s="21" t="s">
        <v>1470</v>
      </c>
      <c r="D35" s="22" t="s">
        <v>1471</v>
      </c>
      <c r="E35" s="22" t="s">
        <v>1496</v>
      </c>
      <c r="F35" s="11" t="s">
        <v>1482</v>
      </c>
    </row>
    <row r="36" customFormat="false" ht="15" hidden="false" customHeight="false" outlineLevel="0" collapsed="false">
      <c r="A36" s="20" t="s">
        <v>337</v>
      </c>
      <c r="B36" s="22" t="s">
        <v>1488</v>
      </c>
      <c r="C36" s="21" t="s">
        <v>1476</v>
      </c>
      <c r="D36" s="22" t="s">
        <v>1477</v>
      </c>
      <c r="E36" s="21" t="s">
        <v>1497</v>
      </c>
      <c r="F36" s="11" t="s">
        <v>1482</v>
      </c>
    </row>
    <row r="37" customFormat="false" ht="15" hidden="false" customHeight="false" outlineLevel="0" collapsed="false">
      <c r="A37" s="20" t="s">
        <v>1498</v>
      </c>
      <c r="B37" s="22" t="s">
        <v>1499</v>
      </c>
      <c r="C37" s="21" t="s">
        <v>1169</v>
      </c>
      <c r="D37" s="22" t="s">
        <v>1500</v>
      </c>
      <c r="E37" s="22" t="s">
        <v>1501</v>
      </c>
      <c r="F37" s="11" t="s">
        <v>1418</v>
      </c>
    </row>
    <row r="38" customFormat="false" ht="15" hidden="false" customHeight="false" outlineLevel="0" collapsed="false">
      <c r="A38" s="20" t="s">
        <v>1498</v>
      </c>
      <c r="B38" s="22" t="s">
        <v>1499</v>
      </c>
      <c r="C38" s="21" t="s">
        <v>1502</v>
      </c>
      <c r="D38" s="22" t="s">
        <v>1477</v>
      </c>
      <c r="E38" s="22" t="s">
        <v>1503</v>
      </c>
      <c r="F38" s="11" t="s">
        <v>1418</v>
      </c>
    </row>
    <row r="39" customFormat="false" ht="15" hidden="false" customHeight="false" outlineLevel="0" collapsed="false">
      <c r="A39" s="20" t="s">
        <v>1498</v>
      </c>
      <c r="B39" s="22" t="s">
        <v>1500</v>
      </c>
      <c r="C39" s="21" t="s">
        <v>1281</v>
      </c>
      <c r="D39" s="22" t="s">
        <v>1477</v>
      </c>
      <c r="E39" s="22" t="s">
        <v>1504</v>
      </c>
      <c r="F39" s="11" t="s">
        <v>1056</v>
      </c>
    </row>
    <row r="40" customFormat="false" ht="15" hidden="false" customHeight="false" outlineLevel="0" collapsed="false">
      <c r="A40" s="20" t="s">
        <v>1505</v>
      </c>
      <c r="B40" s="21" t="s">
        <v>1415</v>
      </c>
      <c r="C40" s="21" t="s">
        <v>1506</v>
      </c>
      <c r="D40" s="22" t="s">
        <v>1507</v>
      </c>
      <c r="E40" s="22" t="s">
        <v>1198</v>
      </c>
      <c r="F40" s="11" t="s">
        <v>1112</v>
      </c>
    </row>
    <row r="41" customFormat="false" ht="15" hidden="false" customHeight="false" outlineLevel="0" collapsed="false">
      <c r="A41" s="20" t="s">
        <v>1505</v>
      </c>
      <c r="B41" s="22" t="s">
        <v>1508</v>
      </c>
      <c r="C41" s="21" t="s">
        <v>1509</v>
      </c>
      <c r="D41" s="22" t="s">
        <v>1510</v>
      </c>
      <c r="E41" s="22" t="s">
        <v>1511</v>
      </c>
      <c r="F41" s="11" t="s">
        <v>1112</v>
      </c>
    </row>
    <row r="42" customFormat="false" ht="15" hidden="false" customHeight="false" outlineLevel="0" collapsed="false">
      <c r="A42" s="20" t="s">
        <v>942</v>
      </c>
      <c r="B42" s="21" t="s">
        <v>1415</v>
      </c>
      <c r="C42" s="21" t="s">
        <v>1512</v>
      </c>
      <c r="D42" s="22" t="s">
        <v>1513</v>
      </c>
      <c r="E42" s="22" t="s">
        <v>1514</v>
      </c>
      <c r="F42" s="11" t="s">
        <v>1112</v>
      </c>
    </row>
    <row r="43" customFormat="false" ht="15" hidden="false" customHeight="false" outlineLevel="0" collapsed="false">
      <c r="A43" s="20" t="s">
        <v>942</v>
      </c>
      <c r="B43" s="22" t="s">
        <v>1513</v>
      </c>
      <c r="C43" s="21" t="s">
        <v>1515</v>
      </c>
      <c r="D43" s="22" t="s">
        <v>1516</v>
      </c>
      <c r="E43" s="22" t="s">
        <v>1203</v>
      </c>
      <c r="F43" s="11" t="s">
        <v>1482</v>
      </c>
    </row>
    <row r="44" customFormat="false" ht="26.85" hidden="false" customHeight="false" outlineLevel="0" collapsed="false">
      <c r="A44" s="20" t="s">
        <v>942</v>
      </c>
      <c r="B44" s="22" t="s">
        <v>1517</v>
      </c>
      <c r="C44" s="21" t="s">
        <v>1210</v>
      </c>
      <c r="D44" s="22" t="s">
        <v>1518</v>
      </c>
      <c r="E44" s="22" t="s">
        <v>1519</v>
      </c>
      <c r="F44" s="20" t="s">
        <v>1438</v>
      </c>
    </row>
    <row r="45" customFormat="false" ht="26.85" hidden="false" customHeight="false" outlineLevel="0" collapsed="false">
      <c r="A45" s="20" t="s">
        <v>942</v>
      </c>
      <c r="B45" s="22" t="s">
        <v>1517</v>
      </c>
      <c r="C45" s="21" t="s">
        <v>1520</v>
      </c>
      <c r="D45" s="22" t="s">
        <v>1521</v>
      </c>
      <c r="E45" s="22" t="s">
        <v>1522</v>
      </c>
      <c r="F45" s="11" t="s">
        <v>1112</v>
      </c>
    </row>
    <row r="46" customFormat="false" ht="15" hidden="false" customHeight="false" outlineLevel="0" collapsed="false">
      <c r="A46" s="20" t="s">
        <v>1505</v>
      </c>
      <c r="B46" s="22" t="s">
        <v>1510</v>
      </c>
      <c r="C46" s="21" t="s">
        <v>1523</v>
      </c>
      <c r="D46" s="22" t="s">
        <v>1524</v>
      </c>
      <c r="E46" s="22" t="s">
        <v>1525</v>
      </c>
      <c r="F46" s="11" t="s">
        <v>1112</v>
      </c>
    </row>
  </sheetData>
  <autoFilter ref="A3:F46"/>
  <hyperlinks>
    <hyperlink ref="F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4"/>
    <col collapsed="false" customWidth="true" hidden="false" outlineLevel="0" max="4" min="4" style="0" width="46"/>
    <col collapsed="false" customWidth="true" hidden="false" outlineLevel="0" max="5" min="5" style="0" width="9"/>
    <col collapsed="false" customWidth="true" hidden="false" outlineLevel="0" max="6" min="6" style="0" width="50"/>
  </cols>
  <sheetData>
    <row r="1" customFormat="false" ht="15" hidden="false" customHeight="false" outlineLevel="0" collapsed="false">
      <c r="A1" s="5" t="s">
        <v>49</v>
      </c>
      <c r="F1" s="19" t="s">
        <v>78</v>
      </c>
    </row>
    <row r="2" customFormat="false" ht="15" hidden="false" customHeight="false" outlineLevel="0" collapsed="false">
      <c r="A2" s="23" t="s">
        <v>1526</v>
      </c>
    </row>
    <row r="3" customFormat="false" ht="15" hidden="false" customHeight="false" outlineLevel="0" collapsed="false">
      <c r="A3" s="10" t="s">
        <v>1527</v>
      </c>
      <c r="B3" s="10" t="s">
        <v>1528</v>
      </c>
      <c r="C3" s="10" t="s">
        <v>81</v>
      </c>
      <c r="D3" s="10" t="s">
        <v>373</v>
      </c>
      <c r="E3" s="10" t="s">
        <v>1529</v>
      </c>
      <c r="F3" s="10" t="s">
        <v>1530</v>
      </c>
    </row>
    <row r="4" customFormat="false" ht="15" hidden="false" customHeight="false" outlineLevel="0" collapsed="false">
      <c r="A4" s="29" t="s">
        <v>1531</v>
      </c>
      <c r="B4" s="21" t="s">
        <v>711</v>
      </c>
      <c r="C4" s="20" t="s">
        <v>377</v>
      </c>
      <c r="D4" s="21" t="s">
        <v>1532</v>
      </c>
      <c r="E4" s="11" t="n">
        <f aca="false">COUNTIF(項目定義!A:A,A4)-1</f>
        <v>15</v>
      </c>
      <c r="F4" s="22" t="s">
        <v>351</v>
      </c>
    </row>
    <row r="5" customFormat="false" ht="15" hidden="false" customHeight="false" outlineLevel="0" collapsed="false">
      <c r="A5" s="29" t="s">
        <v>1533</v>
      </c>
      <c r="B5" s="21" t="s">
        <v>723</v>
      </c>
      <c r="C5" s="20" t="s">
        <v>377</v>
      </c>
      <c r="D5" s="21" t="s">
        <v>1534</v>
      </c>
      <c r="E5" s="11" t="n">
        <f aca="false">COUNTIF(項目定義!A:A,A5)-1</f>
        <v>22</v>
      </c>
      <c r="F5" s="22" t="s">
        <v>1531</v>
      </c>
    </row>
    <row r="6" customFormat="false" ht="15" hidden="false" customHeight="false" outlineLevel="0" collapsed="false">
      <c r="A6" s="29" t="s">
        <v>1535</v>
      </c>
      <c r="B6" s="21" t="s">
        <v>866</v>
      </c>
      <c r="C6" s="20" t="s">
        <v>377</v>
      </c>
      <c r="D6" s="21" t="s">
        <v>1536</v>
      </c>
      <c r="E6" s="11" t="n">
        <f aca="false">COUNTIF(項目定義!A:A,A6)-1</f>
        <v>18</v>
      </c>
      <c r="F6" s="22" t="s">
        <v>351</v>
      </c>
    </row>
    <row r="7" customFormat="false" ht="15" hidden="false" customHeight="false" outlineLevel="0" collapsed="false">
      <c r="A7" s="29" t="s">
        <v>665</v>
      </c>
      <c r="B7" s="21" t="s">
        <v>869</v>
      </c>
      <c r="C7" s="20" t="s">
        <v>377</v>
      </c>
      <c r="D7" s="21" t="s">
        <v>1537</v>
      </c>
      <c r="E7" s="11" t="n">
        <f aca="false">COUNTIF(項目定義!A:A,A7)-1</f>
        <v>15</v>
      </c>
      <c r="F7" s="22" t="s">
        <v>1535</v>
      </c>
    </row>
    <row r="8" customFormat="false" ht="15" hidden="false" customHeight="false" outlineLevel="0" collapsed="false">
      <c r="A8" s="29" t="s">
        <v>1538</v>
      </c>
      <c r="B8" s="21" t="s">
        <v>831</v>
      </c>
      <c r="C8" s="20" t="s">
        <v>377</v>
      </c>
      <c r="D8" s="21" t="s">
        <v>1539</v>
      </c>
      <c r="E8" s="11" t="n">
        <f aca="false">COUNTIF(項目定義!A:A,A8)-1</f>
        <v>13</v>
      </c>
      <c r="F8" s="22" t="s">
        <v>351</v>
      </c>
    </row>
    <row r="9" customFormat="false" ht="15" hidden="false" customHeight="false" outlineLevel="0" collapsed="false">
      <c r="A9" s="29" t="s">
        <v>1540</v>
      </c>
      <c r="B9" s="21" t="s">
        <v>524</v>
      </c>
      <c r="C9" s="20" t="s">
        <v>377</v>
      </c>
      <c r="D9" s="21" t="s">
        <v>1541</v>
      </c>
      <c r="E9" s="11" t="n">
        <f aca="false">COUNTIF(項目定義!A:A,A9)-1</f>
        <v>9</v>
      </c>
      <c r="F9" s="22" t="s">
        <v>351</v>
      </c>
    </row>
    <row r="10" customFormat="false" ht="15" hidden="false" customHeight="false" outlineLevel="0" collapsed="false">
      <c r="A10" s="29" t="s">
        <v>1542</v>
      </c>
      <c r="B10" s="21" t="s">
        <v>1543</v>
      </c>
      <c r="C10" s="20" t="s">
        <v>377</v>
      </c>
      <c r="D10" s="21" t="s">
        <v>1544</v>
      </c>
      <c r="E10" s="11" t="n">
        <f aca="false">COUNTIF(項目定義!A:A,A10)-1</f>
        <v>13</v>
      </c>
      <c r="F10" s="22" t="s">
        <v>351</v>
      </c>
    </row>
    <row r="11" customFormat="false" ht="15" hidden="false" customHeight="false" outlineLevel="0" collapsed="false">
      <c r="A11" s="29" t="s">
        <v>583</v>
      </c>
      <c r="B11" s="21" t="s">
        <v>313</v>
      </c>
      <c r="C11" s="20" t="s">
        <v>1545</v>
      </c>
      <c r="D11" s="21" t="s">
        <v>1546</v>
      </c>
      <c r="E11" s="11" t="n">
        <f aca="false">COUNTIF(項目定義!A:A,A11)-1</f>
        <v>14</v>
      </c>
      <c r="F11" s="22" t="s">
        <v>1547</v>
      </c>
    </row>
    <row r="12" customFormat="false" ht="15" hidden="false" customHeight="false" outlineLevel="0" collapsed="false">
      <c r="A12" s="29" t="s">
        <v>1548</v>
      </c>
      <c r="B12" s="21" t="s">
        <v>725</v>
      </c>
      <c r="C12" s="20" t="s">
        <v>1545</v>
      </c>
      <c r="D12" s="21" t="s">
        <v>725</v>
      </c>
      <c r="E12" s="11" t="n">
        <f aca="false">COUNTIF(項目定義!A:A,A12)-1</f>
        <v>12</v>
      </c>
      <c r="F12" s="22" t="s">
        <v>1549</v>
      </c>
    </row>
    <row r="13" customFormat="false" ht="15" hidden="false" customHeight="false" outlineLevel="0" collapsed="false">
      <c r="A13" s="29" t="s">
        <v>1550</v>
      </c>
      <c r="B13" s="21" t="s">
        <v>1551</v>
      </c>
      <c r="C13" s="20" t="s">
        <v>1545</v>
      </c>
      <c r="D13" s="21" t="s">
        <v>1552</v>
      </c>
      <c r="E13" s="11" t="n">
        <f aca="false">COUNTIF(項目定義!A:A,A13)-1</f>
        <v>12</v>
      </c>
      <c r="F13" s="22" t="s">
        <v>1553</v>
      </c>
    </row>
    <row r="14" customFormat="false" ht="15" hidden="false" customHeight="false" outlineLevel="0" collapsed="false">
      <c r="A14" s="29" t="s">
        <v>1554</v>
      </c>
      <c r="B14" s="21" t="s">
        <v>1555</v>
      </c>
      <c r="C14" s="20" t="s">
        <v>1545</v>
      </c>
      <c r="D14" s="21" t="s">
        <v>1556</v>
      </c>
      <c r="E14" s="11" t="n">
        <f aca="false">COUNTIF(項目定義!A:A,A14)-1</f>
        <v>18</v>
      </c>
      <c r="F14" s="22" t="s">
        <v>1557</v>
      </c>
    </row>
    <row r="15" customFormat="false" ht="15" hidden="false" customHeight="false" outlineLevel="0" collapsed="false">
      <c r="A15" s="29" t="s">
        <v>590</v>
      </c>
      <c r="B15" s="21" t="s">
        <v>416</v>
      </c>
      <c r="C15" s="20" t="s">
        <v>1545</v>
      </c>
      <c r="D15" s="21" t="s">
        <v>1558</v>
      </c>
      <c r="E15" s="11" t="n">
        <f aca="false">COUNTIF(項目定義!A:A,A15)-1</f>
        <v>19</v>
      </c>
      <c r="F15" s="22" t="s">
        <v>1559</v>
      </c>
    </row>
    <row r="16" customFormat="false" ht="15" hidden="false" customHeight="false" outlineLevel="0" collapsed="false">
      <c r="A16" s="29" t="s">
        <v>819</v>
      </c>
      <c r="B16" s="21" t="s">
        <v>1560</v>
      </c>
      <c r="C16" s="20" t="s">
        <v>1545</v>
      </c>
      <c r="D16" s="21" t="s">
        <v>1561</v>
      </c>
      <c r="E16" s="11" t="n">
        <f aca="false">COUNTIF(項目定義!A:A,A16)-1</f>
        <v>10</v>
      </c>
      <c r="F16" s="22" t="s">
        <v>1562</v>
      </c>
    </row>
    <row r="17" customFormat="false" ht="15" hidden="false" customHeight="false" outlineLevel="0" collapsed="false">
      <c r="A17" s="29" t="s">
        <v>970</v>
      </c>
      <c r="B17" s="21" t="s">
        <v>249</v>
      </c>
      <c r="C17" s="20" t="s">
        <v>1545</v>
      </c>
      <c r="D17" s="21" t="s">
        <v>1563</v>
      </c>
      <c r="E17" s="11" t="n">
        <f aca="false">COUNTIF(項目定義!A:A,A17)-1</f>
        <v>10</v>
      </c>
      <c r="F17" s="22" t="s">
        <v>1564</v>
      </c>
    </row>
    <row r="18" customFormat="false" ht="15" hidden="false" customHeight="false" outlineLevel="0" collapsed="false">
      <c r="A18" s="29" t="s">
        <v>814</v>
      </c>
      <c r="B18" s="21" t="s">
        <v>1565</v>
      </c>
      <c r="C18" s="20" t="s">
        <v>1545</v>
      </c>
      <c r="D18" s="21" t="s">
        <v>1566</v>
      </c>
      <c r="E18" s="11" t="n">
        <f aca="false">COUNTIF(項目定義!A:A,A18)-1</f>
        <v>11</v>
      </c>
      <c r="F18" s="22" t="s">
        <v>1564</v>
      </c>
    </row>
    <row r="19" customFormat="false" ht="15" hidden="false" customHeight="false" outlineLevel="0" collapsed="false">
      <c r="A19" s="29" t="s">
        <v>586</v>
      </c>
      <c r="B19" s="21" t="s">
        <v>337</v>
      </c>
      <c r="C19" s="20" t="s">
        <v>1545</v>
      </c>
      <c r="D19" s="21" t="s">
        <v>1567</v>
      </c>
      <c r="E19" s="11" t="n">
        <f aca="false">COUNTIF(項目定義!A:A,A19)-1</f>
        <v>16</v>
      </c>
      <c r="F19" s="22" t="s">
        <v>1568</v>
      </c>
    </row>
    <row r="20" customFormat="false" ht="15" hidden="false" customHeight="false" outlineLevel="0" collapsed="false">
      <c r="A20" s="29" t="s">
        <v>910</v>
      </c>
      <c r="B20" s="21" t="s">
        <v>1569</v>
      </c>
      <c r="C20" s="20" t="s">
        <v>1545</v>
      </c>
      <c r="D20" s="21" t="s">
        <v>1569</v>
      </c>
      <c r="E20" s="11" t="n">
        <f aca="false">COUNTIF(項目定義!A:A,A20)-1</f>
        <v>12</v>
      </c>
      <c r="F20" s="22" t="s">
        <v>1570</v>
      </c>
    </row>
    <row r="21" customFormat="false" ht="15" hidden="false" customHeight="false" outlineLevel="0" collapsed="false">
      <c r="A21" s="29" t="s">
        <v>1571</v>
      </c>
      <c r="B21" s="21" t="s">
        <v>1498</v>
      </c>
      <c r="C21" s="20" t="s">
        <v>1545</v>
      </c>
      <c r="D21" s="21" t="s">
        <v>1572</v>
      </c>
      <c r="E21" s="11" t="n">
        <f aca="false">COUNTIF(項目定義!A:A,A21)-1</f>
        <v>14</v>
      </c>
      <c r="F21" s="22" t="s">
        <v>1573</v>
      </c>
    </row>
    <row r="22" customFormat="false" ht="15" hidden="false" customHeight="false" outlineLevel="0" collapsed="false">
      <c r="A22" s="29" t="s">
        <v>1574</v>
      </c>
      <c r="B22" s="21" t="s">
        <v>1575</v>
      </c>
      <c r="C22" s="20" t="s">
        <v>1545</v>
      </c>
      <c r="D22" s="21" t="s">
        <v>1576</v>
      </c>
      <c r="E22" s="11" t="n">
        <f aca="false">COUNTIF(項目定義!A:A,A22)-1</f>
        <v>15</v>
      </c>
      <c r="F22" s="22" t="s">
        <v>1577</v>
      </c>
    </row>
    <row r="23" customFormat="false" ht="15" hidden="false" customHeight="false" outlineLevel="0" collapsed="false">
      <c r="A23" s="29" t="s">
        <v>1578</v>
      </c>
      <c r="B23" s="21" t="s">
        <v>353</v>
      </c>
      <c r="C23" s="20" t="s">
        <v>1545</v>
      </c>
      <c r="D23" s="21" t="s">
        <v>1579</v>
      </c>
      <c r="E23" s="11" t="n">
        <f aca="false">COUNTIF(項目定義!A:A,A23)-1</f>
        <v>16</v>
      </c>
      <c r="F23" s="22" t="s">
        <v>1580</v>
      </c>
    </row>
    <row r="24" customFormat="false" ht="15" hidden="false" customHeight="false" outlineLevel="0" collapsed="false">
      <c r="A24" s="29" t="s">
        <v>1581</v>
      </c>
      <c r="B24" s="21" t="s">
        <v>1505</v>
      </c>
      <c r="C24" s="20" t="s">
        <v>1545</v>
      </c>
      <c r="D24" s="21" t="s">
        <v>1582</v>
      </c>
      <c r="E24" s="11" t="n">
        <f aca="false">COUNTIF(項目定義!A:A,A24)-1</f>
        <v>13</v>
      </c>
      <c r="F24" s="22" t="s">
        <v>351</v>
      </c>
    </row>
    <row r="25" customFormat="false" ht="15" hidden="false" customHeight="false" outlineLevel="0" collapsed="false">
      <c r="A25" s="29" t="s">
        <v>1583</v>
      </c>
      <c r="B25" s="21" t="s">
        <v>1584</v>
      </c>
      <c r="C25" s="20" t="s">
        <v>1545</v>
      </c>
      <c r="D25" s="21" t="s">
        <v>1585</v>
      </c>
      <c r="E25" s="11" t="n">
        <f aca="false">COUNTIF(項目定義!A:A,A25)-1</f>
        <v>8</v>
      </c>
      <c r="F25" s="22" t="s">
        <v>1586</v>
      </c>
    </row>
    <row r="26" customFormat="false" ht="15" hidden="false" customHeight="false" outlineLevel="0" collapsed="false">
      <c r="A26" s="29" t="s">
        <v>1587</v>
      </c>
      <c r="B26" s="21" t="s">
        <v>1588</v>
      </c>
      <c r="C26" s="20" t="s">
        <v>1545</v>
      </c>
      <c r="D26" s="21" t="s">
        <v>1589</v>
      </c>
      <c r="E26" s="11" t="n">
        <f aca="false">COUNTIF(項目定義!A:A,A26)-1</f>
        <v>17</v>
      </c>
      <c r="F26" s="22" t="s">
        <v>1590</v>
      </c>
    </row>
    <row r="27" customFormat="false" ht="15" hidden="false" customHeight="false" outlineLevel="0" collapsed="false">
      <c r="A27" s="29" t="s">
        <v>1591</v>
      </c>
      <c r="B27" s="21" t="s">
        <v>434</v>
      </c>
      <c r="C27" s="20" t="s">
        <v>1545</v>
      </c>
      <c r="D27" s="21" t="s">
        <v>1592</v>
      </c>
      <c r="E27" s="11" t="n">
        <f aca="false">COUNTIF(項目定義!A:A,A27)-1</f>
        <v>8</v>
      </c>
      <c r="F27" s="22" t="s">
        <v>1538</v>
      </c>
    </row>
    <row r="28" customFormat="false" ht="15" hidden="false" customHeight="false" outlineLevel="0" collapsed="false">
      <c r="A28" s="29" t="s">
        <v>765</v>
      </c>
      <c r="B28" s="21" t="s">
        <v>1593</v>
      </c>
      <c r="C28" s="20" t="s">
        <v>1545</v>
      </c>
      <c r="D28" s="22" t="s">
        <v>1594</v>
      </c>
      <c r="E28" s="11" t="n">
        <f aca="false">COUNTIF(項目定義!A:A,A28)-1</f>
        <v>12</v>
      </c>
      <c r="F28" s="22" t="s">
        <v>351</v>
      </c>
    </row>
    <row r="29" customFormat="false" ht="15" hidden="false" customHeight="false" outlineLevel="0" collapsed="false">
      <c r="A29" s="29" t="s">
        <v>1034</v>
      </c>
      <c r="B29" s="21" t="s">
        <v>496</v>
      </c>
      <c r="C29" s="20" t="s">
        <v>1595</v>
      </c>
      <c r="D29" s="21" t="s">
        <v>1596</v>
      </c>
      <c r="E29" s="11" t="n">
        <f aca="false">COUNTIF(項目定義!A:A,A29)-1</f>
        <v>11</v>
      </c>
      <c r="F29" s="22" t="s">
        <v>1542</v>
      </c>
    </row>
  </sheetData>
  <autoFilter ref="A3:F29"/>
  <hyperlinks>
    <hyperlink ref="F1" r:id="rId1" location="'表紙'!A1" display="← 表紙へ"/>
    <hyperlink ref="A4" r:id="rId2" location="'項目定義'!A4" display="m_supplier"/>
    <hyperlink ref="A5" r:id="rId3" location="'項目定義'!A20" display="m_product"/>
    <hyperlink ref="A6" r:id="rId4" location="'項目定義'!A43" display="m_customer"/>
    <hyperlink ref="A7" r:id="rId5" location="'項目定義'!A62" display="m_ship_to"/>
    <hyperlink ref="A8" r:id="rId6" location="'項目定義'!A78" display="m_location"/>
    <hyperlink ref="A9" r:id="rId7" location="'項目定義'!A92" display="m_sales_rule"/>
    <hyperlink ref="A10" r:id="rId8" location="'項目定義'!A102" display="m_user"/>
    <hyperlink ref="A11" r:id="rId9" location="'項目定義'!A116" display="t_purchase_order"/>
    <hyperlink ref="A12" r:id="rId10" location="'項目定義'!A131" display="t_purchase_order_line"/>
    <hyperlink ref="A13" r:id="rId11" location="'項目定義'!A144" display="t_receipt"/>
    <hyperlink ref="A14" r:id="rId12" location="'項目定義'!A157" display="t_receipt_line"/>
    <hyperlink ref="A15" r:id="rId13" location="'項目定義'!A176" display="t_lot"/>
    <hyperlink ref="A16" r:id="rId14" location="'項目定義'!A196" display="t_lot_status_history"/>
    <hyperlink ref="A17" r:id="rId15" location="'項目定義'!A207" display="t_inventory"/>
    <hyperlink ref="A18" r:id="rId16" location="'項目定義'!A218" display="t_stock_movement"/>
    <hyperlink ref="A19" r:id="rId17" location="'項目定義'!A230" display="t_sales_order"/>
    <hyperlink ref="A20" r:id="rId18" location="'項目定義'!A247" display="t_sales_order_line"/>
    <hyperlink ref="A21" r:id="rId19" location="'項目定義'!A260" display="t_shipment"/>
    <hyperlink ref="A22" r:id="rId20" location="'項目定義'!A275" display="t_shipment_line"/>
    <hyperlink ref="A23" r:id="rId21" location="'項目定義'!A291" display="t_return"/>
    <hyperlink ref="A24" r:id="rId22" location="'項目定義'!A308" display="t_recall"/>
    <hyperlink ref="A25" r:id="rId23" location="'項目定義'!A322" display="t_recall_lot"/>
    <hyperlink ref="A26" r:id="rId24" location="'項目定義'!A331" display="t_recall_target"/>
    <hyperlink ref="A27" r:id="rId25" location="'項目定義'!A349" display="t_temperature_log"/>
    <hyperlink ref="A28" r:id="rId26" location="'項目定義'!A358" display="t_attachment"/>
    <hyperlink ref="A29" r:id="rId27" location="'項目定義'!A371" display="t_audit_log"/>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8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5"/>
    <col collapsed="false" customWidth="true" hidden="false" outlineLevel="0" max="4" min="3" style="0" width="22"/>
    <col collapsed="false" customWidth="true" hidden="false" outlineLevel="0" max="5" min="5" style="0" width="11"/>
    <col collapsed="false" customWidth="true" hidden="false" outlineLevel="0" max="6" min="6" style="0" width="7"/>
    <col collapsed="false" customWidth="true" hidden="false" outlineLevel="0" max="7" min="7" style="0" width="5"/>
    <col collapsed="false" customWidth="true" hidden="false" outlineLevel="0" max="8" min="8" style="0" width="24"/>
    <col collapsed="false" customWidth="true" hidden="false" outlineLevel="0" max="9" min="9" style="0" width="9"/>
    <col collapsed="false" customWidth="true" hidden="false" outlineLevel="0" max="10" min="10" style="0" width="12"/>
    <col collapsed="false" customWidth="true" hidden="false" outlineLevel="0" max="11" min="11" style="0" width="46"/>
  </cols>
  <sheetData>
    <row r="1" customFormat="false" ht="15" hidden="false" customHeight="false" outlineLevel="0" collapsed="false">
      <c r="A1" s="5" t="s">
        <v>51</v>
      </c>
      <c r="K1" s="19" t="s">
        <v>78</v>
      </c>
    </row>
    <row r="2" customFormat="false" ht="15" hidden="false" customHeight="false" outlineLevel="0" collapsed="false">
      <c r="A2" s="23" t="s">
        <v>1597</v>
      </c>
    </row>
    <row r="3" customFormat="false" ht="15" hidden="false" customHeight="false" outlineLevel="0" collapsed="false">
      <c r="A3" s="10" t="s">
        <v>1598</v>
      </c>
      <c r="B3" s="9" t="s">
        <v>24</v>
      </c>
      <c r="C3" s="10" t="s">
        <v>1527</v>
      </c>
      <c r="D3" s="10" t="s">
        <v>1528</v>
      </c>
      <c r="E3" s="10" t="s">
        <v>1599</v>
      </c>
      <c r="F3" s="10" t="s">
        <v>1600</v>
      </c>
      <c r="G3" s="9" t="s">
        <v>1601</v>
      </c>
      <c r="H3" s="9" t="s">
        <v>1602</v>
      </c>
      <c r="I3" s="9" t="s">
        <v>1603</v>
      </c>
      <c r="J3" s="10" t="s">
        <v>575</v>
      </c>
      <c r="K3" s="10" t="s">
        <v>1604</v>
      </c>
    </row>
    <row r="4" customFormat="false" ht="15" hidden="false" customHeight="true" outlineLevel="0" collapsed="false">
      <c r="A4" s="30" t="s">
        <v>1531</v>
      </c>
      <c r="B4" s="31" t="s">
        <v>1605</v>
      </c>
      <c r="C4" s="31"/>
      <c r="D4" s="31"/>
      <c r="E4" s="31"/>
      <c r="F4" s="31"/>
      <c r="G4" s="31"/>
      <c r="H4" s="31"/>
      <c r="I4" s="31"/>
      <c r="J4" s="31"/>
      <c r="K4" s="31"/>
    </row>
    <row r="5" customFormat="false" ht="15" hidden="false" customHeight="false" outlineLevel="0" collapsed="false">
      <c r="A5" s="22" t="s">
        <v>1531</v>
      </c>
      <c r="B5" s="11" t="n">
        <v>1</v>
      </c>
      <c r="C5" s="22" t="s">
        <v>1606</v>
      </c>
      <c r="D5" s="21" t="s">
        <v>1607</v>
      </c>
      <c r="E5" s="11" t="s">
        <v>1608</v>
      </c>
      <c r="F5" s="11"/>
      <c r="G5" s="11" t="s">
        <v>598</v>
      </c>
      <c r="H5" s="22"/>
      <c r="I5" s="11" t="s">
        <v>598</v>
      </c>
      <c r="J5" s="21" t="s">
        <v>1609</v>
      </c>
      <c r="K5" s="22"/>
    </row>
    <row r="6" customFormat="false" ht="15" hidden="false" customHeight="false" outlineLevel="0" collapsed="false">
      <c r="A6" s="22" t="s">
        <v>1531</v>
      </c>
      <c r="B6" s="11" t="n">
        <v>2</v>
      </c>
      <c r="C6" s="22" t="s">
        <v>1610</v>
      </c>
      <c r="D6" s="21" t="s">
        <v>595</v>
      </c>
      <c r="E6" s="11" t="s">
        <v>1611</v>
      </c>
      <c r="F6" s="11" t="s">
        <v>599</v>
      </c>
      <c r="G6" s="11"/>
      <c r="H6" s="22"/>
      <c r="I6" s="11" t="s">
        <v>598</v>
      </c>
      <c r="J6" s="22"/>
      <c r="K6" s="21" t="s">
        <v>601</v>
      </c>
    </row>
    <row r="7" customFormat="false" ht="15" hidden="false" customHeight="false" outlineLevel="0" collapsed="false">
      <c r="A7" s="22" t="s">
        <v>1531</v>
      </c>
      <c r="B7" s="11" t="n">
        <v>3</v>
      </c>
      <c r="C7" s="22" t="s">
        <v>1612</v>
      </c>
      <c r="D7" s="21" t="s">
        <v>1613</v>
      </c>
      <c r="E7" s="11" t="s">
        <v>1611</v>
      </c>
      <c r="F7" s="11" t="s">
        <v>615</v>
      </c>
      <c r="G7" s="11"/>
      <c r="H7" s="22"/>
      <c r="I7" s="11" t="s">
        <v>598</v>
      </c>
      <c r="J7" s="22"/>
      <c r="K7" s="22"/>
    </row>
    <row r="8" customFormat="false" ht="15" hidden="false" customHeight="false" outlineLevel="0" collapsed="false">
      <c r="A8" s="22" t="s">
        <v>1531</v>
      </c>
      <c r="B8" s="11" t="n">
        <v>4</v>
      </c>
      <c r="C8" s="22" t="s">
        <v>1614</v>
      </c>
      <c r="D8" s="21" t="s">
        <v>1615</v>
      </c>
      <c r="E8" s="11" t="s">
        <v>1611</v>
      </c>
      <c r="F8" s="11" t="s">
        <v>1616</v>
      </c>
      <c r="G8" s="11"/>
      <c r="H8" s="22"/>
      <c r="I8" s="11" t="s">
        <v>598</v>
      </c>
      <c r="J8" s="22" t="s">
        <v>1617</v>
      </c>
      <c r="K8" s="22" t="s">
        <v>1618</v>
      </c>
    </row>
    <row r="9" customFormat="false" ht="15" hidden="false" customHeight="false" outlineLevel="0" collapsed="false">
      <c r="A9" s="22" t="s">
        <v>1531</v>
      </c>
      <c r="B9" s="11" t="n">
        <v>5</v>
      </c>
      <c r="C9" s="22" t="s">
        <v>1619</v>
      </c>
      <c r="D9" s="21" t="s">
        <v>1620</v>
      </c>
      <c r="E9" s="11" t="s">
        <v>1611</v>
      </c>
      <c r="F9" s="11" t="s">
        <v>1018</v>
      </c>
      <c r="G9" s="11"/>
      <c r="H9" s="22"/>
      <c r="I9" s="11"/>
      <c r="J9" s="22"/>
      <c r="K9" s="22"/>
    </row>
    <row r="10" customFormat="false" ht="15" hidden="false" customHeight="false" outlineLevel="0" collapsed="false">
      <c r="A10" s="22" t="s">
        <v>1531</v>
      </c>
      <c r="B10" s="11" t="n">
        <v>6</v>
      </c>
      <c r="C10" s="22" t="s">
        <v>1621</v>
      </c>
      <c r="D10" s="21" t="s">
        <v>1622</v>
      </c>
      <c r="E10" s="11" t="s">
        <v>1611</v>
      </c>
      <c r="F10" s="11" t="s">
        <v>728</v>
      </c>
      <c r="G10" s="11"/>
      <c r="H10" s="22"/>
      <c r="I10" s="11"/>
      <c r="J10" s="22"/>
      <c r="K10" s="22"/>
    </row>
    <row r="11" customFormat="false" ht="15" hidden="false" customHeight="false" outlineLevel="0" collapsed="false">
      <c r="A11" s="22" t="s">
        <v>1531</v>
      </c>
      <c r="B11" s="11" t="n">
        <v>7</v>
      </c>
      <c r="C11" s="22" t="s">
        <v>1623</v>
      </c>
      <c r="D11" s="21" t="s">
        <v>1624</v>
      </c>
      <c r="E11" s="11" t="s">
        <v>1611</v>
      </c>
      <c r="F11" s="11" t="s">
        <v>599</v>
      </c>
      <c r="G11" s="11"/>
      <c r="H11" s="22"/>
      <c r="I11" s="11"/>
      <c r="J11" s="22"/>
      <c r="K11" s="22"/>
    </row>
    <row r="12" customFormat="false" ht="15" hidden="false" customHeight="false" outlineLevel="0" collapsed="false">
      <c r="A12" s="22" t="s">
        <v>1531</v>
      </c>
      <c r="B12" s="11" t="n">
        <v>8</v>
      </c>
      <c r="C12" s="22" t="s">
        <v>1625</v>
      </c>
      <c r="D12" s="21" t="s">
        <v>1626</v>
      </c>
      <c r="E12" s="11" t="s">
        <v>1611</v>
      </c>
      <c r="F12" s="11" t="s">
        <v>1627</v>
      </c>
      <c r="G12" s="11"/>
      <c r="H12" s="22"/>
      <c r="I12" s="11"/>
      <c r="J12" s="22"/>
      <c r="K12" s="22"/>
    </row>
    <row r="13" customFormat="false" ht="15" hidden="false" customHeight="false" outlineLevel="0" collapsed="false">
      <c r="A13" s="22" t="s">
        <v>1531</v>
      </c>
      <c r="B13" s="11" t="n">
        <v>9</v>
      </c>
      <c r="C13" s="22" t="s">
        <v>1628</v>
      </c>
      <c r="D13" s="21" t="s">
        <v>1629</v>
      </c>
      <c r="E13" s="11" t="s">
        <v>1611</v>
      </c>
      <c r="F13" s="11" t="s">
        <v>615</v>
      </c>
      <c r="G13" s="11"/>
      <c r="H13" s="22"/>
      <c r="I13" s="11"/>
      <c r="J13" s="22"/>
      <c r="K13" s="21" t="s">
        <v>1630</v>
      </c>
    </row>
    <row r="14" customFormat="false" ht="15" hidden="false" customHeight="false" outlineLevel="0" collapsed="false">
      <c r="A14" s="22" t="s">
        <v>1531</v>
      </c>
      <c r="B14" s="11" t="n">
        <v>10</v>
      </c>
      <c r="C14" s="22" t="s">
        <v>1631</v>
      </c>
      <c r="D14" s="21" t="s">
        <v>606</v>
      </c>
      <c r="E14" s="11" t="s">
        <v>1632</v>
      </c>
      <c r="F14" s="11"/>
      <c r="G14" s="11"/>
      <c r="H14" s="22"/>
      <c r="I14" s="11" t="s">
        <v>598</v>
      </c>
      <c r="J14" s="22" t="s">
        <v>1633</v>
      </c>
      <c r="K14" s="22"/>
    </row>
    <row r="15" customFormat="false" ht="15" hidden="false" customHeight="false" outlineLevel="0" collapsed="false">
      <c r="A15" s="22" t="s">
        <v>1531</v>
      </c>
      <c r="B15" s="11" t="n">
        <v>11</v>
      </c>
      <c r="C15" s="22" t="s">
        <v>1634</v>
      </c>
      <c r="D15" s="21" t="s">
        <v>1635</v>
      </c>
      <c r="E15" s="11" t="s">
        <v>1636</v>
      </c>
      <c r="F15" s="11"/>
      <c r="G15" s="11"/>
      <c r="H15" s="22"/>
      <c r="I15" s="11" t="s">
        <v>598</v>
      </c>
      <c r="J15" s="21" t="s">
        <v>1637</v>
      </c>
      <c r="K15" s="22"/>
    </row>
    <row r="16" customFormat="false" ht="15" hidden="false" customHeight="false" outlineLevel="0" collapsed="false">
      <c r="A16" s="22" t="s">
        <v>1531</v>
      </c>
      <c r="B16" s="11" t="n">
        <v>12</v>
      </c>
      <c r="C16" s="22" t="s">
        <v>1638</v>
      </c>
      <c r="D16" s="21" t="s">
        <v>1639</v>
      </c>
      <c r="E16" s="11" t="s">
        <v>1608</v>
      </c>
      <c r="F16" s="11"/>
      <c r="G16" s="11"/>
      <c r="H16" s="22" t="s">
        <v>1640</v>
      </c>
      <c r="I16" s="11" t="s">
        <v>598</v>
      </c>
      <c r="J16" s="22"/>
      <c r="K16" s="22"/>
    </row>
    <row r="17" customFormat="false" ht="15" hidden="false" customHeight="false" outlineLevel="0" collapsed="false">
      <c r="A17" s="22" t="s">
        <v>1531</v>
      </c>
      <c r="B17" s="11" t="n">
        <v>13</v>
      </c>
      <c r="C17" s="22" t="s">
        <v>1641</v>
      </c>
      <c r="D17" s="21" t="s">
        <v>1642</v>
      </c>
      <c r="E17" s="11" t="s">
        <v>1636</v>
      </c>
      <c r="F17" s="11"/>
      <c r="G17" s="11"/>
      <c r="H17" s="22"/>
      <c r="I17" s="11" t="s">
        <v>598</v>
      </c>
      <c r="J17" s="21" t="s">
        <v>1637</v>
      </c>
      <c r="K17" s="22"/>
    </row>
    <row r="18" customFormat="false" ht="15" hidden="false" customHeight="false" outlineLevel="0" collapsed="false">
      <c r="A18" s="22" t="s">
        <v>1531</v>
      </c>
      <c r="B18" s="11" t="n">
        <v>14</v>
      </c>
      <c r="C18" s="22" t="s">
        <v>1643</v>
      </c>
      <c r="D18" s="21" t="s">
        <v>1644</v>
      </c>
      <c r="E18" s="11" t="s">
        <v>1608</v>
      </c>
      <c r="F18" s="11"/>
      <c r="G18" s="11"/>
      <c r="H18" s="22" t="s">
        <v>1640</v>
      </c>
      <c r="I18" s="11" t="s">
        <v>598</v>
      </c>
      <c r="J18" s="22"/>
      <c r="K18" s="22"/>
    </row>
    <row r="19" customFormat="false" ht="15" hidden="false" customHeight="false" outlineLevel="0" collapsed="false">
      <c r="A19" s="22" t="s">
        <v>1531</v>
      </c>
      <c r="B19" s="11" t="n">
        <v>15</v>
      </c>
      <c r="C19" s="22" t="s">
        <v>1645</v>
      </c>
      <c r="D19" s="21" t="s">
        <v>2</v>
      </c>
      <c r="E19" s="11" t="s">
        <v>1646</v>
      </c>
      <c r="F19" s="11"/>
      <c r="G19" s="11"/>
      <c r="H19" s="22"/>
      <c r="I19" s="11" t="s">
        <v>598</v>
      </c>
      <c r="J19" s="22" t="s">
        <v>1647</v>
      </c>
      <c r="K19" s="21" t="s">
        <v>1648</v>
      </c>
    </row>
    <row r="20" customFormat="false" ht="15" hidden="false" customHeight="true" outlineLevel="0" collapsed="false">
      <c r="A20" s="30" t="s">
        <v>1533</v>
      </c>
      <c r="B20" s="31" t="s">
        <v>1649</v>
      </c>
      <c r="C20" s="31"/>
      <c r="D20" s="31"/>
      <c r="E20" s="31"/>
      <c r="F20" s="31"/>
      <c r="G20" s="31"/>
      <c r="H20" s="31"/>
      <c r="I20" s="31"/>
      <c r="J20" s="31"/>
      <c r="K20" s="31"/>
    </row>
    <row r="21" customFormat="false" ht="15" hidden="false" customHeight="false" outlineLevel="0" collapsed="false">
      <c r="A21" s="22" t="s">
        <v>1533</v>
      </c>
      <c r="B21" s="11" t="n">
        <v>1</v>
      </c>
      <c r="C21" s="22" t="s">
        <v>1606</v>
      </c>
      <c r="D21" s="21" t="s">
        <v>1650</v>
      </c>
      <c r="E21" s="11" t="s">
        <v>1608</v>
      </c>
      <c r="F21" s="11"/>
      <c r="G21" s="11" t="s">
        <v>598</v>
      </c>
      <c r="H21" s="22"/>
      <c r="I21" s="11" t="s">
        <v>598</v>
      </c>
      <c r="J21" s="21" t="s">
        <v>1609</v>
      </c>
      <c r="K21" s="22"/>
    </row>
    <row r="22" customFormat="false" ht="15" hidden="false" customHeight="false" outlineLevel="0" collapsed="false">
      <c r="A22" s="22" t="s">
        <v>1533</v>
      </c>
      <c r="B22" s="11" t="n">
        <v>2</v>
      </c>
      <c r="C22" s="22" t="s">
        <v>1651</v>
      </c>
      <c r="D22" s="21" t="s">
        <v>611</v>
      </c>
      <c r="E22" s="11" t="s">
        <v>1611</v>
      </c>
      <c r="F22" s="11" t="s">
        <v>599</v>
      </c>
      <c r="G22" s="11"/>
      <c r="H22" s="22"/>
      <c r="I22" s="11" t="s">
        <v>598</v>
      </c>
      <c r="J22" s="22"/>
      <c r="K22" s="21" t="s">
        <v>601</v>
      </c>
    </row>
    <row r="23" customFormat="false" ht="15" hidden="false" customHeight="false" outlineLevel="0" collapsed="false">
      <c r="A23" s="22" t="s">
        <v>1533</v>
      </c>
      <c r="B23" s="11" t="n">
        <v>3</v>
      </c>
      <c r="C23" s="22" t="s">
        <v>1612</v>
      </c>
      <c r="D23" s="21" t="s">
        <v>614</v>
      </c>
      <c r="E23" s="11" t="s">
        <v>1611</v>
      </c>
      <c r="F23" s="11" t="s">
        <v>615</v>
      </c>
      <c r="G23" s="11"/>
      <c r="H23" s="22"/>
      <c r="I23" s="11" t="s">
        <v>598</v>
      </c>
      <c r="J23" s="22"/>
      <c r="K23" s="22"/>
    </row>
    <row r="24" customFormat="false" ht="15" hidden="false" customHeight="false" outlineLevel="0" collapsed="false">
      <c r="A24" s="22" t="s">
        <v>1533</v>
      </c>
      <c r="B24" s="11" t="n">
        <v>4</v>
      </c>
      <c r="C24" s="22" t="s">
        <v>1652</v>
      </c>
      <c r="D24" s="21" t="s">
        <v>1653</v>
      </c>
      <c r="E24" s="11" t="s">
        <v>1608</v>
      </c>
      <c r="F24" s="11"/>
      <c r="G24" s="11"/>
      <c r="H24" s="22" t="s">
        <v>1654</v>
      </c>
      <c r="I24" s="11"/>
      <c r="J24" s="22"/>
      <c r="K24" s="22"/>
    </row>
    <row r="25" customFormat="false" ht="25.35" hidden="false" customHeight="false" outlineLevel="0" collapsed="false">
      <c r="A25" s="22" t="s">
        <v>1533</v>
      </c>
      <c r="B25" s="11" t="n">
        <v>5</v>
      </c>
      <c r="C25" s="22" t="s">
        <v>1655</v>
      </c>
      <c r="D25" s="21" t="s">
        <v>1656</v>
      </c>
      <c r="E25" s="11" t="s">
        <v>1611</v>
      </c>
      <c r="F25" s="11" t="s">
        <v>599</v>
      </c>
      <c r="G25" s="11"/>
      <c r="H25" s="22"/>
      <c r="I25" s="11" t="s">
        <v>598</v>
      </c>
      <c r="J25" s="22"/>
      <c r="K25" s="21" t="s">
        <v>1657</v>
      </c>
    </row>
    <row r="26" customFormat="false" ht="15" hidden="false" customHeight="false" outlineLevel="0" collapsed="false">
      <c r="A26" s="22" t="s">
        <v>1533</v>
      </c>
      <c r="B26" s="11" t="n">
        <v>6</v>
      </c>
      <c r="C26" s="22" t="s">
        <v>1658</v>
      </c>
      <c r="D26" s="21" t="s">
        <v>1659</v>
      </c>
      <c r="E26" s="11" t="s">
        <v>1611</v>
      </c>
      <c r="F26" s="11" t="s">
        <v>599</v>
      </c>
      <c r="G26" s="11"/>
      <c r="H26" s="22"/>
      <c r="I26" s="11" t="s">
        <v>598</v>
      </c>
      <c r="J26" s="22"/>
      <c r="K26" s="21" t="s">
        <v>1660</v>
      </c>
    </row>
    <row r="27" customFormat="false" ht="15" hidden="false" customHeight="false" outlineLevel="0" collapsed="false">
      <c r="A27" s="22" t="s">
        <v>1533</v>
      </c>
      <c r="B27" s="11" t="n">
        <v>7</v>
      </c>
      <c r="C27" s="22" t="s">
        <v>1661</v>
      </c>
      <c r="D27" s="21" t="s">
        <v>1662</v>
      </c>
      <c r="E27" s="11" t="s">
        <v>1663</v>
      </c>
      <c r="F27" s="11" t="s">
        <v>768</v>
      </c>
      <c r="G27" s="11"/>
      <c r="H27" s="22"/>
      <c r="I27" s="11"/>
      <c r="J27" s="22"/>
      <c r="K27" s="21" t="s">
        <v>1664</v>
      </c>
    </row>
    <row r="28" customFormat="false" ht="15" hidden="false" customHeight="false" outlineLevel="0" collapsed="false">
      <c r="A28" s="22" t="s">
        <v>1533</v>
      </c>
      <c r="B28" s="11" t="n">
        <v>8</v>
      </c>
      <c r="C28" s="22" t="s">
        <v>1665</v>
      </c>
      <c r="D28" s="21" t="s">
        <v>1666</v>
      </c>
      <c r="E28" s="11" t="s">
        <v>1663</v>
      </c>
      <c r="F28" s="11" t="s">
        <v>1667</v>
      </c>
      <c r="G28" s="11"/>
      <c r="H28" s="22"/>
      <c r="I28" s="11"/>
      <c r="J28" s="22"/>
      <c r="K28" s="22"/>
    </row>
    <row r="29" customFormat="false" ht="15" hidden="false" customHeight="false" outlineLevel="0" collapsed="false">
      <c r="A29" s="22" t="s">
        <v>1533</v>
      </c>
      <c r="B29" s="11" t="n">
        <v>9</v>
      </c>
      <c r="C29" s="22" t="s">
        <v>1668</v>
      </c>
      <c r="D29" s="21" t="s">
        <v>1669</v>
      </c>
      <c r="E29" s="11" t="s">
        <v>1611</v>
      </c>
      <c r="F29" s="11" t="s">
        <v>1670</v>
      </c>
      <c r="G29" s="11"/>
      <c r="H29" s="22"/>
      <c r="I29" s="11" t="s">
        <v>598</v>
      </c>
      <c r="J29" s="21" t="s">
        <v>1671</v>
      </c>
      <c r="K29" s="21" t="s">
        <v>1672</v>
      </c>
    </row>
    <row r="30" customFormat="false" ht="15" hidden="false" customHeight="false" outlineLevel="0" collapsed="false">
      <c r="A30" s="22" t="s">
        <v>1533</v>
      </c>
      <c r="B30" s="11" t="n">
        <v>10</v>
      </c>
      <c r="C30" s="22" t="s">
        <v>1673</v>
      </c>
      <c r="D30" s="21" t="s">
        <v>626</v>
      </c>
      <c r="E30" s="11" t="s">
        <v>1611</v>
      </c>
      <c r="F30" s="11" t="s">
        <v>1670</v>
      </c>
      <c r="G30" s="11"/>
      <c r="H30" s="22"/>
      <c r="I30" s="11" t="s">
        <v>598</v>
      </c>
      <c r="J30" s="22"/>
      <c r="K30" s="21" t="s">
        <v>1674</v>
      </c>
    </row>
    <row r="31" customFormat="false" ht="15" hidden="false" customHeight="false" outlineLevel="0" collapsed="false">
      <c r="A31" s="22" t="s">
        <v>1533</v>
      </c>
      <c r="B31" s="11" t="n">
        <v>11</v>
      </c>
      <c r="C31" s="22" t="s">
        <v>1675</v>
      </c>
      <c r="D31" s="21" t="s">
        <v>629</v>
      </c>
      <c r="E31" s="11" t="s">
        <v>1646</v>
      </c>
      <c r="F31" s="11"/>
      <c r="G31" s="11"/>
      <c r="H31" s="22"/>
      <c r="I31" s="11" t="s">
        <v>598</v>
      </c>
      <c r="J31" s="22"/>
      <c r="K31" s="21" t="s">
        <v>1676</v>
      </c>
    </row>
    <row r="32" customFormat="false" ht="15" hidden="false" customHeight="false" outlineLevel="0" collapsed="false">
      <c r="A32" s="22" t="s">
        <v>1533</v>
      </c>
      <c r="B32" s="11" t="n">
        <v>12</v>
      </c>
      <c r="C32" s="22" t="s">
        <v>1677</v>
      </c>
      <c r="D32" s="21" t="s">
        <v>634</v>
      </c>
      <c r="E32" s="11" t="s">
        <v>1646</v>
      </c>
      <c r="F32" s="11"/>
      <c r="G32" s="11"/>
      <c r="H32" s="22"/>
      <c r="I32" s="11" t="s">
        <v>598</v>
      </c>
      <c r="J32" s="22" t="s">
        <v>636</v>
      </c>
      <c r="K32" s="21" t="s">
        <v>1678</v>
      </c>
    </row>
    <row r="33" customFormat="false" ht="25.35" hidden="false" customHeight="false" outlineLevel="0" collapsed="false">
      <c r="A33" s="22" t="s">
        <v>1533</v>
      </c>
      <c r="B33" s="11" t="n">
        <v>13</v>
      </c>
      <c r="C33" s="22" t="s">
        <v>1679</v>
      </c>
      <c r="D33" s="21" t="s">
        <v>638</v>
      </c>
      <c r="E33" s="11" t="s">
        <v>1611</v>
      </c>
      <c r="F33" s="11" t="s">
        <v>599</v>
      </c>
      <c r="G33" s="11"/>
      <c r="H33" s="22"/>
      <c r="I33" s="11" t="s">
        <v>598</v>
      </c>
      <c r="J33" s="22"/>
      <c r="K33" s="21" t="s">
        <v>1680</v>
      </c>
    </row>
    <row r="34" customFormat="false" ht="15" hidden="false" customHeight="false" outlineLevel="0" collapsed="false">
      <c r="A34" s="22" t="s">
        <v>1533</v>
      </c>
      <c r="B34" s="11" t="n">
        <v>14</v>
      </c>
      <c r="C34" s="22" t="s">
        <v>1681</v>
      </c>
      <c r="D34" s="21" t="s">
        <v>1682</v>
      </c>
      <c r="E34" s="11" t="s">
        <v>1663</v>
      </c>
      <c r="F34" s="11" t="s">
        <v>743</v>
      </c>
      <c r="G34" s="11"/>
      <c r="H34" s="22"/>
      <c r="I34" s="11"/>
      <c r="J34" s="22"/>
      <c r="K34" s="22"/>
    </row>
    <row r="35" customFormat="false" ht="15" hidden="false" customHeight="false" outlineLevel="0" collapsed="false">
      <c r="A35" s="22" t="s">
        <v>1533</v>
      </c>
      <c r="B35" s="11" t="n">
        <v>15</v>
      </c>
      <c r="C35" s="22" t="s">
        <v>1683</v>
      </c>
      <c r="D35" s="21" t="s">
        <v>1684</v>
      </c>
      <c r="E35" s="11" t="s">
        <v>1663</v>
      </c>
      <c r="F35" s="11" t="s">
        <v>743</v>
      </c>
      <c r="G35" s="11"/>
      <c r="H35" s="22"/>
      <c r="I35" s="11"/>
      <c r="J35" s="22"/>
      <c r="K35" s="21" t="s">
        <v>1685</v>
      </c>
    </row>
    <row r="36" customFormat="false" ht="15" hidden="false" customHeight="false" outlineLevel="0" collapsed="false">
      <c r="A36" s="22" t="s">
        <v>1533</v>
      </c>
      <c r="B36" s="11" t="n">
        <v>16</v>
      </c>
      <c r="C36" s="22" t="s">
        <v>1686</v>
      </c>
      <c r="D36" s="21" t="s">
        <v>1687</v>
      </c>
      <c r="E36" s="11" t="s">
        <v>1646</v>
      </c>
      <c r="F36" s="11"/>
      <c r="G36" s="11"/>
      <c r="H36" s="22"/>
      <c r="I36" s="11"/>
      <c r="J36" s="22" t="s">
        <v>1014</v>
      </c>
      <c r="K36" s="21" t="s">
        <v>1688</v>
      </c>
    </row>
    <row r="37" customFormat="false" ht="15" hidden="false" customHeight="false" outlineLevel="0" collapsed="false">
      <c r="A37" s="22" t="s">
        <v>1533</v>
      </c>
      <c r="B37" s="11" t="n">
        <v>17</v>
      </c>
      <c r="C37" s="22" t="s">
        <v>1631</v>
      </c>
      <c r="D37" s="21" t="s">
        <v>606</v>
      </c>
      <c r="E37" s="11" t="s">
        <v>1632</v>
      </c>
      <c r="F37" s="11"/>
      <c r="G37" s="11"/>
      <c r="H37" s="22"/>
      <c r="I37" s="11" t="s">
        <v>598</v>
      </c>
      <c r="J37" s="22" t="s">
        <v>1633</v>
      </c>
      <c r="K37" s="22"/>
    </row>
    <row r="38" customFormat="false" ht="15" hidden="false" customHeight="false" outlineLevel="0" collapsed="false">
      <c r="A38" s="22" t="s">
        <v>1533</v>
      </c>
      <c r="B38" s="11" t="n">
        <v>18</v>
      </c>
      <c r="C38" s="22" t="s">
        <v>1634</v>
      </c>
      <c r="D38" s="21" t="s">
        <v>1635</v>
      </c>
      <c r="E38" s="11" t="s">
        <v>1636</v>
      </c>
      <c r="F38" s="11"/>
      <c r="G38" s="11"/>
      <c r="H38" s="22"/>
      <c r="I38" s="11" t="s">
        <v>598</v>
      </c>
      <c r="J38" s="21" t="s">
        <v>1637</v>
      </c>
      <c r="K38" s="22"/>
    </row>
    <row r="39" customFormat="false" ht="15" hidden="false" customHeight="false" outlineLevel="0" collapsed="false">
      <c r="A39" s="22" t="s">
        <v>1533</v>
      </c>
      <c r="B39" s="11" t="n">
        <v>19</v>
      </c>
      <c r="C39" s="22" t="s">
        <v>1638</v>
      </c>
      <c r="D39" s="21" t="s">
        <v>1639</v>
      </c>
      <c r="E39" s="11" t="s">
        <v>1608</v>
      </c>
      <c r="F39" s="11"/>
      <c r="G39" s="11"/>
      <c r="H39" s="22" t="s">
        <v>1640</v>
      </c>
      <c r="I39" s="11" t="s">
        <v>598</v>
      </c>
      <c r="J39" s="22"/>
      <c r="K39" s="22"/>
    </row>
    <row r="40" customFormat="false" ht="15" hidden="false" customHeight="false" outlineLevel="0" collapsed="false">
      <c r="A40" s="22" t="s">
        <v>1533</v>
      </c>
      <c r="B40" s="11" t="n">
        <v>20</v>
      </c>
      <c r="C40" s="22" t="s">
        <v>1641</v>
      </c>
      <c r="D40" s="21" t="s">
        <v>1642</v>
      </c>
      <c r="E40" s="11" t="s">
        <v>1636</v>
      </c>
      <c r="F40" s="11"/>
      <c r="G40" s="11"/>
      <c r="H40" s="22"/>
      <c r="I40" s="11" t="s">
        <v>598</v>
      </c>
      <c r="J40" s="21" t="s">
        <v>1637</v>
      </c>
      <c r="K40" s="22"/>
    </row>
    <row r="41" customFormat="false" ht="15" hidden="false" customHeight="false" outlineLevel="0" collapsed="false">
      <c r="A41" s="22" t="s">
        <v>1533</v>
      </c>
      <c r="B41" s="11" t="n">
        <v>21</v>
      </c>
      <c r="C41" s="22" t="s">
        <v>1643</v>
      </c>
      <c r="D41" s="21" t="s">
        <v>1644</v>
      </c>
      <c r="E41" s="11" t="s">
        <v>1608</v>
      </c>
      <c r="F41" s="11"/>
      <c r="G41" s="11"/>
      <c r="H41" s="22" t="s">
        <v>1640</v>
      </c>
      <c r="I41" s="11" t="s">
        <v>598</v>
      </c>
      <c r="J41" s="22"/>
      <c r="K41" s="22"/>
    </row>
    <row r="42" customFormat="false" ht="15" hidden="false" customHeight="false" outlineLevel="0" collapsed="false">
      <c r="A42" s="22" t="s">
        <v>1533</v>
      </c>
      <c r="B42" s="11" t="n">
        <v>22</v>
      </c>
      <c r="C42" s="22" t="s">
        <v>1645</v>
      </c>
      <c r="D42" s="21" t="s">
        <v>2</v>
      </c>
      <c r="E42" s="11" t="s">
        <v>1646</v>
      </c>
      <c r="F42" s="11"/>
      <c r="G42" s="11"/>
      <c r="H42" s="22"/>
      <c r="I42" s="11" t="s">
        <v>598</v>
      </c>
      <c r="J42" s="22" t="s">
        <v>1647</v>
      </c>
      <c r="K42" s="21" t="s">
        <v>1648</v>
      </c>
    </row>
    <row r="43" customFormat="false" ht="15" hidden="false" customHeight="true" outlineLevel="0" collapsed="false">
      <c r="A43" s="30" t="s">
        <v>1535</v>
      </c>
      <c r="B43" s="31" t="s">
        <v>1689</v>
      </c>
      <c r="C43" s="31"/>
      <c r="D43" s="31"/>
      <c r="E43" s="31"/>
      <c r="F43" s="31"/>
      <c r="G43" s="31"/>
      <c r="H43" s="31"/>
      <c r="I43" s="31"/>
      <c r="J43" s="31"/>
      <c r="K43" s="31"/>
    </row>
    <row r="44" customFormat="false" ht="15" hidden="false" customHeight="false" outlineLevel="0" collapsed="false">
      <c r="A44" s="22" t="s">
        <v>1535</v>
      </c>
      <c r="B44" s="11" t="n">
        <v>1</v>
      </c>
      <c r="C44" s="22" t="s">
        <v>1606</v>
      </c>
      <c r="D44" s="21" t="s">
        <v>1690</v>
      </c>
      <c r="E44" s="11" t="s">
        <v>1608</v>
      </c>
      <c r="F44" s="11"/>
      <c r="G44" s="11" t="s">
        <v>598</v>
      </c>
      <c r="H44" s="22"/>
      <c r="I44" s="11" t="s">
        <v>598</v>
      </c>
      <c r="J44" s="21" t="s">
        <v>1609</v>
      </c>
      <c r="K44" s="22"/>
    </row>
    <row r="45" customFormat="false" ht="15" hidden="false" customHeight="false" outlineLevel="0" collapsed="false">
      <c r="A45" s="22" t="s">
        <v>1535</v>
      </c>
      <c r="B45" s="11" t="n">
        <v>2</v>
      </c>
      <c r="C45" s="22" t="s">
        <v>1691</v>
      </c>
      <c r="D45" s="21" t="s">
        <v>1692</v>
      </c>
      <c r="E45" s="11" t="s">
        <v>1611</v>
      </c>
      <c r="F45" s="11" t="s">
        <v>599</v>
      </c>
      <c r="G45" s="11"/>
      <c r="H45" s="22"/>
      <c r="I45" s="11" t="s">
        <v>598</v>
      </c>
      <c r="J45" s="22"/>
      <c r="K45" s="21" t="s">
        <v>601</v>
      </c>
    </row>
    <row r="46" customFormat="false" ht="15" hidden="false" customHeight="false" outlineLevel="0" collapsed="false">
      <c r="A46" s="22" t="s">
        <v>1535</v>
      </c>
      <c r="B46" s="11" t="n">
        <v>3</v>
      </c>
      <c r="C46" s="22" t="s">
        <v>1612</v>
      </c>
      <c r="D46" s="21" t="s">
        <v>1693</v>
      </c>
      <c r="E46" s="11" t="s">
        <v>1611</v>
      </c>
      <c r="F46" s="11" t="s">
        <v>615</v>
      </c>
      <c r="G46" s="11"/>
      <c r="H46" s="22"/>
      <c r="I46" s="11" t="s">
        <v>598</v>
      </c>
      <c r="J46" s="22"/>
      <c r="K46" s="22"/>
    </row>
    <row r="47" customFormat="false" ht="15" hidden="false" customHeight="false" outlineLevel="0" collapsed="false">
      <c r="A47" s="22" t="s">
        <v>1535</v>
      </c>
      <c r="B47" s="11" t="n">
        <v>4</v>
      </c>
      <c r="C47" s="22" t="s">
        <v>1694</v>
      </c>
      <c r="D47" s="21" t="s">
        <v>649</v>
      </c>
      <c r="E47" s="11" t="s">
        <v>1611</v>
      </c>
      <c r="F47" s="11" t="s">
        <v>599</v>
      </c>
      <c r="G47" s="11"/>
      <c r="H47" s="22"/>
      <c r="I47" s="11" t="s">
        <v>598</v>
      </c>
      <c r="J47" s="22"/>
      <c r="K47" s="21" t="s">
        <v>1695</v>
      </c>
    </row>
    <row r="48" customFormat="false" ht="15" hidden="false" customHeight="false" outlineLevel="0" collapsed="false">
      <c r="A48" s="22" t="s">
        <v>1535</v>
      </c>
      <c r="B48" s="11" t="n">
        <v>5</v>
      </c>
      <c r="C48" s="22" t="s">
        <v>1696</v>
      </c>
      <c r="D48" s="21" t="s">
        <v>652</v>
      </c>
      <c r="E48" s="11" t="s">
        <v>1611</v>
      </c>
      <c r="F48" s="11" t="s">
        <v>599</v>
      </c>
      <c r="G48" s="11"/>
      <c r="H48" s="22"/>
      <c r="I48" s="11"/>
      <c r="J48" s="22"/>
      <c r="K48" s="21" t="s">
        <v>1697</v>
      </c>
    </row>
    <row r="49" customFormat="false" ht="15" hidden="false" customHeight="false" outlineLevel="0" collapsed="false">
      <c r="A49" s="22" t="s">
        <v>1535</v>
      </c>
      <c r="B49" s="11" t="n">
        <v>6</v>
      </c>
      <c r="C49" s="22" t="s">
        <v>1698</v>
      </c>
      <c r="D49" s="21" t="s">
        <v>1699</v>
      </c>
      <c r="E49" s="11" t="s">
        <v>1611</v>
      </c>
      <c r="F49" s="11" t="s">
        <v>728</v>
      </c>
      <c r="G49" s="11"/>
      <c r="H49" s="22"/>
      <c r="I49" s="11"/>
      <c r="J49" s="22"/>
      <c r="K49" s="22"/>
    </row>
    <row r="50" customFormat="false" ht="15" hidden="false" customHeight="false" outlineLevel="0" collapsed="false">
      <c r="A50" s="22" t="s">
        <v>1535</v>
      </c>
      <c r="B50" s="11" t="n">
        <v>7</v>
      </c>
      <c r="C50" s="22" t="s">
        <v>1621</v>
      </c>
      <c r="D50" s="21" t="s">
        <v>1622</v>
      </c>
      <c r="E50" s="11" t="s">
        <v>1611</v>
      </c>
      <c r="F50" s="11" t="s">
        <v>728</v>
      </c>
      <c r="G50" s="11"/>
      <c r="H50" s="22"/>
      <c r="I50" s="11"/>
      <c r="J50" s="22"/>
      <c r="K50" s="21" t="s">
        <v>1700</v>
      </c>
    </row>
    <row r="51" customFormat="false" ht="15" hidden="false" customHeight="false" outlineLevel="0" collapsed="false">
      <c r="A51" s="22" t="s">
        <v>1535</v>
      </c>
      <c r="B51" s="11" t="n">
        <v>8</v>
      </c>
      <c r="C51" s="22" t="s">
        <v>1701</v>
      </c>
      <c r="D51" s="21" t="s">
        <v>1702</v>
      </c>
      <c r="E51" s="11" t="s">
        <v>1611</v>
      </c>
      <c r="F51" s="11" t="s">
        <v>1703</v>
      </c>
      <c r="G51" s="11"/>
      <c r="H51" s="22"/>
      <c r="I51" s="11"/>
      <c r="J51" s="22"/>
      <c r="K51" s="22"/>
    </row>
    <row r="52" customFormat="false" ht="15" hidden="false" customHeight="false" outlineLevel="0" collapsed="false">
      <c r="A52" s="22" t="s">
        <v>1535</v>
      </c>
      <c r="B52" s="11" t="n">
        <v>9</v>
      </c>
      <c r="C52" s="22" t="s">
        <v>1619</v>
      </c>
      <c r="D52" s="21" t="s">
        <v>1620</v>
      </c>
      <c r="E52" s="11" t="s">
        <v>1611</v>
      </c>
      <c r="F52" s="11" t="s">
        <v>1018</v>
      </c>
      <c r="G52" s="11"/>
      <c r="H52" s="22"/>
      <c r="I52" s="11" t="s">
        <v>598</v>
      </c>
      <c r="J52" s="22"/>
      <c r="K52" s="22"/>
    </row>
    <row r="53" customFormat="false" ht="15" hidden="false" customHeight="false" outlineLevel="0" collapsed="false">
      <c r="A53" s="22" t="s">
        <v>1535</v>
      </c>
      <c r="B53" s="11" t="n">
        <v>10</v>
      </c>
      <c r="C53" s="22" t="s">
        <v>1623</v>
      </c>
      <c r="D53" s="21" t="s">
        <v>1624</v>
      </c>
      <c r="E53" s="11" t="s">
        <v>1611</v>
      </c>
      <c r="F53" s="11" t="s">
        <v>599</v>
      </c>
      <c r="G53" s="11"/>
      <c r="H53" s="22"/>
      <c r="I53" s="11"/>
      <c r="J53" s="22"/>
      <c r="K53" s="22"/>
    </row>
    <row r="54" customFormat="false" ht="15" hidden="false" customHeight="false" outlineLevel="0" collapsed="false">
      <c r="A54" s="22" t="s">
        <v>1535</v>
      </c>
      <c r="B54" s="11" t="n">
        <v>11</v>
      </c>
      <c r="C54" s="22" t="s">
        <v>1625</v>
      </c>
      <c r="D54" s="21" t="s">
        <v>1626</v>
      </c>
      <c r="E54" s="11" t="s">
        <v>1611</v>
      </c>
      <c r="F54" s="11" t="s">
        <v>1627</v>
      </c>
      <c r="G54" s="11"/>
      <c r="H54" s="22"/>
      <c r="I54" s="11"/>
      <c r="J54" s="22"/>
      <c r="K54" s="21" t="s">
        <v>1704</v>
      </c>
    </row>
    <row r="55" customFormat="false" ht="15" hidden="false" customHeight="false" outlineLevel="0" collapsed="false">
      <c r="A55" s="22" t="s">
        <v>1535</v>
      </c>
      <c r="B55" s="11" t="n">
        <v>12</v>
      </c>
      <c r="C55" s="22" t="s">
        <v>1705</v>
      </c>
      <c r="D55" s="21" t="s">
        <v>659</v>
      </c>
      <c r="E55" s="11" t="s">
        <v>1663</v>
      </c>
      <c r="F55" s="11" t="s">
        <v>660</v>
      </c>
      <c r="G55" s="11"/>
      <c r="H55" s="22"/>
      <c r="I55" s="11"/>
      <c r="J55" s="22"/>
      <c r="K55" s="21" t="s">
        <v>1706</v>
      </c>
    </row>
    <row r="56" customFormat="false" ht="15" hidden="false" customHeight="false" outlineLevel="0" collapsed="false">
      <c r="A56" s="22" t="s">
        <v>1535</v>
      </c>
      <c r="B56" s="11" t="n">
        <v>13</v>
      </c>
      <c r="C56" s="22" t="s">
        <v>1631</v>
      </c>
      <c r="D56" s="21" t="s">
        <v>606</v>
      </c>
      <c r="E56" s="11" t="s">
        <v>1632</v>
      </c>
      <c r="F56" s="11"/>
      <c r="G56" s="11"/>
      <c r="H56" s="22"/>
      <c r="I56" s="11" t="s">
        <v>598</v>
      </c>
      <c r="J56" s="22" t="s">
        <v>1633</v>
      </c>
      <c r="K56" s="22"/>
    </row>
    <row r="57" customFormat="false" ht="15" hidden="false" customHeight="false" outlineLevel="0" collapsed="false">
      <c r="A57" s="22" t="s">
        <v>1535</v>
      </c>
      <c r="B57" s="11" t="n">
        <v>14</v>
      </c>
      <c r="C57" s="22" t="s">
        <v>1634</v>
      </c>
      <c r="D57" s="21" t="s">
        <v>1635</v>
      </c>
      <c r="E57" s="11" t="s">
        <v>1636</v>
      </c>
      <c r="F57" s="11"/>
      <c r="G57" s="11"/>
      <c r="H57" s="22"/>
      <c r="I57" s="11" t="s">
        <v>598</v>
      </c>
      <c r="J57" s="21" t="s">
        <v>1637</v>
      </c>
      <c r="K57" s="22"/>
    </row>
    <row r="58" customFormat="false" ht="15" hidden="false" customHeight="false" outlineLevel="0" collapsed="false">
      <c r="A58" s="22" t="s">
        <v>1535</v>
      </c>
      <c r="B58" s="11" t="n">
        <v>15</v>
      </c>
      <c r="C58" s="22" t="s">
        <v>1638</v>
      </c>
      <c r="D58" s="21" t="s">
        <v>1639</v>
      </c>
      <c r="E58" s="11" t="s">
        <v>1608</v>
      </c>
      <c r="F58" s="11"/>
      <c r="G58" s="11"/>
      <c r="H58" s="22" t="s">
        <v>1640</v>
      </c>
      <c r="I58" s="11" t="s">
        <v>598</v>
      </c>
      <c r="J58" s="22"/>
      <c r="K58" s="22"/>
    </row>
    <row r="59" customFormat="false" ht="15" hidden="false" customHeight="false" outlineLevel="0" collapsed="false">
      <c r="A59" s="22" t="s">
        <v>1535</v>
      </c>
      <c r="B59" s="11" t="n">
        <v>16</v>
      </c>
      <c r="C59" s="22" t="s">
        <v>1641</v>
      </c>
      <c r="D59" s="21" t="s">
        <v>1642</v>
      </c>
      <c r="E59" s="11" t="s">
        <v>1636</v>
      </c>
      <c r="F59" s="11"/>
      <c r="G59" s="11"/>
      <c r="H59" s="22"/>
      <c r="I59" s="11" t="s">
        <v>598</v>
      </c>
      <c r="J59" s="21" t="s">
        <v>1637</v>
      </c>
      <c r="K59" s="22"/>
    </row>
    <row r="60" customFormat="false" ht="15" hidden="false" customHeight="false" outlineLevel="0" collapsed="false">
      <c r="A60" s="22" t="s">
        <v>1535</v>
      </c>
      <c r="B60" s="11" t="n">
        <v>17</v>
      </c>
      <c r="C60" s="22" t="s">
        <v>1643</v>
      </c>
      <c r="D60" s="21" t="s">
        <v>1644</v>
      </c>
      <c r="E60" s="11" t="s">
        <v>1608</v>
      </c>
      <c r="F60" s="11"/>
      <c r="G60" s="11"/>
      <c r="H60" s="22" t="s">
        <v>1640</v>
      </c>
      <c r="I60" s="11" t="s">
        <v>598</v>
      </c>
      <c r="J60" s="22"/>
      <c r="K60" s="22"/>
    </row>
    <row r="61" customFormat="false" ht="15" hidden="false" customHeight="false" outlineLevel="0" collapsed="false">
      <c r="A61" s="22" t="s">
        <v>1535</v>
      </c>
      <c r="B61" s="11" t="n">
        <v>18</v>
      </c>
      <c r="C61" s="22" t="s">
        <v>1645</v>
      </c>
      <c r="D61" s="21" t="s">
        <v>2</v>
      </c>
      <c r="E61" s="11" t="s">
        <v>1646</v>
      </c>
      <c r="F61" s="11"/>
      <c r="G61" s="11"/>
      <c r="H61" s="22"/>
      <c r="I61" s="11" t="s">
        <v>598</v>
      </c>
      <c r="J61" s="22" t="s">
        <v>1647</v>
      </c>
      <c r="K61" s="21" t="s">
        <v>1648</v>
      </c>
    </row>
    <row r="62" customFormat="false" ht="15" hidden="false" customHeight="true" outlineLevel="0" collapsed="false">
      <c r="A62" s="30" t="s">
        <v>665</v>
      </c>
      <c r="B62" s="31" t="s">
        <v>1707</v>
      </c>
      <c r="C62" s="31"/>
      <c r="D62" s="31"/>
      <c r="E62" s="31"/>
      <c r="F62" s="31"/>
      <c r="G62" s="31"/>
      <c r="H62" s="31"/>
      <c r="I62" s="31"/>
      <c r="J62" s="31"/>
      <c r="K62" s="31"/>
    </row>
    <row r="63" customFormat="false" ht="15" hidden="false" customHeight="false" outlineLevel="0" collapsed="false">
      <c r="A63" s="22" t="s">
        <v>665</v>
      </c>
      <c r="B63" s="11" t="n">
        <v>1</v>
      </c>
      <c r="C63" s="22" t="s">
        <v>1606</v>
      </c>
      <c r="D63" s="21" t="s">
        <v>1708</v>
      </c>
      <c r="E63" s="11" t="s">
        <v>1608</v>
      </c>
      <c r="F63" s="11"/>
      <c r="G63" s="11" t="s">
        <v>598</v>
      </c>
      <c r="H63" s="22"/>
      <c r="I63" s="11" t="s">
        <v>598</v>
      </c>
      <c r="J63" s="21" t="s">
        <v>1609</v>
      </c>
      <c r="K63" s="22"/>
    </row>
    <row r="64" customFormat="false" ht="15" hidden="false" customHeight="false" outlineLevel="0" collapsed="false">
      <c r="A64" s="22" t="s">
        <v>665</v>
      </c>
      <c r="B64" s="11" t="n">
        <v>2</v>
      </c>
      <c r="C64" s="22" t="s">
        <v>1709</v>
      </c>
      <c r="D64" s="21" t="s">
        <v>1690</v>
      </c>
      <c r="E64" s="11" t="s">
        <v>1608</v>
      </c>
      <c r="F64" s="11"/>
      <c r="G64" s="11"/>
      <c r="H64" s="22" t="s">
        <v>980</v>
      </c>
      <c r="I64" s="11" t="s">
        <v>598</v>
      </c>
      <c r="J64" s="22"/>
      <c r="K64" s="22"/>
    </row>
    <row r="65" customFormat="false" ht="15" hidden="false" customHeight="false" outlineLevel="0" collapsed="false">
      <c r="A65" s="22" t="s">
        <v>665</v>
      </c>
      <c r="B65" s="11" t="n">
        <v>3</v>
      </c>
      <c r="C65" s="22" t="s">
        <v>1612</v>
      </c>
      <c r="D65" s="21" t="s">
        <v>1710</v>
      </c>
      <c r="E65" s="11" t="s">
        <v>1611</v>
      </c>
      <c r="F65" s="11" t="s">
        <v>615</v>
      </c>
      <c r="G65" s="11"/>
      <c r="H65" s="22"/>
      <c r="I65" s="11" t="s">
        <v>598</v>
      </c>
      <c r="J65" s="22"/>
      <c r="K65" s="22"/>
    </row>
    <row r="66" customFormat="false" ht="15" hidden="false" customHeight="false" outlineLevel="0" collapsed="false">
      <c r="A66" s="22" t="s">
        <v>665</v>
      </c>
      <c r="B66" s="11" t="n">
        <v>4</v>
      </c>
      <c r="C66" s="22" t="s">
        <v>1701</v>
      </c>
      <c r="D66" s="21" t="s">
        <v>1702</v>
      </c>
      <c r="E66" s="11" t="s">
        <v>1611</v>
      </c>
      <c r="F66" s="11" t="s">
        <v>1703</v>
      </c>
      <c r="G66" s="11"/>
      <c r="H66" s="22"/>
      <c r="I66" s="11"/>
      <c r="J66" s="22"/>
      <c r="K66" s="22"/>
    </row>
    <row r="67" customFormat="false" ht="15" hidden="false" customHeight="false" outlineLevel="0" collapsed="false">
      <c r="A67" s="22" t="s">
        <v>665</v>
      </c>
      <c r="B67" s="11" t="n">
        <v>5</v>
      </c>
      <c r="C67" s="22" t="s">
        <v>1619</v>
      </c>
      <c r="D67" s="21" t="s">
        <v>1620</v>
      </c>
      <c r="E67" s="11" t="s">
        <v>1611</v>
      </c>
      <c r="F67" s="11" t="s">
        <v>1018</v>
      </c>
      <c r="G67" s="11"/>
      <c r="H67" s="22"/>
      <c r="I67" s="11" t="s">
        <v>598</v>
      </c>
      <c r="J67" s="22"/>
      <c r="K67" s="22"/>
    </row>
    <row r="68" customFormat="false" ht="15" hidden="false" customHeight="false" outlineLevel="0" collapsed="false">
      <c r="A68" s="22" t="s">
        <v>665</v>
      </c>
      <c r="B68" s="11" t="n">
        <v>6</v>
      </c>
      <c r="C68" s="22" t="s">
        <v>1623</v>
      </c>
      <c r="D68" s="21" t="s">
        <v>1624</v>
      </c>
      <c r="E68" s="11" t="s">
        <v>1611</v>
      </c>
      <c r="F68" s="11" t="s">
        <v>599</v>
      </c>
      <c r="G68" s="11"/>
      <c r="H68" s="22"/>
      <c r="I68" s="11"/>
      <c r="J68" s="22"/>
      <c r="K68" s="22"/>
    </row>
    <row r="69" customFormat="false" ht="15" hidden="false" customHeight="false" outlineLevel="0" collapsed="false">
      <c r="A69" s="22" t="s">
        <v>665</v>
      </c>
      <c r="B69" s="11" t="n">
        <v>7</v>
      </c>
      <c r="C69" s="22" t="s">
        <v>1621</v>
      </c>
      <c r="D69" s="21" t="s">
        <v>1622</v>
      </c>
      <c r="E69" s="11" t="s">
        <v>1611</v>
      </c>
      <c r="F69" s="11" t="s">
        <v>728</v>
      </c>
      <c r="G69" s="11"/>
      <c r="H69" s="22"/>
      <c r="I69" s="11"/>
      <c r="J69" s="22"/>
      <c r="K69" s="21" t="s">
        <v>1711</v>
      </c>
    </row>
    <row r="70" customFormat="false" ht="15" hidden="false" customHeight="false" outlineLevel="0" collapsed="false">
      <c r="A70" s="22" t="s">
        <v>665</v>
      </c>
      <c r="B70" s="11" t="n">
        <v>8</v>
      </c>
      <c r="C70" s="22" t="s">
        <v>1625</v>
      </c>
      <c r="D70" s="21" t="s">
        <v>1626</v>
      </c>
      <c r="E70" s="11" t="s">
        <v>1611</v>
      </c>
      <c r="F70" s="11" t="s">
        <v>1627</v>
      </c>
      <c r="G70" s="11"/>
      <c r="H70" s="22"/>
      <c r="I70" s="11"/>
      <c r="J70" s="22"/>
      <c r="K70" s="21" t="s">
        <v>1704</v>
      </c>
    </row>
    <row r="71" customFormat="false" ht="15" hidden="false" customHeight="false" outlineLevel="0" collapsed="false">
      <c r="A71" s="22" t="s">
        <v>665</v>
      </c>
      <c r="B71" s="11" t="n">
        <v>9</v>
      </c>
      <c r="C71" s="22" t="s">
        <v>1712</v>
      </c>
      <c r="D71" s="21" t="s">
        <v>1713</v>
      </c>
      <c r="E71" s="11" t="s">
        <v>1632</v>
      </c>
      <c r="F71" s="11"/>
      <c r="G71" s="11"/>
      <c r="H71" s="22"/>
      <c r="I71" s="11" t="s">
        <v>598</v>
      </c>
      <c r="J71" s="22" t="s">
        <v>1714</v>
      </c>
      <c r="K71" s="21" t="s">
        <v>1715</v>
      </c>
    </row>
    <row r="72" customFormat="false" ht="15" hidden="false" customHeight="false" outlineLevel="0" collapsed="false">
      <c r="A72" s="22" t="s">
        <v>665</v>
      </c>
      <c r="B72" s="11" t="n">
        <v>10</v>
      </c>
      <c r="C72" s="22" t="s">
        <v>1631</v>
      </c>
      <c r="D72" s="21" t="s">
        <v>606</v>
      </c>
      <c r="E72" s="11" t="s">
        <v>1632</v>
      </c>
      <c r="F72" s="11"/>
      <c r="G72" s="11"/>
      <c r="H72" s="22"/>
      <c r="I72" s="11" t="s">
        <v>598</v>
      </c>
      <c r="J72" s="22" t="s">
        <v>1633</v>
      </c>
      <c r="K72" s="22"/>
    </row>
    <row r="73" customFormat="false" ht="15" hidden="false" customHeight="false" outlineLevel="0" collapsed="false">
      <c r="A73" s="22" t="s">
        <v>665</v>
      </c>
      <c r="B73" s="11" t="n">
        <v>11</v>
      </c>
      <c r="C73" s="22" t="s">
        <v>1634</v>
      </c>
      <c r="D73" s="21" t="s">
        <v>1635</v>
      </c>
      <c r="E73" s="11" t="s">
        <v>1636</v>
      </c>
      <c r="F73" s="11"/>
      <c r="G73" s="11"/>
      <c r="H73" s="22"/>
      <c r="I73" s="11" t="s">
        <v>598</v>
      </c>
      <c r="J73" s="21" t="s">
        <v>1637</v>
      </c>
      <c r="K73" s="22"/>
    </row>
    <row r="74" customFormat="false" ht="15" hidden="false" customHeight="false" outlineLevel="0" collapsed="false">
      <c r="A74" s="22" t="s">
        <v>665</v>
      </c>
      <c r="B74" s="11" t="n">
        <v>12</v>
      </c>
      <c r="C74" s="22" t="s">
        <v>1638</v>
      </c>
      <c r="D74" s="21" t="s">
        <v>1639</v>
      </c>
      <c r="E74" s="11" t="s">
        <v>1608</v>
      </c>
      <c r="F74" s="11"/>
      <c r="G74" s="11"/>
      <c r="H74" s="22" t="s">
        <v>1640</v>
      </c>
      <c r="I74" s="11" t="s">
        <v>598</v>
      </c>
      <c r="J74" s="22"/>
      <c r="K74" s="22"/>
    </row>
    <row r="75" customFormat="false" ht="15" hidden="false" customHeight="false" outlineLevel="0" collapsed="false">
      <c r="A75" s="22" t="s">
        <v>665</v>
      </c>
      <c r="B75" s="11" t="n">
        <v>13</v>
      </c>
      <c r="C75" s="22" t="s">
        <v>1641</v>
      </c>
      <c r="D75" s="21" t="s">
        <v>1642</v>
      </c>
      <c r="E75" s="11" t="s">
        <v>1636</v>
      </c>
      <c r="F75" s="11"/>
      <c r="G75" s="11"/>
      <c r="H75" s="22"/>
      <c r="I75" s="11" t="s">
        <v>598</v>
      </c>
      <c r="J75" s="21" t="s">
        <v>1637</v>
      </c>
      <c r="K75" s="22"/>
    </row>
    <row r="76" customFormat="false" ht="15" hidden="false" customHeight="false" outlineLevel="0" collapsed="false">
      <c r="A76" s="22" t="s">
        <v>665</v>
      </c>
      <c r="B76" s="11" t="n">
        <v>14</v>
      </c>
      <c r="C76" s="22" t="s">
        <v>1643</v>
      </c>
      <c r="D76" s="21" t="s">
        <v>1644</v>
      </c>
      <c r="E76" s="11" t="s">
        <v>1608</v>
      </c>
      <c r="F76" s="11"/>
      <c r="G76" s="11"/>
      <c r="H76" s="22" t="s">
        <v>1640</v>
      </c>
      <c r="I76" s="11" t="s">
        <v>598</v>
      </c>
      <c r="J76" s="22"/>
      <c r="K76" s="22"/>
    </row>
    <row r="77" customFormat="false" ht="15" hidden="false" customHeight="false" outlineLevel="0" collapsed="false">
      <c r="A77" s="22" t="s">
        <v>665</v>
      </c>
      <c r="B77" s="11" t="n">
        <v>15</v>
      </c>
      <c r="C77" s="22" t="s">
        <v>1645</v>
      </c>
      <c r="D77" s="21" t="s">
        <v>2</v>
      </c>
      <c r="E77" s="11" t="s">
        <v>1646</v>
      </c>
      <c r="F77" s="11"/>
      <c r="G77" s="11"/>
      <c r="H77" s="22"/>
      <c r="I77" s="11" t="s">
        <v>598</v>
      </c>
      <c r="J77" s="22" t="s">
        <v>1647</v>
      </c>
      <c r="K77" s="21" t="s">
        <v>1648</v>
      </c>
    </row>
    <row r="78" customFormat="false" ht="15" hidden="false" customHeight="true" outlineLevel="0" collapsed="false">
      <c r="A78" s="30" t="s">
        <v>1538</v>
      </c>
      <c r="B78" s="31" t="s">
        <v>1716</v>
      </c>
      <c r="C78" s="31"/>
      <c r="D78" s="31"/>
      <c r="E78" s="31"/>
      <c r="F78" s="31"/>
      <c r="G78" s="31"/>
      <c r="H78" s="31"/>
      <c r="I78" s="31"/>
      <c r="J78" s="31"/>
      <c r="K78" s="31"/>
    </row>
    <row r="79" customFormat="false" ht="15" hidden="false" customHeight="false" outlineLevel="0" collapsed="false">
      <c r="A79" s="22" t="s">
        <v>1538</v>
      </c>
      <c r="B79" s="11" t="n">
        <v>1</v>
      </c>
      <c r="C79" s="22" t="s">
        <v>1606</v>
      </c>
      <c r="D79" s="21" t="s">
        <v>1717</v>
      </c>
      <c r="E79" s="11" t="s">
        <v>1608</v>
      </c>
      <c r="F79" s="11"/>
      <c r="G79" s="11" t="s">
        <v>598</v>
      </c>
      <c r="H79" s="22"/>
      <c r="I79" s="11" t="s">
        <v>598</v>
      </c>
      <c r="J79" s="21" t="s">
        <v>1609</v>
      </c>
      <c r="K79" s="22"/>
    </row>
    <row r="80" customFormat="false" ht="15" hidden="false" customHeight="false" outlineLevel="0" collapsed="false">
      <c r="A80" s="22" t="s">
        <v>1538</v>
      </c>
      <c r="B80" s="11" t="n">
        <v>2</v>
      </c>
      <c r="C80" s="22" t="s">
        <v>1718</v>
      </c>
      <c r="D80" s="21" t="s">
        <v>1719</v>
      </c>
      <c r="E80" s="11" t="s">
        <v>1611</v>
      </c>
      <c r="F80" s="11" t="s">
        <v>599</v>
      </c>
      <c r="G80" s="11"/>
      <c r="H80" s="22"/>
      <c r="I80" s="11" t="s">
        <v>598</v>
      </c>
      <c r="J80" s="22"/>
      <c r="K80" s="21" t="s">
        <v>601</v>
      </c>
    </row>
    <row r="81" customFormat="false" ht="15" hidden="false" customHeight="false" outlineLevel="0" collapsed="false">
      <c r="A81" s="22" t="s">
        <v>1538</v>
      </c>
      <c r="B81" s="11" t="n">
        <v>3</v>
      </c>
      <c r="C81" s="22" t="s">
        <v>1612</v>
      </c>
      <c r="D81" s="21" t="s">
        <v>1720</v>
      </c>
      <c r="E81" s="11" t="s">
        <v>1611</v>
      </c>
      <c r="F81" s="11" t="s">
        <v>728</v>
      </c>
      <c r="G81" s="11"/>
      <c r="H81" s="22"/>
      <c r="I81" s="11" t="s">
        <v>598</v>
      </c>
      <c r="J81" s="22"/>
      <c r="K81" s="21" t="s">
        <v>1721</v>
      </c>
    </row>
    <row r="82" customFormat="false" ht="15" hidden="false" customHeight="false" outlineLevel="0" collapsed="false">
      <c r="A82" s="22" t="s">
        <v>1538</v>
      </c>
      <c r="B82" s="11" t="n">
        <v>4</v>
      </c>
      <c r="C82" s="22" t="s">
        <v>1673</v>
      </c>
      <c r="D82" s="21" t="s">
        <v>626</v>
      </c>
      <c r="E82" s="11" t="s">
        <v>1611</v>
      </c>
      <c r="F82" s="11" t="s">
        <v>1670</v>
      </c>
      <c r="G82" s="11"/>
      <c r="H82" s="22"/>
      <c r="I82" s="11" t="s">
        <v>598</v>
      </c>
      <c r="J82" s="22"/>
      <c r="K82" s="21" t="s">
        <v>1722</v>
      </c>
    </row>
    <row r="83" customFormat="false" ht="15" hidden="false" customHeight="false" outlineLevel="0" collapsed="false">
      <c r="A83" s="22" t="s">
        <v>1538</v>
      </c>
      <c r="B83" s="11" t="n">
        <v>5</v>
      </c>
      <c r="C83" s="22" t="s">
        <v>1723</v>
      </c>
      <c r="D83" s="21" t="s">
        <v>1724</v>
      </c>
      <c r="E83" s="11" t="s">
        <v>1663</v>
      </c>
      <c r="F83" s="11" t="s">
        <v>678</v>
      </c>
      <c r="G83" s="11"/>
      <c r="H83" s="22"/>
      <c r="I83" s="11" t="s">
        <v>598</v>
      </c>
      <c r="J83" s="22"/>
      <c r="K83" s="22"/>
    </row>
    <row r="84" customFormat="false" ht="15" hidden="false" customHeight="false" outlineLevel="0" collapsed="false">
      <c r="A84" s="22" t="s">
        <v>1538</v>
      </c>
      <c r="B84" s="11" t="n">
        <v>6</v>
      </c>
      <c r="C84" s="22" t="s">
        <v>1725</v>
      </c>
      <c r="D84" s="21" t="s">
        <v>1726</v>
      </c>
      <c r="E84" s="11" t="s">
        <v>1663</v>
      </c>
      <c r="F84" s="11" t="s">
        <v>678</v>
      </c>
      <c r="G84" s="11"/>
      <c r="H84" s="22"/>
      <c r="I84" s="11" t="s">
        <v>598</v>
      </c>
      <c r="J84" s="22"/>
      <c r="K84" s="22"/>
    </row>
    <row r="85" customFormat="false" ht="15" hidden="false" customHeight="false" outlineLevel="0" collapsed="false">
      <c r="A85" s="22" t="s">
        <v>1538</v>
      </c>
      <c r="B85" s="11" t="n">
        <v>7</v>
      </c>
      <c r="C85" s="22" t="s">
        <v>1727</v>
      </c>
      <c r="D85" s="21" t="s">
        <v>682</v>
      </c>
      <c r="E85" s="11" t="s">
        <v>1632</v>
      </c>
      <c r="F85" s="11"/>
      <c r="G85" s="11"/>
      <c r="H85" s="22"/>
      <c r="I85" s="11" t="s">
        <v>598</v>
      </c>
      <c r="J85" s="22" t="s">
        <v>1714</v>
      </c>
      <c r="K85" s="21" t="s">
        <v>1728</v>
      </c>
    </row>
    <row r="86" customFormat="false" ht="15" hidden="false" customHeight="false" outlineLevel="0" collapsed="false">
      <c r="A86" s="22" t="s">
        <v>1538</v>
      </c>
      <c r="B86" s="11" t="n">
        <v>8</v>
      </c>
      <c r="C86" s="22" t="s">
        <v>1631</v>
      </c>
      <c r="D86" s="21" t="s">
        <v>606</v>
      </c>
      <c r="E86" s="11" t="s">
        <v>1632</v>
      </c>
      <c r="F86" s="11"/>
      <c r="G86" s="11"/>
      <c r="H86" s="22"/>
      <c r="I86" s="11" t="s">
        <v>598</v>
      </c>
      <c r="J86" s="22" t="s">
        <v>1633</v>
      </c>
      <c r="K86" s="22"/>
    </row>
    <row r="87" customFormat="false" ht="15" hidden="false" customHeight="false" outlineLevel="0" collapsed="false">
      <c r="A87" s="22" t="s">
        <v>1538</v>
      </c>
      <c r="B87" s="11" t="n">
        <v>9</v>
      </c>
      <c r="C87" s="22" t="s">
        <v>1634</v>
      </c>
      <c r="D87" s="21" t="s">
        <v>1635</v>
      </c>
      <c r="E87" s="11" t="s">
        <v>1636</v>
      </c>
      <c r="F87" s="11"/>
      <c r="G87" s="11"/>
      <c r="H87" s="22"/>
      <c r="I87" s="11" t="s">
        <v>598</v>
      </c>
      <c r="J87" s="21" t="s">
        <v>1637</v>
      </c>
      <c r="K87" s="22"/>
    </row>
    <row r="88" customFormat="false" ht="15" hidden="false" customHeight="false" outlineLevel="0" collapsed="false">
      <c r="A88" s="22" t="s">
        <v>1538</v>
      </c>
      <c r="B88" s="11" t="n">
        <v>10</v>
      </c>
      <c r="C88" s="22" t="s">
        <v>1638</v>
      </c>
      <c r="D88" s="21" t="s">
        <v>1639</v>
      </c>
      <c r="E88" s="11" t="s">
        <v>1608</v>
      </c>
      <c r="F88" s="11"/>
      <c r="G88" s="11"/>
      <c r="H88" s="22" t="s">
        <v>1640</v>
      </c>
      <c r="I88" s="11" t="s">
        <v>598</v>
      </c>
      <c r="J88" s="22"/>
      <c r="K88" s="22"/>
    </row>
    <row r="89" customFormat="false" ht="15" hidden="false" customHeight="false" outlineLevel="0" collapsed="false">
      <c r="A89" s="22" t="s">
        <v>1538</v>
      </c>
      <c r="B89" s="11" t="n">
        <v>11</v>
      </c>
      <c r="C89" s="22" t="s">
        <v>1641</v>
      </c>
      <c r="D89" s="21" t="s">
        <v>1642</v>
      </c>
      <c r="E89" s="11" t="s">
        <v>1636</v>
      </c>
      <c r="F89" s="11"/>
      <c r="G89" s="11"/>
      <c r="H89" s="22"/>
      <c r="I89" s="11" t="s">
        <v>598</v>
      </c>
      <c r="J89" s="21" t="s">
        <v>1637</v>
      </c>
      <c r="K89" s="22"/>
    </row>
    <row r="90" customFormat="false" ht="15" hidden="false" customHeight="false" outlineLevel="0" collapsed="false">
      <c r="A90" s="22" t="s">
        <v>1538</v>
      </c>
      <c r="B90" s="11" t="n">
        <v>12</v>
      </c>
      <c r="C90" s="22" t="s">
        <v>1643</v>
      </c>
      <c r="D90" s="21" t="s">
        <v>1644</v>
      </c>
      <c r="E90" s="11" t="s">
        <v>1608</v>
      </c>
      <c r="F90" s="11"/>
      <c r="G90" s="11"/>
      <c r="H90" s="22" t="s">
        <v>1640</v>
      </c>
      <c r="I90" s="11" t="s">
        <v>598</v>
      </c>
      <c r="J90" s="22"/>
      <c r="K90" s="22"/>
    </row>
    <row r="91" customFormat="false" ht="15" hidden="false" customHeight="false" outlineLevel="0" collapsed="false">
      <c r="A91" s="22" t="s">
        <v>1538</v>
      </c>
      <c r="B91" s="11" t="n">
        <v>13</v>
      </c>
      <c r="C91" s="22" t="s">
        <v>1645</v>
      </c>
      <c r="D91" s="21" t="s">
        <v>2</v>
      </c>
      <c r="E91" s="11" t="s">
        <v>1646</v>
      </c>
      <c r="F91" s="11"/>
      <c r="G91" s="11"/>
      <c r="H91" s="22"/>
      <c r="I91" s="11" t="s">
        <v>598</v>
      </c>
      <c r="J91" s="22" t="s">
        <v>1647</v>
      </c>
      <c r="K91" s="21" t="s">
        <v>1648</v>
      </c>
    </row>
    <row r="92" customFormat="false" ht="15" hidden="false" customHeight="true" outlineLevel="0" collapsed="false">
      <c r="A92" s="30" t="s">
        <v>1540</v>
      </c>
      <c r="B92" s="31" t="s">
        <v>1729</v>
      </c>
      <c r="C92" s="31"/>
      <c r="D92" s="31"/>
      <c r="E92" s="31"/>
      <c r="F92" s="31"/>
      <c r="G92" s="31"/>
      <c r="H92" s="31"/>
      <c r="I92" s="31"/>
      <c r="J92" s="31"/>
      <c r="K92" s="31"/>
    </row>
    <row r="93" customFormat="false" ht="15" hidden="false" customHeight="false" outlineLevel="0" collapsed="false">
      <c r="A93" s="22" t="s">
        <v>1540</v>
      </c>
      <c r="B93" s="11" t="n">
        <v>1</v>
      </c>
      <c r="C93" s="22" t="s">
        <v>1606</v>
      </c>
      <c r="D93" s="21" t="s">
        <v>1730</v>
      </c>
      <c r="E93" s="11" t="s">
        <v>1608</v>
      </c>
      <c r="F93" s="11"/>
      <c r="G93" s="11" t="s">
        <v>598</v>
      </c>
      <c r="H93" s="22"/>
      <c r="I93" s="11" t="s">
        <v>598</v>
      </c>
      <c r="J93" s="21" t="s">
        <v>1609</v>
      </c>
      <c r="K93" s="22"/>
    </row>
    <row r="94" customFormat="false" ht="15" hidden="false" customHeight="false" outlineLevel="0" collapsed="false">
      <c r="A94" s="22" t="s">
        <v>1540</v>
      </c>
      <c r="B94" s="11" t="n">
        <v>2</v>
      </c>
      <c r="C94" s="22" t="s">
        <v>1679</v>
      </c>
      <c r="D94" s="21" t="s">
        <v>638</v>
      </c>
      <c r="E94" s="11" t="s">
        <v>1611</v>
      </c>
      <c r="F94" s="11" t="s">
        <v>599</v>
      </c>
      <c r="G94" s="11"/>
      <c r="H94" s="22"/>
      <c r="I94" s="11" t="s">
        <v>598</v>
      </c>
      <c r="J94" s="22"/>
      <c r="K94" s="22" t="s">
        <v>1731</v>
      </c>
    </row>
    <row r="95" customFormat="false" ht="15" hidden="false" customHeight="false" outlineLevel="0" collapsed="false">
      <c r="A95" s="22" t="s">
        <v>1540</v>
      </c>
      <c r="B95" s="11" t="n">
        <v>3</v>
      </c>
      <c r="C95" s="22" t="s">
        <v>1694</v>
      </c>
      <c r="D95" s="21" t="s">
        <v>649</v>
      </c>
      <c r="E95" s="11" t="s">
        <v>1611</v>
      </c>
      <c r="F95" s="11" t="s">
        <v>599</v>
      </c>
      <c r="G95" s="11"/>
      <c r="H95" s="22"/>
      <c r="I95" s="11" t="s">
        <v>598</v>
      </c>
      <c r="J95" s="22"/>
      <c r="K95" s="22" t="s">
        <v>1732</v>
      </c>
    </row>
    <row r="96" customFormat="false" ht="15" hidden="false" customHeight="false" outlineLevel="0" collapsed="false">
      <c r="A96" s="22" t="s">
        <v>1540</v>
      </c>
      <c r="B96" s="11" t="n">
        <v>4</v>
      </c>
      <c r="C96" s="22" t="s">
        <v>1733</v>
      </c>
      <c r="D96" s="21" t="s">
        <v>1734</v>
      </c>
      <c r="E96" s="11" t="s">
        <v>1632</v>
      </c>
      <c r="F96" s="11"/>
      <c r="G96" s="11"/>
      <c r="H96" s="22"/>
      <c r="I96" s="11" t="s">
        <v>598</v>
      </c>
      <c r="J96" s="22" t="s">
        <v>1714</v>
      </c>
      <c r="K96" s="22" t="s">
        <v>1735</v>
      </c>
    </row>
    <row r="97" customFormat="false" ht="15" hidden="false" customHeight="false" outlineLevel="0" collapsed="false">
      <c r="A97" s="22" t="s">
        <v>1540</v>
      </c>
      <c r="B97" s="11" t="n">
        <v>5</v>
      </c>
      <c r="C97" s="22" t="s">
        <v>1634</v>
      </c>
      <c r="D97" s="21" t="s">
        <v>1635</v>
      </c>
      <c r="E97" s="11" t="s">
        <v>1636</v>
      </c>
      <c r="F97" s="11"/>
      <c r="G97" s="11"/>
      <c r="H97" s="22"/>
      <c r="I97" s="11" t="s">
        <v>598</v>
      </c>
      <c r="J97" s="21" t="s">
        <v>1637</v>
      </c>
      <c r="K97" s="22"/>
    </row>
    <row r="98" customFormat="false" ht="15" hidden="false" customHeight="false" outlineLevel="0" collapsed="false">
      <c r="A98" s="22" t="s">
        <v>1540</v>
      </c>
      <c r="B98" s="11" t="n">
        <v>6</v>
      </c>
      <c r="C98" s="22" t="s">
        <v>1638</v>
      </c>
      <c r="D98" s="21" t="s">
        <v>1639</v>
      </c>
      <c r="E98" s="11" t="s">
        <v>1608</v>
      </c>
      <c r="F98" s="11"/>
      <c r="G98" s="11"/>
      <c r="H98" s="22" t="s">
        <v>1640</v>
      </c>
      <c r="I98" s="11" t="s">
        <v>598</v>
      </c>
      <c r="J98" s="22"/>
      <c r="K98" s="22"/>
    </row>
    <row r="99" customFormat="false" ht="15" hidden="false" customHeight="false" outlineLevel="0" collapsed="false">
      <c r="A99" s="22" t="s">
        <v>1540</v>
      </c>
      <c r="B99" s="11" t="n">
        <v>7</v>
      </c>
      <c r="C99" s="22" t="s">
        <v>1641</v>
      </c>
      <c r="D99" s="21" t="s">
        <v>1642</v>
      </c>
      <c r="E99" s="11" t="s">
        <v>1636</v>
      </c>
      <c r="F99" s="11"/>
      <c r="G99" s="11"/>
      <c r="H99" s="22"/>
      <c r="I99" s="11" t="s">
        <v>598</v>
      </c>
      <c r="J99" s="21" t="s">
        <v>1637</v>
      </c>
      <c r="K99" s="22"/>
    </row>
    <row r="100" customFormat="false" ht="15" hidden="false" customHeight="false" outlineLevel="0" collapsed="false">
      <c r="A100" s="22" t="s">
        <v>1540</v>
      </c>
      <c r="B100" s="11" t="n">
        <v>8</v>
      </c>
      <c r="C100" s="22" t="s">
        <v>1643</v>
      </c>
      <c r="D100" s="21" t="s">
        <v>1644</v>
      </c>
      <c r="E100" s="11" t="s">
        <v>1608</v>
      </c>
      <c r="F100" s="11"/>
      <c r="G100" s="11"/>
      <c r="H100" s="22" t="s">
        <v>1640</v>
      </c>
      <c r="I100" s="11" t="s">
        <v>598</v>
      </c>
      <c r="J100" s="22"/>
      <c r="K100" s="22"/>
    </row>
    <row r="101" customFormat="false" ht="15" hidden="false" customHeight="false" outlineLevel="0" collapsed="false">
      <c r="A101" s="22" t="s">
        <v>1540</v>
      </c>
      <c r="B101" s="11" t="n">
        <v>9</v>
      </c>
      <c r="C101" s="22" t="s">
        <v>1645</v>
      </c>
      <c r="D101" s="21" t="s">
        <v>2</v>
      </c>
      <c r="E101" s="11" t="s">
        <v>1646</v>
      </c>
      <c r="F101" s="11"/>
      <c r="G101" s="11"/>
      <c r="H101" s="22"/>
      <c r="I101" s="11" t="s">
        <v>598</v>
      </c>
      <c r="J101" s="22" t="s">
        <v>1647</v>
      </c>
      <c r="K101" s="21" t="s">
        <v>1648</v>
      </c>
    </row>
    <row r="102" customFormat="false" ht="15" hidden="false" customHeight="true" outlineLevel="0" collapsed="false">
      <c r="A102" s="30" t="s">
        <v>1542</v>
      </c>
      <c r="B102" s="31" t="s">
        <v>1736</v>
      </c>
      <c r="C102" s="31"/>
      <c r="D102" s="31"/>
      <c r="E102" s="31"/>
      <c r="F102" s="31"/>
      <c r="G102" s="31"/>
      <c r="H102" s="31"/>
      <c r="I102" s="31"/>
      <c r="J102" s="31"/>
      <c r="K102" s="31"/>
    </row>
    <row r="103" customFormat="false" ht="15" hidden="false" customHeight="false" outlineLevel="0" collapsed="false">
      <c r="A103" s="22" t="s">
        <v>1542</v>
      </c>
      <c r="B103" s="11" t="n">
        <v>1</v>
      </c>
      <c r="C103" s="22" t="s">
        <v>1606</v>
      </c>
      <c r="D103" s="21" t="s">
        <v>1737</v>
      </c>
      <c r="E103" s="11" t="s">
        <v>1608</v>
      </c>
      <c r="F103" s="11"/>
      <c r="G103" s="11" t="s">
        <v>598</v>
      </c>
      <c r="H103" s="22"/>
      <c r="I103" s="11" t="s">
        <v>598</v>
      </c>
      <c r="J103" s="21" t="s">
        <v>1609</v>
      </c>
      <c r="K103" s="22"/>
    </row>
    <row r="104" customFormat="false" ht="15" hidden="false" customHeight="false" outlineLevel="0" collapsed="false">
      <c r="A104" s="22" t="s">
        <v>1542</v>
      </c>
      <c r="B104" s="11" t="n">
        <v>2</v>
      </c>
      <c r="C104" s="22" t="s">
        <v>1625</v>
      </c>
      <c r="D104" s="21" t="s">
        <v>1738</v>
      </c>
      <c r="E104" s="11" t="s">
        <v>1611</v>
      </c>
      <c r="F104" s="11" t="s">
        <v>1627</v>
      </c>
      <c r="G104" s="11"/>
      <c r="H104" s="22"/>
      <c r="I104" s="11" t="s">
        <v>598</v>
      </c>
      <c r="J104" s="22"/>
      <c r="K104" s="21" t="s">
        <v>601</v>
      </c>
    </row>
    <row r="105" customFormat="false" ht="15" hidden="false" customHeight="false" outlineLevel="0" collapsed="false">
      <c r="A105" s="22" t="s">
        <v>1542</v>
      </c>
      <c r="B105" s="11" t="n">
        <v>3</v>
      </c>
      <c r="C105" s="22" t="s">
        <v>1612</v>
      </c>
      <c r="D105" s="21" t="s">
        <v>1739</v>
      </c>
      <c r="E105" s="11" t="s">
        <v>1611</v>
      </c>
      <c r="F105" s="11" t="s">
        <v>728</v>
      </c>
      <c r="G105" s="11"/>
      <c r="H105" s="22"/>
      <c r="I105" s="11" t="s">
        <v>598</v>
      </c>
      <c r="J105" s="22"/>
      <c r="K105" s="22"/>
    </row>
    <row r="106" customFormat="false" ht="15" hidden="false" customHeight="false" outlineLevel="0" collapsed="false">
      <c r="A106" s="22" t="s">
        <v>1542</v>
      </c>
      <c r="B106" s="11" t="n">
        <v>4</v>
      </c>
      <c r="C106" s="22" t="s">
        <v>1740</v>
      </c>
      <c r="D106" s="21" t="s">
        <v>692</v>
      </c>
      <c r="E106" s="11" t="s">
        <v>1611</v>
      </c>
      <c r="F106" s="11" t="s">
        <v>599</v>
      </c>
      <c r="G106" s="11"/>
      <c r="H106" s="22"/>
      <c r="I106" s="11" t="s">
        <v>598</v>
      </c>
      <c r="J106" s="22"/>
      <c r="K106" s="21" t="s">
        <v>1741</v>
      </c>
    </row>
    <row r="107" customFormat="false" ht="15" hidden="false" customHeight="false" outlineLevel="0" collapsed="false">
      <c r="A107" s="22" t="s">
        <v>1542</v>
      </c>
      <c r="B107" s="11" t="n">
        <v>5</v>
      </c>
      <c r="C107" s="22" t="s">
        <v>1742</v>
      </c>
      <c r="D107" s="21" t="s">
        <v>1743</v>
      </c>
      <c r="E107" s="11" t="s">
        <v>1611</v>
      </c>
      <c r="F107" s="11" t="s">
        <v>1744</v>
      </c>
      <c r="G107" s="11"/>
      <c r="H107" s="22"/>
      <c r="I107" s="11" t="s">
        <v>598</v>
      </c>
      <c r="J107" s="22"/>
      <c r="K107" s="22" t="s">
        <v>1745</v>
      </c>
    </row>
    <row r="108" customFormat="false" ht="15" hidden="false" customHeight="false" outlineLevel="0" collapsed="false">
      <c r="A108" s="22" t="s">
        <v>1542</v>
      </c>
      <c r="B108" s="11" t="n">
        <v>6</v>
      </c>
      <c r="C108" s="22" t="s">
        <v>1746</v>
      </c>
      <c r="D108" s="22" t="s">
        <v>1747</v>
      </c>
      <c r="E108" s="11" t="s">
        <v>1611</v>
      </c>
      <c r="F108" s="11" t="s">
        <v>1744</v>
      </c>
      <c r="G108" s="11"/>
      <c r="H108" s="22"/>
      <c r="I108" s="11"/>
      <c r="J108" s="22"/>
      <c r="K108" s="21" t="s">
        <v>1748</v>
      </c>
    </row>
    <row r="109" customFormat="false" ht="15" hidden="false" customHeight="false" outlineLevel="0" collapsed="false">
      <c r="A109" s="22" t="s">
        <v>1542</v>
      </c>
      <c r="B109" s="11" t="n">
        <v>7</v>
      </c>
      <c r="C109" s="22" t="s">
        <v>1749</v>
      </c>
      <c r="D109" s="21" t="s">
        <v>1750</v>
      </c>
      <c r="E109" s="11" t="s">
        <v>1646</v>
      </c>
      <c r="F109" s="11"/>
      <c r="G109" s="11"/>
      <c r="H109" s="22"/>
      <c r="I109" s="11" t="s">
        <v>598</v>
      </c>
      <c r="J109" s="22" t="s">
        <v>1014</v>
      </c>
      <c r="K109" s="22" t="s">
        <v>1751</v>
      </c>
    </row>
    <row r="110" customFormat="false" ht="15" hidden="false" customHeight="false" outlineLevel="0" collapsed="false">
      <c r="A110" s="22" t="s">
        <v>1542</v>
      </c>
      <c r="B110" s="11" t="n">
        <v>8</v>
      </c>
      <c r="C110" s="22" t="s">
        <v>1631</v>
      </c>
      <c r="D110" s="21" t="s">
        <v>606</v>
      </c>
      <c r="E110" s="11" t="s">
        <v>1632</v>
      </c>
      <c r="F110" s="11"/>
      <c r="G110" s="11"/>
      <c r="H110" s="22"/>
      <c r="I110" s="11" t="s">
        <v>598</v>
      </c>
      <c r="J110" s="22" t="s">
        <v>1633</v>
      </c>
      <c r="K110" s="22"/>
    </row>
    <row r="111" customFormat="false" ht="15" hidden="false" customHeight="false" outlineLevel="0" collapsed="false">
      <c r="A111" s="22" t="s">
        <v>1542</v>
      </c>
      <c r="B111" s="11" t="n">
        <v>9</v>
      </c>
      <c r="C111" s="22" t="s">
        <v>1634</v>
      </c>
      <c r="D111" s="21" t="s">
        <v>1635</v>
      </c>
      <c r="E111" s="11" t="s">
        <v>1636</v>
      </c>
      <c r="F111" s="11"/>
      <c r="G111" s="11"/>
      <c r="H111" s="22"/>
      <c r="I111" s="11" t="s">
        <v>598</v>
      </c>
      <c r="J111" s="21" t="s">
        <v>1637</v>
      </c>
      <c r="K111" s="22"/>
    </row>
    <row r="112" customFormat="false" ht="15" hidden="false" customHeight="false" outlineLevel="0" collapsed="false">
      <c r="A112" s="22" t="s">
        <v>1542</v>
      </c>
      <c r="B112" s="11" t="n">
        <v>10</v>
      </c>
      <c r="C112" s="22" t="s">
        <v>1638</v>
      </c>
      <c r="D112" s="21" t="s">
        <v>1639</v>
      </c>
      <c r="E112" s="11" t="s">
        <v>1608</v>
      </c>
      <c r="F112" s="11"/>
      <c r="G112" s="11"/>
      <c r="H112" s="22" t="s">
        <v>1640</v>
      </c>
      <c r="I112" s="11" t="s">
        <v>598</v>
      </c>
      <c r="J112" s="22"/>
      <c r="K112" s="22"/>
    </row>
    <row r="113" customFormat="false" ht="15" hidden="false" customHeight="false" outlineLevel="0" collapsed="false">
      <c r="A113" s="22" t="s">
        <v>1542</v>
      </c>
      <c r="B113" s="11" t="n">
        <v>11</v>
      </c>
      <c r="C113" s="22" t="s">
        <v>1641</v>
      </c>
      <c r="D113" s="21" t="s">
        <v>1642</v>
      </c>
      <c r="E113" s="11" t="s">
        <v>1636</v>
      </c>
      <c r="F113" s="11"/>
      <c r="G113" s="11"/>
      <c r="H113" s="22"/>
      <c r="I113" s="11" t="s">
        <v>598</v>
      </c>
      <c r="J113" s="21" t="s">
        <v>1637</v>
      </c>
      <c r="K113" s="22"/>
    </row>
    <row r="114" customFormat="false" ht="15" hidden="false" customHeight="false" outlineLevel="0" collapsed="false">
      <c r="A114" s="22" t="s">
        <v>1542</v>
      </c>
      <c r="B114" s="11" t="n">
        <v>12</v>
      </c>
      <c r="C114" s="22" t="s">
        <v>1643</v>
      </c>
      <c r="D114" s="21" t="s">
        <v>1644</v>
      </c>
      <c r="E114" s="11" t="s">
        <v>1608</v>
      </c>
      <c r="F114" s="11"/>
      <c r="G114" s="11"/>
      <c r="H114" s="22" t="s">
        <v>1640</v>
      </c>
      <c r="I114" s="11" t="s">
        <v>598</v>
      </c>
      <c r="J114" s="22"/>
      <c r="K114" s="22"/>
    </row>
    <row r="115" customFormat="false" ht="15" hidden="false" customHeight="false" outlineLevel="0" collapsed="false">
      <c r="A115" s="22" t="s">
        <v>1542</v>
      </c>
      <c r="B115" s="11" t="n">
        <v>13</v>
      </c>
      <c r="C115" s="22" t="s">
        <v>1645</v>
      </c>
      <c r="D115" s="21" t="s">
        <v>2</v>
      </c>
      <c r="E115" s="11" t="s">
        <v>1646</v>
      </c>
      <c r="F115" s="11"/>
      <c r="G115" s="11"/>
      <c r="H115" s="22"/>
      <c r="I115" s="11" t="s">
        <v>598</v>
      </c>
      <c r="J115" s="22" t="s">
        <v>1647</v>
      </c>
      <c r="K115" s="21" t="s">
        <v>1648</v>
      </c>
    </row>
    <row r="116" customFormat="false" ht="15" hidden="false" customHeight="true" outlineLevel="0" collapsed="false">
      <c r="A116" s="30" t="s">
        <v>583</v>
      </c>
      <c r="B116" s="31" t="s">
        <v>1752</v>
      </c>
      <c r="C116" s="31"/>
      <c r="D116" s="31"/>
      <c r="E116" s="31"/>
      <c r="F116" s="31"/>
      <c r="G116" s="31"/>
      <c r="H116" s="31"/>
      <c r="I116" s="31"/>
      <c r="J116" s="31"/>
      <c r="K116" s="31"/>
    </row>
    <row r="117" customFormat="false" ht="15" hidden="false" customHeight="false" outlineLevel="0" collapsed="false">
      <c r="A117" s="22" t="s">
        <v>583</v>
      </c>
      <c r="B117" s="11" t="n">
        <v>1</v>
      </c>
      <c r="C117" s="22" t="s">
        <v>1606</v>
      </c>
      <c r="D117" s="21" t="s">
        <v>1753</v>
      </c>
      <c r="E117" s="11" t="s">
        <v>1608</v>
      </c>
      <c r="F117" s="11"/>
      <c r="G117" s="11" t="s">
        <v>598</v>
      </c>
      <c r="H117" s="22"/>
      <c r="I117" s="11" t="s">
        <v>598</v>
      </c>
      <c r="J117" s="21" t="s">
        <v>1609</v>
      </c>
      <c r="K117" s="22"/>
    </row>
    <row r="118" customFormat="false" ht="15" hidden="false" customHeight="false" outlineLevel="0" collapsed="false">
      <c r="A118" s="22" t="s">
        <v>583</v>
      </c>
      <c r="B118" s="11" t="n">
        <v>2</v>
      </c>
      <c r="C118" s="22" t="s">
        <v>1754</v>
      </c>
      <c r="D118" s="21" t="s">
        <v>707</v>
      </c>
      <c r="E118" s="11" t="s">
        <v>1611</v>
      </c>
      <c r="F118" s="11" t="s">
        <v>599</v>
      </c>
      <c r="G118" s="11"/>
      <c r="H118" s="22"/>
      <c r="I118" s="11" t="s">
        <v>598</v>
      </c>
      <c r="J118" s="22"/>
      <c r="K118" s="22" t="s">
        <v>1755</v>
      </c>
    </row>
    <row r="119" customFormat="false" ht="15" hidden="false" customHeight="false" outlineLevel="0" collapsed="false">
      <c r="A119" s="22" t="s">
        <v>583</v>
      </c>
      <c r="B119" s="11" t="n">
        <v>3</v>
      </c>
      <c r="C119" s="22" t="s">
        <v>1652</v>
      </c>
      <c r="D119" s="21" t="s">
        <v>1607</v>
      </c>
      <c r="E119" s="11" t="s">
        <v>1608</v>
      </c>
      <c r="F119" s="11"/>
      <c r="G119" s="11"/>
      <c r="H119" s="22" t="s">
        <v>1654</v>
      </c>
      <c r="I119" s="11" t="s">
        <v>598</v>
      </c>
      <c r="J119" s="22"/>
      <c r="K119" s="22"/>
    </row>
    <row r="120" customFormat="false" ht="15" hidden="false" customHeight="false" outlineLevel="0" collapsed="false">
      <c r="A120" s="22" t="s">
        <v>583</v>
      </c>
      <c r="B120" s="11" t="n">
        <v>4</v>
      </c>
      <c r="C120" s="22" t="s">
        <v>1756</v>
      </c>
      <c r="D120" s="21" t="s">
        <v>1757</v>
      </c>
      <c r="E120" s="11" t="s">
        <v>1758</v>
      </c>
      <c r="F120" s="11"/>
      <c r="G120" s="11"/>
      <c r="H120" s="22"/>
      <c r="I120" s="11" t="s">
        <v>598</v>
      </c>
      <c r="J120" s="22"/>
      <c r="K120" s="22"/>
    </row>
    <row r="121" customFormat="false" ht="15" hidden="false" customHeight="false" outlineLevel="0" collapsed="false">
      <c r="A121" s="22" t="s">
        <v>583</v>
      </c>
      <c r="B121" s="11" t="n">
        <v>5</v>
      </c>
      <c r="C121" s="22" t="s">
        <v>1759</v>
      </c>
      <c r="D121" s="21" t="s">
        <v>1760</v>
      </c>
      <c r="E121" s="11" t="s">
        <v>1758</v>
      </c>
      <c r="F121" s="11"/>
      <c r="G121" s="11"/>
      <c r="H121" s="22"/>
      <c r="I121" s="11"/>
      <c r="J121" s="22"/>
      <c r="K121" s="22"/>
    </row>
    <row r="122" customFormat="false" ht="26.85" hidden="false" customHeight="false" outlineLevel="0" collapsed="false">
      <c r="A122" s="22" t="s">
        <v>583</v>
      </c>
      <c r="B122" s="11" t="n">
        <v>6</v>
      </c>
      <c r="C122" s="22" t="s">
        <v>1761</v>
      </c>
      <c r="D122" s="21" t="s">
        <v>794</v>
      </c>
      <c r="E122" s="11" t="s">
        <v>1611</v>
      </c>
      <c r="F122" s="11" t="s">
        <v>599</v>
      </c>
      <c r="G122" s="11"/>
      <c r="H122" s="22"/>
      <c r="I122" s="11" t="s">
        <v>598</v>
      </c>
      <c r="J122" s="22" t="s">
        <v>1762</v>
      </c>
      <c r="K122" s="22" t="s">
        <v>1763</v>
      </c>
    </row>
    <row r="123" customFormat="false" ht="15" hidden="false" customHeight="false" outlineLevel="0" collapsed="false">
      <c r="A123" s="22" t="s">
        <v>583</v>
      </c>
      <c r="B123" s="11" t="n">
        <v>7</v>
      </c>
      <c r="C123" s="22" t="s">
        <v>1764</v>
      </c>
      <c r="D123" s="21" t="s">
        <v>1765</v>
      </c>
      <c r="E123" s="11" t="s">
        <v>1608</v>
      </c>
      <c r="F123" s="11"/>
      <c r="G123" s="11"/>
      <c r="H123" s="22" t="s">
        <v>1640</v>
      </c>
      <c r="I123" s="11"/>
      <c r="J123" s="22"/>
      <c r="K123" s="22"/>
    </row>
    <row r="124" customFormat="false" ht="15" hidden="false" customHeight="false" outlineLevel="0" collapsed="false">
      <c r="A124" s="22" t="s">
        <v>583</v>
      </c>
      <c r="B124" s="11" t="n">
        <v>8</v>
      </c>
      <c r="C124" s="22" t="s">
        <v>1766</v>
      </c>
      <c r="D124" s="21" t="s">
        <v>1767</v>
      </c>
      <c r="E124" s="11" t="s">
        <v>1636</v>
      </c>
      <c r="F124" s="11"/>
      <c r="G124" s="11"/>
      <c r="H124" s="22"/>
      <c r="I124" s="11"/>
      <c r="J124" s="22"/>
      <c r="K124" s="22"/>
    </row>
    <row r="125" customFormat="false" ht="15" hidden="false" customHeight="false" outlineLevel="0" collapsed="false">
      <c r="A125" s="22" t="s">
        <v>583</v>
      </c>
      <c r="B125" s="11" t="n">
        <v>9</v>
      </c>
      <c r="C125" s="22" t="s">
        <v>1768</v>
      </c>
      <c r="D125" s="21" t="s">
        <v>1604</v>
      </c>
      <c r="E125" s="11" t="s">
        <v>1769</v>
      </c>
      <c r="F125" s="11"/>
      <c r="G125" s="11"/>
      <c r="H125" s="22"/>
      <c r="I125" s="11"/>
      <c r="J125" s="22"/>
      <c r="K125" s="22"/>
    </row>
    <row r="126" customFormat="false" ht="15" hidden="false" customHeight="false" outlineLevel="0" collapsed="false">
      <c r="A126" s="22" t="s">
        <v>583</v>
      </c>
      <c r="B126" s="11" t="n">
        <v>10</v>
      </c>
      <c r="C126" s="22" t="s">
        <v>1634</v>
      </c>
      <c r="D126" s="21" t="s">
        <v>1635</v>
      </c>
      <c r="E126" s="11" t="s">
        <v>1636</v>
      </c>
      <c r="F126" s="11"/>
      <c r="G126" s="11"/>
      <c r="H126" s="22"/>
      <c r="I126" s="11" t="s">
        <v>598</v>
      </c>
      <c r="J126" s="21" t="s">
        <v>1637</v>
      </c>
      <c r="K126" s="22"/>
    </row>
    <row r="127" customFormat="false" ht="15" hidden="false" customHeight="false" outlineLevel="0" collapsed="false">
      <c r="A127" s="22" t="s">
        <v>583</v>
      </c>
      <c r="B127" s="11" t="n">
        <v>11</v>
      </c>
      <c r="C127" s="22" t="s">
        <v>1638</v>
      </c>
      <c r="D127" s="21" t="s">
        <v>1639</v>
      </c>
      <c r="E127" s="11" t="s">
        <v>1608</v>
      </c>
      <c r="F127" s="11"/>
      <c r="G127" s="11"/>
      <c r="H127" s="22" t="s">
        <v>1640</v>
      </c>
      <c r="I127" s="11" t="s">
        <v>598</v>
      </c>
      <c r="J127" s="22"/>
      <c r="K127" s="22"/>
    </row>
    <row r="128" customFormat="false" ht="15" hidden="false" customHeight="false" outlineLevel="0" collapsed="false">
      <c r="A128" s="22" t="s">
        <v>583</v>
      </c>
      <c r="B128" s="11" t="n">
        <v>12</v>
      </c>
      <c r="C128" s="22" t="s">
        <v>1641</v>
      </c>
      <c r="D128" s="21" t="s">
        <v>1642</v>
      </c>
      <c r="E128" s="11" t="s">
        <v>1636</v>
      </c>
      <c r="F128" s="11"/>
      <c r="G128" s="11"/>
      <c r="H128" s="22"/>
      <c r="I128" s="11" t="s">
        <v>598</v>
      </c>
      <c r="J128" s="21" t="s">
        <v>1637</v>
      </c>
      <c r="K128" s="22"/>
    </row>
    <row r="129" customFormat="false" ht="15" hidden="false" customHeight="false" outlineLevel="0" collapsed="false">
      <c r="A129" s="22" t="s">
        <v>583</v>
      </c>
      <c r="B129" s="11" t="n">
        <v>13</v>
      </c>
      <c r="C129" s="22" t="s">
        <v>1643</v>
      </c>
      <c r="D129" s="21" t="s">
        <v>1644</v>
      </c>
      <c r="E129" s="11" t="s">
        <v>1608</v>
      </c>
      <c r="F129" s="11"/>
      <c r="G129" s="11"/>
      <c r="H129" s="22" t="s">
        <v>1640</v>
      </c>
      <c r="I129" s="11" t="s">
        <v>598</v>
      </c>
      <c r="J129" s="22"/>
      <c r="K129" s="22"/>
    </row>
    <row r="130" customFormat="false" ht="15" hidden="false" customHeight="false" outlineLevel="0" collapsed="false">
      <c r="A130" s="22" t="s">
        <v>583</v>
      </c>
      <c r="B130" s="11" t="n">
        <v>14</v>
      </c>
      <c r="C130" s="22" t="s">
        <v>1645</v>
      </c>
      <c r="D130" s="21" t="s">
        <v>2</v>
      </c>
      <c r="E130" s="11" t="s">
        <v>1646</v>
      </c>
      <c r="F130" s="11"/>
      <c r="G130" s="11"/>
      <c r="H130" s="22"/>
      <c r="I130" s="11" t="s">
        <v>598</v>
      </c>
      <c r="J130" s="22" t="s">
        <v>1647</v>
      </c>
      <c r="K130" s="21" t="s">
        <v>1648</v>
      </c>
    </row>
    <row r="131" customFormat="false" ht="15" hidden="false" customHeight="true" outlineLevel="0" collapsed="false">
      <c r="A131" s="30" t="s">
        <v>1548</v>
      </c>
      <c r="B131" s="31" t="s">
        <v>1770</v>
      </c>
      <c r="C131" s="31"/>
      <c r="D131" s="31"/>
      <c r="E131" s="31"/>
      <c r="F131" s="31"/>
      <c r="G131" s="31"/>
      <c r="H131" s="31"/>
      <c r="I131" s="31"/>
      <c r="J131" s="31"/>
      <c r="K131" s="31"/>
    </row>
    <row r="132" customFormat="false" ht="15" hidden="false" customHeight="false" outlineLevel="0" collapsed="false">
      <c r="A132" s="22" t="s">
        <v>1548</v>
      </c>
      <c r="B132" s="11" t="n">
        <v>1</v>
      </c>
      <c r="C132" s="22" t="s">
        <v>1606</v>
      </c>
      <c r="D132" s="21" t="s">
        <v>1771</v>
      </c>
      <c r="E132" s="11" t="s">
        <v>1608</v>
      </c>
      <c r="F132" s="11"/>
      <c r="G132" s="11" t="s">
        <v>598</v>
      </c>
      <c r="H132" s="22"/>
      <c r="I132" s="11" t="s">
        <v>598</v>
      </c>
      <c r="J132" s="21" t="s">
        <v>1609</v>
      </c>
      <c r="K132" s="22"/>
    </row>
    <row r="133" customFormat="false" ht="15" hidden="false" customHeight="false" outlineLevel="0" collapsed="false">
      <c r="A133" s="22" t="s">
        <v>1548</v>
      </c>
      <c r="B133" s="11" t="n">
        <v>2</v>
      </c>
      <c r="C133" s="22" t="s">
        <v>1772</v>
      </c>
      <c r="D133" s="21" t="s">
        <v>1753</v>
      </c>
      <c r="E133" s="11" t="s">
        <v>1608</v>
      </c>
      <c r="F133" s="11"/>
      <c r="G133" s="11"/>
      <c r="H133" s="22" t="s">
        <v>1773</v>
      </c>
      <c r="I133" s="11" t="s">
        <v>598</v>
      </c>
      <c r="J133" s="22"/>
      <c r="K133" s="22"/>
    </row>
    <row r="134" customFormat="false" ht="15" hidden="false" customHeight="false" outlineLevel="0" collapsed="false">
      <c r="A134" s="22" t="s">
        <v>1548</v>
      </c>
      <c r="B134" s="11" t="n">
        <v>3</v>
      </c>
      <c r="C134" s="22" t="s">
        <v>1774</v>
      </c>
      <c r="D134" s="21" t="s">
        <v>1775</v>
      </c>
      <c r="E134" s="11" t="s">
        <v>1646</v>
      </c>
      <c r="F134" s="11"/>
      <c r="G134" s="11"/>
      <c r="H134" s="22"/>
      <c r="I134" s="11" t="s">
        <v>598</v>
      </c>
      <c r="J134" s="22"/>
      <c r="K134" s="22"/>
    </row>
    <row r="135" customFormat="false" ht="15" hidden="false" customHeight="false" outlineLevel="0" collapsed="false">
      <c r="A135" s="22" t="s">
        <v>1548</v>
      </c>
      <c r="B135" s="11" t="n">
        <v>4</v>
      </c>
      <c r="C135" s="22" t="s">
        <v>1776</v>
      </c>
      <c r="D135" s="21" t="s">
        <v>1650</v>
      </c>
      <c r="E135" s="11" t="s">
        <v>1608</v>
      </c>
      <c r="F135" s="11"/>
      <c r="G135" s="11"/>
      <c r="H135" s="22" t="s">
        <v>1777</v>
      </c>
      <c r="I135" s="11" t="s">
        <v>598</v>
      </c>
      <c r="J135" s="22"/>
      <c r="K135" s="22"/>
    </row>
    <row r="136" customFormat="false" ht="15" hidden="false" customHeight="false" outlineLevel="0" collapsed="false">
      <c r="A136" s="22" t="s">
        <v>1548</v>
      </c>
      <c r="B136" s="11" t="n">
        <v>5</v>
      </c>
      <c r="C136" s="22" t="s">
        <v>1778</v>
      </c>
      <c r="D136" s="21" t="s">
        <v>1779</v>
      </c>
      <c r="E136" s="11" t="s">
        <v>1646</v>
      </c>
      <c r="F136" s="11"/>
      <c r="G136" s="11"/>
      <c r="H136" s="22"/>
      <c r="I136" s="11" t="s">
        <v>598</v>
      </c>
      <c r="J136" s="22"/>
      <c r="K136" s="22" t="s">
        <v>1780</v>
      </c>
    </row>
    <row r="137" customFormat="false" ht="15" hidden="false" customHeight="false" outlineLevel="0" collapsed="false">
      <c r="A137" s="22" t="s">
        <v>1548</v>
      </c>
      <c r="B137" s="11" t="n">
        <v>6</v>
      </c>
      <c r="C137" s="22" t="s">
        <v>1781</v>
      </c>
      <c r="D137" s="21" t="s">
        <v>742</v>
      </c>
      <c r="E137" s="11" t="s">
        <v>1663</v>
      </c>
      <c r="F137" s="11" t="s">
        <v>743</v>
      </c>
      <c r="G137" s="11"/>
      <c r="H137" s="22"/>
      <c r="I137" s="11" t="s">
        <v>598</v>
      </c>
      <c r="J137" s="22"/>
      <c r="K137" s="21" t="s">
        <v>1685</v>
      </c>
    </row>
    <row r="138" customFormat="false" ht="15" hidden="false" customHeight="false" outlineLevel="0" collapsed="false">
      <c r="A138" s="22" t="s">
        <v>1548</v>
      </c>
      <c r="B138" s="11" t="n">
        <v>7</v>
      </c>
      <c r="C138" s="22" t="s">
        <v>1782</v>
      </c>
      <c r="D138" s="21" t="s">
        <v>1783</v>
      </c>
      <c r="E138" s="11" t="s">
        <v>1646</v>
      </c>
      <c r="F138" s="11"/>
      <c r="G138" s="11"/>
      <c r="H138" s="22"/>
      <c r="I138" s="11" t="s">
        <v>598</v>
      </c>
      <c r="J138" s="22" t="s">
        <v>1014</v>
      </c>
      <c r="K138" s="21" t="s">
        <v>1784</v>
      </c>
    </row>
    <row r="139" customFormat="false" ht="15" hidden="false" customHeight="false" outlineLevel="0" collapsed="false">
      <c r="A139" s="22" t="s">
        <v>1548</v>
      </c>
      <c r="B139" s="11" t="n">
        <v>8</v>
      </c>
      <c r="C139" s="22" t="s">
        <v>1634</v>
      </c>
      <c r="D139" s="21" t="s">
        <v>1635</v>
      </c>
      <c r="E139" s="11" t="s">
        <v>1636</v>
      </c>
      <c r="F139" s="11"/>
      <c r="G139" s="11"/>
      <c r="H139" s="22"/>
      <c r="I139" s="11" t="s">
        <v>598</v>
      </c>
      <c r="J139" s="21" t="s">
        <v>1637</v>
      </c>
      <c r="K139" s="22"/>
    </row>
    <row r="140" customFormat="false" ht="15" hidden="false" customHeight="false" outlineLevel="0" collapsed="false">
      <c r="A140" s="22" t="s">
        <v>1548</v>
      </c>
      <c r="B140" s="11" t="n">
        <v>9</v>
      </c>
      <c r="C140" s="22" t="s">
        <v>1638</v>
      </c>
      <c r="D140" s="21" t="s">
        <v>1639</v>
      </c>
      <c r="E140" s="11" t="s">
        <v>1608</v>
      </c>
      <c r="F140" s="11"/>
      <c r="G140" s="11"/>
      <c r="H140" s="22" t="s">
        <v>1640</v>
      </c>
      <c r="I140" s="11" t="s">
        <v>598</v>
      </c>
      <c r="J140" s="22"/>
      <c r="K140" s="22"/>
    </row>
    <row r="141" customFormat="false" ht="15" hidden="false" customHeight="false" outlineLevel="0" collapsed="false">
      <c r="A141" s="22" t="s">
        <v>1548</v>
      </c>
      <c r="B141" s="11" t="n">
        <v>10</v>
      </c>
      <c r="C141" s="22" t="s">
        <v>1641</v>
      </c>
      <c r="D141" s="21" t="s">
        <v>1642</v>
      </c>
      <c r="E141" s="11" t="s">
        <v>1636</v>
      </c>
      <c r="F141" s="11"/>
      <c r="G141" s="11"/>
      <c r="H141" s="22"/>
      <c r="I141" s="11" t="s">
        <v>598</v>
      </c>
      <c r="J141" s="21" t="s">
        <v>1637</v>
      </c>
      <c r="K141" s="22"/>
    </row>
    <row r="142" customFormat="false" ht="15" hidden="false" customHeight="false" outlineLevel="0" collapsed="false">
      <c r="A142" s="22" t="s">
        <v>1548</v>
      </c>
      <c r="B142" s="11" t="n">
        <v>11</v>
      </c>
      <c r="C142" s="22" t="s">
        <v>1643</v>
      </c>
      <c r="D142" s="21" t="s">
        <v>1644</v>
      </c>
      <c r="E142" s="11" t="s">
        <v>1608</v>
      </c>
      <c r="F142" s="11"/>
      <c r="G142" s="11"/>
      <c r="H142" s="22" t="s">
        <v>1640</v>
      </c>
      <c r="I142" s="11" t="s">
        <v>598</v>
      </c>
      <c r="J142" s="22"/>
      <c r="K142" s="22"/>
    </row>
    <row r="143" customFormat="false" ht="15" hidden="false" customHeight="false" outlineLevel="0" collapsed="false">
      <c r="A143" s="22" t="s">
        <v>1548</v>
      </c>
      <c r="B143" s="11" t="n">
        <v>12</v>
      </c>
      <c r="C143" s="22" t="s">
        <v>1645</v>
      </c>
      <c r="D143" s="21" t="s">
        <v>2</v>
      </c>
      <c r="E143" s="11" t="s">
        <v>1646</v>
      </c>
      <c r="F143" s="11"/>
      <c r="G143" s="11"/>
      <c r="H143" s="22"/>
      <c r="I143" s="11" t="s">
        <v>598</v>
      </c>
      <c r="J143" s="22" t="s">
        <v>1647</v>
      </c>
      <c r="K143" s="21" t="s">
        <v>1648</v>
      </c>
    </row>
    <row r="144" customFormat="false" ht="15" hidden="false" customHeight="true" outlineLevel="0" collapsed="false">
      <c r="A144" s="30" t="s">
        <v>1550</v>
      </c>
      <c r="B144" s="31" t="s">
        <v>1785</v>
      </c>
      <c r="C144" s="31"/>
      <c r="D144" s="31"/>
      <c r="E144" s="31"/>
      <c r="F144" s="31"/>
      <c r="G144" s="31"/>
      <c r="H144" s="31"/>
      <c r="I144" s="31"/>
      <c r="J144" s="31"/>
      <c r="K144" s="31"/>
    </row>
    <row r="145" customFormat="false" ht="15" hidden="false" customHeight="false" outlineLevel="0" collapsed="false">
      <c r="A145" s="22" t="s">
        <v>1550</v>
      </c>
      <c r="B145" s="11" t="n">
        <v>1</v>
      </c>
      <c r="C145" s="22" t="s">
        <v>1606</v>
      </c>
      <c r="D145" s="21" t="s">
        <v>1786</v>
      </c>
      <c r="E145" s="11" t="s">
        <v>1608</v>
      </c>
      <c r="F145" s="11"/>
      <c r="G145" s="11" t="s">
        <v>598</v>
      </c>
      <c r="H145" s="22"/>
      <c r="I145" s="11" t="s">
        <v>598</v>
      </c>
      <c r="J145" s="21" t="s">
        <v>1609</v>
      </c>
      <c r="K145" s="22"/>
    </row>
    <row r="146" customFormat="false" ht="15" hidden="false" customHeight="false" outlineLevel="0" collapsed="false">
      <c r="A146" s="22" t="s">
        <v>1550</v>
      </c>
      <c r="B146" s="11" t="n">
        <v>2</v>
      </c>
      <c r="C146" s="22" t="s">
        <v>1787</v>
      </c>
      <c r="D146" s="21" t="s">
        <v>1788</v>
      </c>
      <c r="E146" s="11" t="s">
        <v>1611</v>
      </c>
      <c r="F146" s="11" t="s">
        <v>599</v>
      </c>
      <c r="G146" s="11"/>
      <c r="H146" s="22"/>
      <c r="I146" s="11" t="s">
        <v>598</v>
      </c>
      <c r="J146" s="22"/>
      <c r="K146" s="22" t="s">
        <v>1789</v>
      </c>
    </row>
    <row r="147" customFormat="false" ht="15" hidden="false" customHeight="false" outlineLevel="0" collapsed="false">
      <c r="A147" s="22" t="s">
        <v>1550</v>
      </c>
      <c r="B147" s="11" t="n">
        <v>3</v>
      </c>
      <c r="C147" s="22" t="s">
        <v>1652</v>
      </c>
      <c r="D147" s="21" t="s">
        <v>1607</v>
      </c>
      <c r="E147" s="11" t="s">
        <v>1608</v>
      </c>
      <c r="F147" s="11"/>
      <c r="G147" s="11"/>
      <c r="H147" s="22" t="s">
        <v>1654</v>
      </c>
      <c r="I147" s="11" t="s">
        <v>598</v>
      </c>
      <c r="J147" s="22"/>
      <c r="K147" s="22"/>
    </row>
    <row r="148" customFormat="false" ht="15" hidden="false" customHeight="false" outlineLevel="0" collapsed="false">
      <c r="A148" s="22" t="s">
        <v>1550</v>
      </c>
      <c r="B148" s="11" t="n">
        <v>4</v>
      </c>
      <c r="C148" s="22" t="s">
        <v>1772</v>
      </c>
      <c r="D148" s="21" t="s">
        <v>1753</v>
      </c>
      <c r="E148" s="11" t="s">
        <v>1608</v>
      </c>
      <c r="F148" s="11"/>
      <c r="G148" s="11"/>
      <c r="H148" s="22" t="s">
        <v>1773</v>
      </c>
      <c r="I148" s="11"/>
      <c r="J148" s="22"/>
      <c r="K148" s="21" t="s">
        <v>1790</v>
      </c>
    </row>
    <row r="149" customFormat="false" ht="15" hidden="false" customHeight="false" outlineLevel="0" collapsed="false">
      <c r="A149" s="22" t="s">
        <v>1550</v>
      </c>
      <c r="B149" s="11" t="n">
        <v>5</v>
      </c>
      <c r="C149" s="22" t="s">
        <v>1791</v>
      </c>
      <c r="D149" s="21" t="s">
        <v>715</v>
      </c>
      <c r="E149" s="11" t="s">
        <v>1758</v>
      </c>
      <c r="F149" s="11"/>
      <c r="G149" s="11"/>
      <c r="H149" s="22"/>
      <c r="I149" s="11" t="s">
        <v>598</v>
      </c>
      <c r="J149" s="22"/>
      <c r="K149" s="22"/>
    </row>
    <row r="150" customFormat="false" ht="15" hidden="false" customHeight="false" outlineLevel="0" collapsed="false">
      <c r="A150" s="22" t="s">
        <v>1550</v>
      </c>
      <c r="B150" s="11" t="n">
        <v>6</v>
      </c>
      <c r="C150" s="22" t="s">
        <v>1761</v>
      </c>
      <c r="D150" s="21" t="s">
        <v>794</v>
      </c>
      <c r="E150" s="11" t="s">
        <v>1611</v>
      </c>
      <c r="F150" s="11" t="s">
        <v>599</v>
      </c>
      <c r="G150" s="11"/>
      <c r="H150" s="22"/>
      <c r="I150" s="11" t="s">
        <v>598</v>
      </c>
      <c r="J150" s="22" t="s">
        <v>1762</v>
      </c>
      <c r="K150" s="22" t="s">
        <v>1792</v>
      </c>
    </row>
    <row r="151" customFormat="false" ht="15" hidden="false" customHeight="false" outlineLevel="0" collapsed="false">
      <c r="A151" s="22" t="s">
        <v>1550</v>
      </c>
      <c r="B151" s="11" t="n">
        <v>7</v>
      </c>
      <c r="C151" s="22" t="s">
        <v>1768</v>
      </c>
      <c r="D151" s="21" t="s">
        <v>1604</v>
      </c>
      <c r="E151" s="11" t="s">
        <v>1769</v>
      </c>
      <c r="F151" s="11"/>
      <c r="G151" s="11"/>
      <c r="H151" s="22"/>
      <c r="I151" s="11"/>
      <c r="J151" s="22"/>
      <c r="K151" s="22"/>
    </row>
    <row r="152" customFormat="false" ht="15" hidden="false" customHeight="false" outlineLevel="0" collapsed="false">
      <c r="A152" s="22" t="s">
        <v>1550</v>
      </c>
      <c r="B152" s="11" t="n">
        <v>8</v>
      </c>
      <c r="C152" s="22" t="s">
        <v>1634</v>
      </c>
      <c r="D152" s="21" t="s">
        <v>1635</v>
      </c>
      <c r="E152" s="11" t="s">
        <v>1636</v>
      </c>
      <c r="F152" s="11"/>
      <c r="G152" s="11"/>
      <c r="H152" s="22"/>
      <c r="I152" s="11" t="s">
        <v>598</v>
      </c>
      <c r="J152" s="21" t="s">
        <v>1637</v>
      </c>
      <c r="K152" s="22"/>
    </row>
    <row r="153" customFormat="false" ht="15" hidden="false" customHeight="false" outlineLevel="0" collapsed="false">
      <c r="A153" s="22" t="s">
        <v>1550</v>
      </c>
      <c r="B153" s="11" t="n">
        <v>9</v>
      </c>
      <c r="C153" s="22" t="s">
        <v>1638</v>
      </c>
      <c r="D153" s="21" t="s">
        <v>1639</v>
      </c>
      <c r="E153" s="11" t="s">
        <v>1608</v>
      </c>
      <c r="F153" s="11"/>
      <c r="G153" s="11"/>
      <c r="H153" s="22" t="s">
        <v>1640</v>
      </c>
      <c r="I153" s="11" t="s">
        <v>598</v>
      </c>
      <c r="J153" s="22"/>
      <c r="K153" s="22"/>
    </row>
    <row r="154" customFormat="false" ht="15" hidden="false" customHeight="false" outlineLevel="0" collapsed="false">
      <c r="A154" s="22" t="s">
        <v>1550</v>
      </c>
      <c r="B154" s="11" t="n">
        <v>10</v>
      </c>
      <c r="C154" s="22" t="s">
        <v>1641</v>
      </c>
      <c r="D154" s="21" t="s">
        <v>1642</v>
      </c>
      <c r="E154" s="11" t="s">
        <v>1636</v>
      </c>
      <c r="F154" s="11"/>
      <c r="G154" s="11"/>
      <c r="H154" s="22"/>
      <c r="I154" s="11" t="s">
        <v>598</v>
      </c>
      <c r="J154" s="21" t="s">
        <v>1637</v>
      </c>
      <c r="K154" s="22"/>
    </row>
    <row r="155" customFormat="false" ht="15" hidden="false" customHeight="false" outlineLevel="0" collapsed="false">
      <c r="A155" s="22" t="s">
        <v>1550</v>
      </c>
      <c r="B155" s="11" t="n">
        <v>11</v>
      </c>
      <c r="C155" s="22" t="s">
        <v>1643</v>
      </c>
      <c r="D155" s="21" t="s">
        <v>1644</v>
      </c>
      <c r="E155" s="11" t="s">
        <v>1608</v>
      </c>
      <c r="F155" s="11"/>
      <c r="G155" s="11"/>
      <c r="H155" s="22" t="s">
        <v>1640</v>
      </c>
      <c r="I155" s="11" t="s">
        <v>598</v>
      </c>
      <c r="J155" s="22"/>
      <c r="K155" s="22"/>
    </row>
    <row r="156" customFormat="false" ht="15" hidden="false" customHeight="false" outlineLevel="0" collapsed="false">
      <c r="A156" s="22" t="s">
        <v>1550</v>
      </c>
      <c r="B156" s="11" t="n">
        <v>12</v>
      </c>
      <c r="C156" s="22" t="s">
        <v>1645</v>
      </c>
      <c r="D156" s="21" t="s">
        <v>2</v>
      </c>
      <c r="E156" s="11" t="s">
        <v>1646</v>
      </c>
      <c r="F156" s="11"/>
      <c r="G156" s="11"/>
      <c r="H156" s="22"/>
      <c r="I156" s="11" t="s">
        <v>598</v>
      </c>
      <c r="J156" s="22" t="s">
        <v>1647</v>
      </c>
      <c r="K156" s="21" t="s">
        <v>1648</v>
      </c>
    </row>
    <row r="157" customFormat="false" ht="15" hidden="false" customHeight="true" outlineLevel="0" collapsed="false">
      <c r="A157" s="30" t="s">
        <v>1554</v>
      </c>
      <c r="B157" s="31" t="s">
        <v>1793</v>
      </c>
      <c r="C157" s="31"/>
      <c r="D157" s="31"/>
      <c r="E157" s="31"/>
      <c r="F157" s="31"/>
      <c r="G157" s="31"/>
      <c r="H157" s="31"/>
      <c r="I157" s="31"/>
      <c r="J157" s="31"/>
      <c r="K157" s="31"/>
    </row>
    <row r="158" customFormat="false" ht="15" hidden="false" customHeight="false" outlineLevel="0" collapsed="false">
      <c r="A158" s="22" t="s">
        <v>1554</v>
      </c>
      <c r="B158" s="11" t="n">
        <v>1</v>
      </c>
      <c r="C158" s="22" t="s">
        <v>1606</v>
      </c>
      <c r="D158" s="21" t="s">
        <v>1794</v>
      </c>
      <c r="E158" s="11" t="s">
        <v>1608</v>
      </c>
      <c r="F158" s="11"/>
      <c r="G158" s="11" t="s">
        <v>598</v>
      </c>
      <c r="H158" s="22"/>
      <c r="I158" s="11" t="s">
        <v>598</v>
      </c>
      <c r="J158" s="21" t="s">
        <v>1609</v>
      </c>
      <c r="K158" s="22"/>
    </row>
    <row r="159" customFormat="false" ht="15" hidden="false" customHeight="false" outlineLevel="0" collapsed="false">
      <c r="A159" s="22" t="s">
        <v>1554</v>
      </c>
      <c r="B159" s="11" t="n">
        <v>2</v>
      </c>
      <c r="C159" s="22" t="s">
        <v>1795</v>
      </c>
      <c r="D159" s="21" t="s">
        <v>1786</v>
      </c>
      <c r="E159" s="11" t="s">
        <v>1608</v>
      </c>
      <c r="F159" s="11"/>
      <c r="G159" s="11"/>
      <c r="H159" s="22" t="s">
        <v>1796</v>
      </c>
      <c r="I159" s="11" t="s">
        <v>598</v>
      </c>
      <c r="J159" s="22"/>
      <c r="K159" s="22"/>
    </row>
    <row r="160" customFormat="false" ht="15" hidden="false" customHeight="false" outlineLevel="0" collapsed="false">
      <c r="A160" s="22" t="s">
        <v>1554</v>
      </c>
      <c r="B160" s="11" t="n">
        <v>3</v>
      </c>
      <c r="C160" s="22" t="s">
        <v>1797</v>
      </c>
      <c r="D160" s="21" t="s">
        <v>1771</v>
      </c>
      <c r="E160" s="11" t="s">
        <v>1608</v>
      </c>
      <c r="F160" s="11"/>
      <c r="G160" s="11"/>
      <c r="H160" s="22" t="s">
        <v>1798</v>
      </c>
      <c r="I160" s="11"/>
      <c r="J160" s="22"/>
      <c r="K160" s="22"/>
    </row>
    <row r="161" customFormat="false" ht="15" hidden="false" customHeight="false" outlineLevel="0" collapsed="false">
      <c r="A161" s="22" t="s">
        <v>1554</v>
      </c>
      <c r="B161" s="11" t="n">
        <v>4</v>
      </c>
      <c r="C161" s="22" t="s">
        <v>1776</v>
      </c>
      <c r="D161" s="21" t="s">
        <v>1650</v>
      </c>
      <c r="E161" s="11" t="s">
        <v>1608</v>
      </c>
      <c r="F161" s="11"/>
      <c r="G161" s="11"/>
      <c r="H161" s="22" t="s">
        <v>1777</v>
      </c>
      <c r="I161" s="11" t="s">
        <v>598</v>
      </c>
      <c r="J161" s="22"/>
      <c r="K161" s="22"/>
    </row>
    <row r="162" customFormat="false" ht="15" hidden="false" customHeight="false" outlineLevel="0" collapsed="false">
      <c r="A162" s="22" t="s">
        <v>1554</v>
      </c>
      <c r="B162" s="11" t="n">
        <v>5</v>
      </c>
      <c r="C162" s="22" t="s">
        <v>1799</v>
      </c>
      <c r="D162" s="21" t="s">
        <v>727</v>
      </c>
      <c r="E162" s="11" t="s">
        <v>1611</v>
      </c>
      <c r="F162" s="11" t="s">
        <v>728</v>
      </c>
      <c r="G162" s="11"/>
      <c r="H162" s="22"/>
      <c r="I162" s="11" t="s">
        <v>598</v>
      </c>
      <c r="J162" s="22"/>
      <c r="K162" s="21" t="s">
        <v>1800</v>
      </c>
    </row>
    <row r="163" customFormat="false" ht="15" hidden="false" customHeight="false" outlineLevel="0" collapsed="false">
      <c r="A163" s="22" t="s">
        <v>1554</v>
      </c>
      <c r="B163" s="11" t="n">
        <v>6</v>
      </c>
      <c r="C163" s="22" t="s">
        <v>1801</v>
      </c>
      <c r="D163" s="21" t="s">
        <v>731</v>
      </c>
      <c r="E163" s="11" t="s">
        <v>1758</v>
      </c>
      <c r="F163" s="11"/>
      <c r="G163" s="11"/>
      <c r="H163" s="22"/>
      <c r="I163" s="11"/>
      <c r="J163" s="22"/>
      <c r="K163" s="22"/>
    </row>
    <row r="164" customFormat="false" ht="15" hidden="false" customHeight="false" outlineLevel="0" collapsed="false">
      <c r="A164" s="22" t="s">
        <v>1554</v>
      </c>
      <c r="B164" s="11" t="n">
        <v>7</v>
      </c>
      <c r="C164" s="22" t="s">
        <v>1802</v>
      </c>
      <c r="D164" s="21" t="s">
        <v>734</v>
      </c>
      <c r="E164" s="11" t="s">
        <v>1758</v>
      </c>
      <c r="F164" s="11"/>
      <c r="G164" s="11"/>
      <c r="H164" s="22"/>
      <c r="I164" s="11" t="s">
        <v>598</v>
      </c>
      <c r="J164" s="21" t="s">
        <v>736</v>
      </c>
      <c r="K164" s="21" t="s">
        <v>1803</v>
      </c>
    </row>
    <row r="165" customFormat="false" ht="15" hidden="false" customHeight="false" outlineLevel="0" collapsed="false">
      <c r="A165" s="22" t="s">
        <v>1554</v>
      </c>
      <c r="B165" s="11" t="n">
        <v>8</v>
      </c>
      <c r="C165" s="22" t="s">
        <v>1804</v>
      </c>
      <c r="D165" s="21" t="s">
        <v>720</v>
      </c>
      <c r="E165" s="11" t="s">
        <v>1663</v>
      </c>
      <c r="F165" s="11" t="s">
        <v>678</v>
      </c>
      <c r="G165" s="11"/>
      <c r="H165" s="22"/>
      <c r="I165" s="11"/>
      <c r="J165" s="22"/>
      <c r="K165" s="21" t="s">
        <v>1805</v>
      </c>
    </row>
    <row r="166" customFormat="false" ht="15" hidden="false" customHeight="false" outlineLevel="0" collapsed="false">
      <c r="A166" s="22" t="s">
        <v>1554</v>
      </c>
      <c r="B166" s="11" t="n">
        <v>9</v>
      </c>
      <c r="C166" s="22" t="s">
        <v>1806</v>
      </c>
      <c r="D166" s="21" t="s">
        <v>1807</v>
      </c>
      <c r="E166" s="11" t="s">
        <v>1608</v>
      </c>
      <c r="F166" s="11"/>
      <c r="G166" s="11"/>
      <c r="H166" s="22" t="s">
        <v>1808</v>
      </c>
      <c r="I166" s="11"/>
      <c r="J166" s="22"/>
      <c r="K166" s="21" t="s">
        <v>1809</v>
      </c>
    </row>
    <row r="167" customFormat="false" ht="26.85" hidden="false" customHeight="false" outlineLevel="0" collapsed="false">
      <c r="A167" s="22" t="s">
        <v>1554</v>
      </c>
      <c r="B167" s="11" t="n">
        <v>10</v>
      </c>
      <c r="C167" s="22" t="s">
        <v>1810</v>
      </c>
      <c r="D167" s="21" t="s">
        <v>785</v>
      </c>
      <c r="E167" s="11" t="s">
        <v>1611</v>
      </c>
      <c r="F167" s="11" t="s">
        <v>599</v>
      </c>
      <c r="G167" s="11"/>
      <c r="H167" s="22"/>
      <c r="I167" s="11"/>
      <c r="J167" s="22"/>
      <c r="K167" s="21" t="s">
        <v>1811</v>
      </c>
    </row>
    <row r="168" customFormat="false" ht="15" hidden="false" customHeight="false" outlineLevel="0" collapsed="false">
      <c r="A168" s="22" t="s">
        <v>1554</v>
      </c>
      <c r="B168" s="11" t="n">
        <v>11</v>
      </c>
      <c r="C168" s="22" t="s">
        <v>1812</v>
      </c>
      <c r="D168" s="21" t="s">
        <v>1813</v>
      </c>
      <c r="E168" s="11" t="s">
        <v>1608</v>
      </c>
      <c r="F168" s="11"/>
      <c r="G168" s="11"/>
      <c r="H168" s="22" t="s">
        <v>1814</v>
      </c>
      <c r="I168" s="11" t="s">
        <v>598</v>
      </c>
      <c r="J168" s="22"/>
      <c r="K168" s="22"/>
    </row>
    <row r="169" customFormat="false" ht="15" hidden="false" customHeight="false" outlineLevel="0" collapsed="false">
      <c r="A169" s="22" t="s">
        <v>1554</v>
      </c>
      <c r="B169" s="11" t="n">
        <v>12</v>
      </c>
      <c r="C169" s="22" t="s">
        <v>1778</v>
      </c>
      <c r="D169" s="21" t="s">
        <v>738</v>
      </c>
      <c r="E169" s="11" t="s">
        <v>1646</v>
      </c>
      <c r="F169" s="11"/>
      <c r="G169" s="11"/>
      <c r="H169" s="22"/>
      <c r="I169" s="11" t="s">
        <v>598</v>
      </c>
      <c r="J169" s="22"/>
      <c r="K169" s="22" t="s">
        <v>1780</v>
      </c>
    </row>
    <row r="170" customFormat="false" ht="15" hidden="false" customHeight="false" outlineLevel="0" collapsed="false">
      <c r="A170" s="22" t="s">
        <v>1554</v>
      </c>
      <c r="B170" s="11" t="n">
        <v>13</v>
      </c>
      <c r="C170" s="22" t="s">
        <v>1781</v>
      </c>
      <c r="D170" s="21" t="s">
        <v>742</v>
      </c>
      <c r="E170" s="11" t="s">
        <v>1663</v>
      </c>
      <c r="F170" s="11" t="s">
        <v>743</v>
      </c>
      <c r="G170" s="11"/>
      <c r="H170" s="22"/>
      <c r="I170" s="11" t="s">
        <v>598</v>
      </c>
      <c r="J170" s="22"/>
      <c r="K170" s="21" t="s">
        <v>1685</v>
      </c>
    </row>
    <row r="171" customFormat="false" ht="15" hidden="false" customHeight="false" outlineLevel="0" collapsed="false">
      <c r="A171" s="22" t="s">
        <v>1554</v>
      </c>
      <c r="B171" s="11" t="n">
        <v>14</v>
      </c>
      <c r="C171" s="22" t="s">
        <v>1634</v>
      </c>
      <c r="D171" s="21" t="s">
        <v>1635</v>
      </c>
      <c r="E171" s="11" t="s">
        <v>1636</v>
      </c>
      <c r="F171" s="11"/>
      <c r="G171" s="11"/>
      <c r="H171" s="22"/>
      <c r="I171" s="11" t="s">
        <v>598</v>
      </c>
      <c r="J171" s="21" t="s">
        <v>1637</v>
      </c>
      <c r="K171" s="22"/>
    </row>
    <row r="172" customFormat="false" ht="15" hidden="false" customHeight="false" outlineLevel="0" collapsed="false">
      <c r="A172" s="22" t="s">
        <v>1554</v>
      </c>
      <c r="B172" s="11" t="n">
        <v>15</v>
      </c>
      <c r="C172" s="22" t="s">
        <v>1638</v>
      </c>
      <c r="D172" s="21" t="s">
        <v>1639</v>
      </c>
      <c r="E172" s="11" t="s">
        <v>1608</v>
      </c>
      <c r="F172" s="11"/>
      <c r="G172" s="11"/>
      <c r="H172" s="22" t="s">
        <v>1640</v>
      </c>
      <c r="I172" s="11" t="s">
        <v>598</v>
      </c>
      <c r="J172" s="22"/>
      <c r="K172" s="22"/>
    </row>
    <row r="173" customFormat="false" ht="15" hidden="false" customHeight="false" outlineLevel="0" collapsed="false">
      <c r="A173" s="22" t="s">
        <v>1554</v>
      </c>
      <c r="B173" s="11" t="n">
        <v>16</v>
      </c>
      <c r="C173" s="22" t="s">
        <v>1641</v>
      </c>
      <c r="D173" s="21" t="s">
        <v>1642</v>
      </c>
      <c r="E173" s="11" t="s">
        <v>1636</v>
      </c>
      <c r="F173" s="11"/>
      <c r="G173" s="11"/>
      <c r="H173" s="22"/>
      <c r="I173" s="11" t="s">
        <v>598</v>
      </c>
      <c r="J173" s="21" t="s">
        <v>1637</v>
      </c>
      <c r="K173" s="22"/>
    </row>
    <row r="174" customFormat="false" ht="15" hidden="false" customHeight="false" outlineLevel="0" collapsed="false">
      <c r="A174" s="22" t="s">
        <v>1554</v>
      </c>
      <c r="B174" s="11" t="n">
        <v>17</v>
      </c>
      <c r="C174" s="22" t="s">
        <v>1643</v>
      </c>
      <c r="D174" s="21" t="s">
        <v>1644</v>
      </c>
      <c r="E174" s="11" t="s">
        <v>1608</v>
      </c>
      <c r="F174" s="11"/>
      <c r="G174" s="11"/>
      <c r="H174" s="22" t="s">
        <v>1640</v>
      </c>
      <c r="I174" s="11" t="s">
        <v>598</v>
      </c>
      <c r="J174" s="22"/>
      <c r="K174" s="22"/>
    </row>
    <row r="175" customFormat="false" ht="15" hidden="false" customHeight="false" outlineLevel="0" collapsed="false">
      <c r="A175" s="22" t="s">
        <v>1554</v>
      </c>
      <c r="B175" s="11" t="n">
        <v>18</v>
      </c>
      <c r="C175" s="22" t="s">
        <v>1645</v>
      </c>
      <c r="D175" s="21" t="s">
        <v>2</v>
      </c>
      <c r="E175" s="11" t="s">
        <v>1646</v>
      </c>
      <c r="F175" s="11"/>
      <c r="G175" s="11"/>
      <c r="H175" s="22"/>
      <c r="I175" s="11" t="s">
        <v>598</v>
      </c>
      <c r="J175" s="22" t="s">
        <v>1647</v>
      </c>
      <c r="K175" s="21" t="s">
        <v>1648</v>
      </c>
    </row>
    <row r="176" customFormat="false" ht="15" hidden="false" customHeight="true" outlineLevel="0" collapsed="false">
      <c r="A176" s="30" t="s">
        <v>590</v>
      </c>
      <c r="B176" s="31" t="s">
        <v>1815</v>
      </c>
      <c r="C176" s="31"/>
      <c r="D176" s="31"/>
      <c r="E176" s="31"/>
      <c r="F176" s="31"/>
      <c r="G176" s="31"/>
      <c r="H176" s="31"/>
      <c r="I176" s="31"/>
      <c r="J176" s="31"/>
      <c r="K176" s="31"/>
    </row>
    <row r="177" customFormat="false" ht="15" hidden="false" customHeight="false" outlineLevel="0" collapsed="false">
      <c r="A177" s="22" t="s">
        <v>590</v>
      </c>
      <c r="B177" s="11" t="n">
        <v>1</v>
      </c>
      <c r="C177" s="22" t="s">
        <v>1606</v>
      </c>
      <c r="D177" s="21" t="s">
        <v>1807</v>
      </c>
      <c r="E177" s="11" t="s">
        <v>1608</v>
      </c>
      <c r="F177" s="11"/>
      <c r="G177" s="11" t="s">
        <v>598</v>
      </c>
      <c r="H177" s="22"/>
      <c r="I177" s="11" t="s">
        <v>598</v>
      </c>
      <c r="J177" s="21" t="s">
        <v>1609</v>
      </c>
      <c r="K177" s="22"/>
    </row>
    <row r="178" customFormat="false" ht="15" hidden="false" customHeight="false" outlineLevel="0" collapsed="false">
      <c r="A178" s="22" t="s">
        <v>590</v>
      </c>
      <c r="B178" s="11" t="n">
        <v>2</v>
      </c>
      <c r="C178" s="22" t="s">
        <v>1816</v>
      </c>
      <c r="D178" s="21" t="s">
        <v>750</v>
      </c>
      <c r="E178" s="11" t="s">
        <v>1611</v>
      </c>
      <c r="F178" s="11" t="s">
        <v>792</v>
      </c>
      <c r="G178" s="11"/>
      <c r="H178" s="22"/>
      <c r="I178" s="11" t="s">
        <v>598</v>
      </c>
      <c r="J178" s="22"/>
      <c r="K178" s="21" t="s">
        <v>1817</v>
      </c>
    </row>
    <row r="179" customFormat="false" ht="15" hidden="false" customHeight="false" outlineLevel="0" collapsed="false">
      <c r="A179" s="22" t="s">
        <v>590</v>
      </c>
      <c r="B179" s="11" t="n">
        <v>3</v>
      </c>
      <c r="C179" s="22" t="s">
        <v>1776</v>
      </c>
      <c r="D179" s="21" t="s">
        <v>1650</v>
      </c>
      <c r="E179" s="11" t="s">
        <v>1608</v>
      </c>
      <c r="F179" s="11"/>
      <c r="G179" s="11"/>
      <c r="H179" s="22" t="s">
        <v>1777</v>
      </c>
      <c r="I179" s="11" t="s">
        <v>598</v>
      </c>
      <c r="J179" s="22"/>
      <c r="K179" s="22"/>
    </row>
    <row r="180" customFormat="false" ht="15" hidden="false" customHeight="false" outlineLevel="0" collapsed="false">
      <c r="A180" s="22" t="s">
        <v>590</v>
      </c>
      <c r="B180" s="11" t="n">
        <v>4</v>
      </c>
      <c r="C180" s="22" t="s">
        <v>1652</v>
      </c>
      <c r="D180" s="21" t="s">
        <v>1607</v>
      </c>
      <c r="E180" s="11" t="s">
        <v>1608</v>
      </c>
      <c r="F180" s="11"/>
      <c r="G180" s="11"/>
      <c r="H180" s="22" t="s">
        <v>1654</v>
      </c>
      <c r="I180" s="11" t="s">
        <v>598</v>
      </c>
      <c r="J180" s="22"/>
      <c r="K180" s="22"/>
    </row>
    <row r="181" customFormat="false" ht="15" hidden="false" customHeight="false" outlineLevel="0" collapsed="false">
      <c r="A181" s="22" t="s">
        <v>590</v>
      </c>
      <c r="B181" s="11" t="n">
        <v>5</v>
      </c>
      <c r="C181" s="22" t="s">
        <v>1799</v>
      </c>
      <c r="D181" s="21" t="s">
        <v>727</v>
      </c>
      <c r="E181" s="11" t="s">
        <v>1611</v>
      </c>
      <c r="F181" s="11" t="s">
        <v>728</v>
      </c>
      <c r="G181" s="11"/>
      <c r="H181" s="22"/>
      <c r="I181" s="11" t="s">
        <v>598</v>
      </c>
      <c r="J181" s="22"/>
      <c r="K181" s="22" t="s">
        <v>1818</v>
      </c>
    </row>
    <row r="182" customFormat="false" ht="15" hidden="false" customHeight="false" outlineLevel="0" collapsed="false">
      <c r="A182" s="22" t="s">
        <v>590</v>
      </c>
      <c r="B182" s="11" t="n">
        <v>6</v>
      </c>
      <c r="C182" s="22" t="s">
        <v>1801</v>
      </c>
      <c r="D182" s="21" t="s">
        <v>731</v>
      </c>
      <c r="E182" s="11" t="s">
        <v>1758</v>
      </c>
      <c r="F182" s="11"/>
      <c r="G182" s="11"/>
      <c r="H182" s="22"/>
      <c r="I182" s="11"/>
      <c r="J182" s="22"/>
      <c r="K182" s="22"/>
    </row>
    <row r="183" customFormat="false" ht="15" hidden="false" customHeight="false" outlineLevel="0" collapsed="false">
      <c r="A183" s="22" t="s">
        <v>590</v>
      </c>
      <c r="B183" s="11" t="n">
        <v>7</v>
      </c>
      <c r="C183" s="22" t="s">
        <v>1802</v>
      </c>
      <c r="D183" s="21" t="s">
        <v>734</v>
      </c>
      <c r="E183" s="11" t="s">
        <v>1758</v>
      </c>
      <c r="F183" s="11"/>
      <c r="G183" s="11"/>
      <c r="H183" s="22"/>
      <c r="I183" s="11" t="s">
        <v>598</v>
      </c>
      <c r="J183" s="22"/>
      <c r="K183" s="21" t="s">
        <v>1819</v>
      </c>
    </row>
    <row r="184" customFormat="false" ht="15" hidden="false" customHeight="false" outlineLevel="0" collapsed="false">
      <c r="A184" s="22" t="s">
        <v>590</v>
      </c>
      <c r="B184" s="11" t="n">
        <v>8</v>
      </c>
      <c r="C184" s="22" t="s">
        <v>1820</v>
      </c>
      <c r="D184" s="21" t="s">
        <v>1821</v>
      </c>
      <c r="E184" s="11" t="s">
        <v>1758</v>
      </c>
      <c r="F184" s="11"/>
      <c r="G184" s="11"/>
      <c r="H184" s="22"/>
      <c r="I184" s="11" t="s">
        <v>598</v>
      </c>
      <c r="J184" s="22"/>
      <c r="K184" s="22" t="s">
        <v>1822</v>
      </c>
    </row>
    <row r="185" customFormat="false" ht="15" hidden="false" customHeight="false" outlineLevel="0" collapsed="false">
      <c r="A185" s="22" t="s">
        <v>590</v>
      </c>
      <c r="B185" s="11" t="n">
        <v>9</v>
      </c>
      <c r="C185" s="22" t="s">
        <v>1823</v>
      </c>
      <c r="D185" s="21" t="s">
        <v>1824</v>
      </c>
      <c r="E185" s="11" t="s">
        <v>1663</v>
      </c>
      <c r="F185" s="11" t="s">
        <v>743</v>
      </c>
      <c r="G185" s="11"/>
      <c r="H185" s="22"/>
      <c r="I185" s="11" t="s">
        <v>598</v>
      </c>
      <c r="J185" s="22"/>
      <c r="K185" s="21" t="s">
        <v>1825</v>
      </c>
    </row>
    <row r="186" customFormat="false" ht="15" hidden="false" customHeight="false" outlineLevel="0" collapsed="false">
      <c r="A186" s="22" t="s">
        <v>590</v>
      </c>
      <c r="B186" s="11" t="n">
        <v>10</v>
      </c>
      <c r="C186" s="22" t="s">
        <v>1826</v>
      </c>
      <c r="D186" s="21" t="s">
        <v>767</v>
      </c>
      <c r="E186" s="11" t="s">
        <v>1663</v>
      </c>
      <c r="F186" s="11" t="s">
        <v>768</v>
      </c>
      <c r="G186" s="11"/>
      <c r="H186" s="22"/>
      <c r="I186" s="11"/>
      <c r="J186" s="22"/>
      <c r="K186" s="22" t="s">
        <v>1827</v>
      </c>
    </row>
    <row r="187" customFormat="false" ht="15" hidden="false" customHeight="false" outlineLevel="0" collapsed="false">
      <c r="A187" s="22" t="s">
        <v>590</v>
      </c>
      <c r="B187" s="11" t="n">
        <v>11</v>
      </c>
      <c r="C187" s="22" t="s">
        <v>1761</v>
      </c>
      <c r="D187" s="21" t="s">
        <v>1828</v>
      </c>
      <c r="E187" s="11" t="s">
        <v>1611</v>
      </c>
      <c r="F187" s="11" t="s">
        <v>599</v>
      </c>
      <c r="G187" s="11"/>
      <c r="H187" s="22"/>
      <c r="I187" s="11" t="s">
        <v>598</v>
      </c>
      <c r="J187" s="22" t="s">
        <v>1829</v>
      </c>
      <c r="K187" s="21" t="s">
        <v>1830</v>
      </c>
    </row>
    <row r="188" customFormat="false" ht="15" hidden="false" customHeight="false" outlineLevel="0" collapsed="false">
      <c r="A188" s="22" t="s">
        <v>590</v>
      </c>
      <c r="B188" s="11" t="n">
        <v>12</v>
      </c>
      <c r="C188" s="22" t="s">
        <v>1831</v>
      </c>
      <c r="D188" s="21" t="s">
        <v>1832</v>
      </c>
      <c r="E188" s="11" t="s">
        <v>1769</v>
      </c>
      <c r="F188" s="11"/>
      <c r="G188" s="11"/>
      <c r="H188" s="22"/>
      <c r="I188" s="11"/>
      <c r="J188" s="22"/>
      <c r="K188" s="21" t="s">
        <v>1833</v>
      </c>
    </row>
    <row r="189" customFormat="false" ht="15" hidden="false" customHeight="false" outlineLevel="0" collapsed="false">
      <c r="A189" s="22" t="s">
        <v>590</v>
      </c>
      <c r="B189" s="11" t="n">
        <v>13</v>
      </c>
      <c r="C189" s="22" t="s">
        <v>1834</v>
      </c>
      <c r="D189" s="21" t="s">
        <v>1835</v>
      </c>
      <c r="E189" s="11" t="s">
        <v>1608</v>
      </c>
      <c r="F189" s="11"/>
      <c r="G189" s="11"/>
      <c r="H189" s="22" t="s">
        <v>1640</v>
      </c>
      <c r="I189" s="11"/>
      <c r="J189" s="22"/>
      <c r="K189" s="22"/>
    </row>
    <row r="190" customFormat="false" ht="15" hidden="false" customHeight="false" outlineLevel="0" collapsed="false">
      <c r="A190" s="22" t="s">
        <v>590</v>
      </c>
      <c r="B190" s="11" t="n">
        <v>14</v>
      </c>
      <c r="C190" s="22" t="s">
        <v>1836</v>
      </c>
      <c r="D190" s="21" t="s">
        <v>1837</v>
      </c>
      <c r="E190" s="11" t="s">
        <v>1636</v>
      </c>
      <c r="F190" s="11"/>
      <c r="G190" s="11"/>
      <c r="H190" s="22"/>
      <c r="I190" s="11"/>
      <c r="J190" s="22"/>
      <c r="K190" s="22"/>
    </row>
    <row r="191" customFormat="false" ht="15" hidden="false" customHeight="false" outlineLevel="0" collapsed="false">
      <c r="A191" s="22" t="s">
        <v>590</v>
      </c>
      <c r="B191" s="11" t="n">
        <v>15</v>
      </c>
      <c r="C191" s="22" t="s">
        <v>1634</v>
      </c>
      <c r="D191" s="21" t="s">
        <v>1635</v>
      </c>
      <c r="E191" s="11" t="s">
        <v>1636</v>
      </c>
      <c r="F191" s="11"/>
      <c r="G191" s="11"/>
      <c r="H191" s="22"/>
      <c r="I191" s="11" t="s">
        <v>598</v>
      </c>
      <c r="J191" s="21" t="s">
        <v>1637</v>
      </c>
      <c r="K191" s="22"/>
    </row>
    <row r="192" customFormat="false" ht="15" hidden="false" customHeight="false" outlineLevel="0" collapsed="false">
      <c r="A192" s="22" t="s">
        <v>590</v>
      </c>
      <c r="B192" s="11" t="n">
        <v>16</v>
      </c>
      <c r="C192" s="22" t="s">
        <v>1638</v>
      </c>
      <c r="D192" s="21" t="s">
        <v>1639</v>
      </c>
      <c r="E192" s="11" t="s">
        <v>1608</v>
      </c>
      <c r="F192" s="11"/>
      <c r="G192" s="11"/>
      <c r="H192" s="22" t="s">
        <v>1640</v>
      </c>
      <c r="I192" s="11" t="s">
        <v>598</v>
      </c>
      <c r="J192" s="22"/>
      <c r="K192" s="22"/>
    </row>
    <row r="193" customFormat="false" ht="15" hidden="false" customHeight="false" outlineLevel="0" collapsed="false">
      <c r="A193" s="22" t="s">
        <v>590</v>
      </c>
      <c r="B193" s="11" t="n">
        <v>17</v>
      </c>
      <c r="C193" s="22" t="s">
        <v>1641</v>
      </c>
      <c r="D193" s="21" t="s">
        <v>1642</v>
      </c>
      <c r="E193" s="11" t="s">
        <v>1636</v>
      </c>
      <c r="F193" s="11"/>
      <c r="G193" s="11"/>
      <c r="H193" s="22"/>
      <c r="I193" s="11" t="s">
        <v>598</v>
      </c>
      <c r="J193" s="21" t="s">
        <v>1637</v>
      </c>
      <c r="K193" s="22"/>
    </row>
    <row r="194" customFormat="false" ht="15" hidden="false" customHeight="false" outlineLevel="0" collapsed="false">
      <c r="A194" s="22" t="s">
        <v>590</v>
      </c>
      <c r="B194" s="11" t="n">
        <v>18</v>
      </c>
      <c r="C194" s="22" t="s">
        <v>1643</v>
      </c>
      <c r="D194" s="21" t="s">
        <v>1644</v>
      </c>
      <c r="E194" s="11" t="s">
        <v>1608</v>
      </c>
      <c r="F194" s="11"/>
      <c r="G194" s="11"/>
      <c r="H194" s="22" t="s">
        <v>1640</v>
      </c>
      <c r="I194" s="11" t="s">
        <v>598</v>
      </c>
      <c r="J194" s="22"/>
      <c r="K194" s="22"/>
    </row>
    <row r="195" customFormat="false" ht="15" hidden="false" customHeight="false" outlineLevel="0" collapsed="false">
      <c r="A195" s="22" t="s">
        <v>590</v>
      </c>
      <c r="B195" s="11" t="n">
        <v>19</v>
      </c>
      <c r="C195" s="22" t="s">
        <v>1645</v>
      </c>
      <c r="D195" s="21" t="s">
        <v>2</v>
      </c>
      <c r="E195" s="11" t="s">
        <v>1646</v>
      </c>
      <c r="F195" s="11"/>
      <c r="G195" s="11"/>
      <c r="H195" s="22"/>
      <c r="I195" s="11" t="s">
        <v>598</v>
      </c>
      <c r="J195" s="22" t="s">
        <v>1647</v>
      </c>
      <c r="K195" s="21" t="s">
        <v>1648</v>
      </c>
    </row>
    <row r="196" customFormat="false" ht="15" hidden="false" customHeight="true" outlineLevel="0" collapsed="false">
      <c r="A196" s="30" t="s">
        <v>819</v>
      </c>
      <c r="B196" s="31" t="s">
        <v>1838</v>
      </c>
      <c r="C196" s="31"/>
      <c r="D196" s="31"/>
      <c r="E196" s="31"/>
      <c r="F196" s="31"/>
      <c r="G196" s="31"/>
      <c r="H196" s="31"/>
      <c r="I196" s="31"/>
      <c r="J196" s="31"/>
      <c r="K196" s="31"/>
    </row>
    <row r="197" customFormat="false" ht="15" hidden="false" customHeight="false" outlineLevel="0" collapsed="false">
      <c r="A197" s="22" t="s">
        <v>819</v>
      </c>
      <c r="B197" s="11" t="n">
        <v>1</v>
      </c>
      <c r="C197" s="22" t="s">
        <v>1606</v>
      </c>
      <c r="D197" s="22" t="s">
        <v>1839</v>
      </c>
      <c r="E197" s="11" t="s">
        <v>1608</v>
      </c>
      <c r="F197" s="11"/>
      <c r="G197" s="11" t="s">
        <v>598</v>
      </c>
      <c r="H197" s="22"/>
      <c r="I197" s="11" t="s">
        <v>598</v>
      </c>
      <c r="J197" s="21" t="s">
        <v>1609</v>
      </c>
      <c r="K197" s="22"/>
    </row>
    <row r="198" customFormat="false" ht="15" hidden="false" customHeight="false" outlineLevel="0" collapsed="false">
      <c r="A198" s="22" t="s">
        <v>819</v>
      </c>
      <c r="B198" s="11" t="n">
        <v>2</v>
      </c>
      <c r="C198" s="22" t="s">
        <v>1806</v>
      </c>
      <c r="D198" s="21" t="s">
        <v>1807</v>
      </c>
      <c r="E198" s="11" t="s">
        <v>1608</v>
      </c>
      <c r="F198" s="11"/>
      <c r="G198" s="11"/>
      <c r="H198" s="22" t="s">
        <v>1808</v>
      </c>
      <c r="I198" s="11" t="s">
        <v>598</v>
      </c>
      <c r="J198" s="22"/>
      <c r="K198" s="22"/>
    </row>
    <row r="199" customFormat="false" ht="15" hidden="false" customHeight="false" outlineLevel="0" collapsed="false">
      <c r="A199" s="22" t="s">
        <v>819</v>
      </c>
      <c r="B199" s="11" t="n">
        <v>3</v>
      </c>
      <c r="C199" s="22" t="s">
        <v>1840</v>
      </c>
      <c r="D199" s="21" t="s">
        <v>1841</v>
      </c>
      <c r="E199" s="11" t="s">
        <v>1611</v>
      </c>
      <c r="F199" s="11" t="s">
        <v>599</v>
      </c>
      <c r="G199" s="11"/>
      <c r="H199" s="22"/>
      <c r="I199" s="11"/>
      <c r="J199" s="22"/>
      <c r="K199" s="21" t="s">
        <v>1842</v>
      </c>
    </row>
    <row r="200" customFormat="false" ht="15" hidden="false" customHeight="false" outlineLevel="0" collapsed="false">
      <c r="A200" s="22" t="s">
        <v>819</v>
      </c>
      <c r="B200" s="11" t="n">
        <v>4</v>
      </c>
      <c r="C200" s="22" t="s">
        <v>1843</v>
      </c>
      <c r="D200" s="21" t="s">
        <v>821</v>
      </c>
      <c r="E200" s="11" t="s">
        <v>1611</v>
      </c>
      <c r="F200" s="11" t="s">
        <v>599</v>
      </c>
      <c r="G200" s="11"/>
      <c r="H200" s="22"/>
      <c r="I200" s="11" t="s">
        <v>598</v>
      </c>
      <c r="J200" s="22"/>
      <c r="K200" s="22"/>
    </row>
    <row r="201" customFormat="false" ht="15" hidden="false" customHeight="false" outlineLevel="0" collapsed="false">
      <c r="A201" s="22" t="s">
        <v>819</v>
      </c>
      <c r="B201" s="11" t="n">
        <v>5</v>
      </c>
      <c r="C201" s="22" t="s">
        <v>1844</v>
      </c>
      <c r="D201" s="21" t="s">
        <v>854</v>
      </c>
      <c r="E201" s="11" t="s">
        <v>1769</v>
      </c>
      <c r="F201" s="11"/>
      <c r="G201" s="11"/>
      <c r="H201" s="22"/>
      <c r="I201" s="11"/>
      <c r="J201" s="22"/>
      <c r="K201" s="22"/>
    </row>
    <row r="202" customFormat="false" ht="15" hidden="false" customHeight="false" outlineLevel="0" collapsed="false">
      <c r="A202" s="22" t="s">
        <v>819</v>
      </c>
      <c r="B202" s="11" t="n">
        <v>6</v>
      </c>
      <c r="C202" s="22" t="s">
        <v>1845</v>
      </c>
      <c r="D202" s="21" t="s">
        <v>1846</v>
      </c>
      <c r="E202" s="11" t="s">
        <v>1608</v>
      </c>
      <c r="F202" s="11"/>
      <c r="G202" s="11"/>
      <c r="H202" s="22" t="s">
        <v>1847</v>
      </c>
      <c r="I202" s="11"/>
      <c r="J202" s="22"/>
      <c r="K202" s="21" t="s">
        <v>1848</v>
      </c>
    </row>
    <row r="203" customFormat="false" ht="15" hidden="false" customHeight="false" outlineLevel="0" collapsed="false">
      <c r="A203" s="22" t="s">
        <v>819</v>
      </c>
      <c r="B203" s="11" t="n">
        <v>7</v>
      </c>
      <c r="C203" s="22" t="s">
        <v>1849</v>
      </c>
      <c r="D203" s="21" t="s">
        <v>1850</v>
      </c>
      <c r="E203" s="11" t="s">
        <v>1608</v>
      </c>
      <c r="F203" s="11"/>
      <c r="G203" s="11"/>
      <c r="H203" s="22" t="s">
        <v>1851</v>
      </c>
      <c r="I203" s="11"/>
      <c r="J203" s="22"/>
      <c r="K203" s="21" t="s">
        <v>1852</v>
      </c>
    </row>
    <row r="204" customFormat="false" ht="15" hidden="false" customHeight="false" outlineLevel="0" collapsed="false">
      <c r="A204" s="22" t="s">
        <v>819</v>
      </c>
      <c r="B204" s="11" t="n">
        <v>8</v>
      </c>
      <c r="C204" s="22" t="s">
        <v>1853</v>
      </c>
      <c r="D204" s="21" t="s">
        <v>1854</v>
      </c>
      <c r="E204" s="11" t="s">
        <v>1636</v>
      </c>
      <c r="F204" s="11"/>
      <c r="G204" s="11"/>
      <c r="H204" s="22"/>
      <c r="I204" s="11" t="s">
        <v>598</v>
      </c>
      <c r="J204" s="21" t="s">
        <v>1637</v>
      </c>
      <c r="K204" s="22"/>
    </row>
    <row r="205" customFormat="false" ht="15" hidden="false" customHeight="false" outlineLevel="0" collapsed="false">
      <c r="A205" s="22" t="s">
        <v>819</v>
      </c>
      <c r="B205" s="11" t="n">
        <v>9</v>
      </c>
      <c r="C205" s="22" t="s">
        <v>1634</v>
      </c>
      <c r="D205" s="21" t="s">
        <v>1635</v>
      </c>
      <c r="E205" s="11" t="s">
        <v>1636</v>
      </c>
      <c r="F205" s="11"/>
      <c r="G205" s="11"/>
      <c r="H205" s="22"/>
      <c r="I205" s="11" t="s">
        <v>598</v>
      </c>
      <c r="J205" s="21" t="s">
        <v>1637</v>
      </c>
      <c r="K205" s="22"/>
    </row>
    <row r="206" customFormat="false" ht="15" hidden="false" customHeight="false" outlineLevel="0" collapsed="false">
      <c r="A206" s="22" t="s">
        <v>819</v>
      </c>
      <c r="B206" s="11" t="n">
        <v>10</v>
      </c>
      <c r="C206" s="22" t="s">
        <v>1638</v>
      </c>
      <c r="D206" s="21" t="s">
        <v>1639</v>
      </c>
      <c r="E206" s="11" t="s">
        <v>1608</v>
      </c>
      <c r="F206" s="11"/>
      <c r="G206" s="11"/>
      <c r="H206" s="22" t="s">
        <v>1640</v>
      </c>
      <c r="I206" s="11" t="s">
        <v>598</v>
      </c>
      <c r="J206" s="22"/>
      <c r="K206" s="22"/>
    </row>
    <row r="207" customFormat="false" ht="15" hidden="false" customHeight="true" outlineLevel="0" collapsed="false">
      <c r="A207" s="30" t="s">
        <v>970</v>
      </c>
      <c r="B207" s="31" t="s">
        <v>1855</v>
      </c>
      <c r="C207" s="31"/>
      <c r="D207" s="31"/>
      <c r="E207" s="31"/>
      <c r="F207" s="31"/>
      <c r="G207" s="31"/>
      <c r="H207" s="31"/>
      <c r="I207" s="31"/>
      <c r="J207" s="31"/>
      <c r="K207" s="31"/>
    </row>
    <row r="208" customFormat="false" ht="15" hidden="false" customHeight="false" outlineLevel="0" collapsed="false">
      <c r="A208" s="22" t="s">
        <v>970</v>
      </c>
      <c r="B208" s="11" t="n">
        <v>1</v>
      </c>
      <c r="C208" s="22" t="s">
        <v>1606</v>
      </c>
      <c r="D208" s="21" t="s">
        <v>1856</v>
      </c>
      <c r="E208" s="11" t="s">
        <v>1608</v>
      </c>
      <c r="F208" s="11"/>
      <c r="G208" s="11" t="s">
        <v>598</v>
      </c>
      <c r="H208" s="22"/>
      <c r="I208" s="11" t="s">
        <v>598</v>
      </c>
      <c r="J208" s="21" t="s">
        <v>1609</v>
      </c>
      <c r="K208" s="22"/>
    </row>
    <row r="209" customFormat="false" ht="15" hidden="false" customHeight="false" outlineLevel="0" collapsed="false">
      <c r="A209" s="22" t="s">
        <v>970</v>
      </c>
      <c r="B209" s="11" t="n">
        <v>2</v>
      </c>
      <c r="C209" s="22" t="s">
        <v>1806</v>
      </c>
      <c r="D209" s="21" t="s">
        <v>1807</v>
      </c>
      <c r="E209" s="11" t="s">
        <v>1608</v>
      </c>
      <c r="F209" s="11"/>
      <c r="G209" s="11"/>
      <c r="H209" s="22" t="s">
        <v>1808</v>
      </c>
      <c r="I209" s="11" t="s">
        <v>598</v>
      </c>
      <c r="J209" s="22"/>
      <c r="K209" s="22" t="s">
        <v>1857</v>
      </c>
    </row>
    <row r="210" customFormat="false" ht="15" hidden="false" customHeight="false" outlineLevel="0" collapsed="false">
      <c r="A210" s="22" t="s">
        <v>970</v>
      </c>
      <c r="B210" s="11" t="n">
        <v>3</v>
      </c>
      <c r="C210" s="22" t="s">
        <v>1812</v>
      </c>
      <c r="D210" s="21" t="s">
        <v>1717</v>
      </c>
      <c r="E210" s="11" t="s">
        <v>1608</v>
      </c>
      <c r="F210" s="11"/>
      <c r="G210" s="11"/>
      <c r="H210" s="22" t="s">
        <v>1814</v>
      </c>
      <c r="I210" s="11" t="s">
        <v>598</v>
      </c>
      <c r="J210" s="22"/>
      <c r="K210" s="22"/>
    </row>
    <row r="211" customFormat="false" ht="15" hidden="false" customHeight="false" outlineLevel="0" collapsed="false">
      <c r="A211" s="22" t="s">
        <v>970</v>
      </c>
      <c r="B211" s="11" t="n">
        <v>4</v>
      </c>
      <c r="C211" s="22" t="s">
        <v>1858</v>
      </c>
      <c r="D211" s="21" t="s">
        <v>1859</v>
      </c>
      <c r="E211" s="11" t="s">
        <v>1646</v>
      </c>
      <c r="F211" s="11"/>
      <c r="G211" s="11"/>
      <c r="H211" s="22"/>
      <c r="I211" s="11" t="s">
        <v>598</v>
      </c>
      <c r="J211" s="22" t="s">
        <v>1014</v>
      </c>
      <c r="K211" s="22" t="s">
        <v>1860</v>
      </c>
    </row>
    <row r="212" customFormat="false" ht="15" hidden="false" customHeight="false" outlineLevel="0" collapsed="false">
      <c r="A212" s="22" t="s">
        <v>970</v>
      </c>
      <c r="B212" s="11" t="n">
        <v>5</v>
      </c>
      <c r="C212" s="22" t="s">
        <v>1861</v>
      </c>
      <c r="D212" s="21" t="s">
        <v>1862</v>
      </c>
      <c r="E212" s="11" t="s">
        <v>1646</v>
      </c>
      <c r="F212" s="11"/>
      <c r="G212" s="11"/>
      <c r="H212" s="22"/>
      <c r="I212" s="11" t="s">
        <v>598</v>
      </c>
      <c r="J212" s="22" t="s">
        <v>1014</v>
      </c>
      <c r="K212" s="22" t="s">
        <v>1863</v>
      </c>
    </row>
    <row r="213" customFormat="false" ht="15" hidden="false" customHeight="false" outlineLevel="0" collapsed="false">
      <c r="A213" s="22" t="s">
        <v>970</v>
      </c>
      <c r="B213" s="11" t="n">
        <v>6</v>
      </c>
      <c r="C213" s="22" t="s">
        <v>1634</v>
      </c>
      <c r="D213" s="21" t="s">
        <v>1635</v>
      </c>
      <c r="E213" s="11" t="s">
        <v>1636</v>
      </c>
      <c r="F213" s="11"/>
      <c r="G213" s="11"/>
      <c r="H213" s="22"/>
      <c r="I213" s="11" t="s">
        <v>598</v>
      </c>
      <c r="J213" s="21" t="s">
        <v>1637</v>
      </c>
      <c r="K213" s="22"/>
    </row>
    <row r="214" customFormat="false" ht="15" hidden="false" customHeight="false" outlineLevel="0" collapsed="false">
      <c r="A214" s="22" t="s">
        <v>970</v>
      </c>
      <c r="B214" s="11" t="n">
        <v>7</v>
      </c>
      <c r="C214" s="22" t="s">
        <v>1638</v>
      </c>
      <c r="D214" s="21" t="s">
        <v>1639</v>
      </c>
      <c r="E214" s="11" t="s">
        <v>1608</v>
      </c>
      <c r="F214" s="11"/>
      <c r="G214" s="11"/>
      <c r="H214" s="22" t="s">
        <v>1640</v>
      </c>
      <c r="I214" s="11" t="s">
        <v>598</v>
      </c>
      <c r="J214" s="22"/>
      <c r="K214" s="22"/>
    </row>
    <row r="215" customFormat="false" ht="15" hidden="false" customHeight="false" outlineLevel="0" collapsed="false">
      <c r="A215" s="22" t="s">
        <v>970</v>
      </c>
      <c r="B215" s="11" t="n">
        <v>8</v>
      </c>
      <c r="C215" s="22" t="s">
        <v>1641</v>
      </c>
      <c r="D215" s="21" t="s">
        <v>1642</v>
      </c>
      <c r="E215" s="11" t="s">
        <v>1636</v>
      </c>
      <c r="F215" s="11"/>
      <c r="G215" s="11"/>
      <c r="H215" s="22"/>
      <c r="I215" s="11" t="s">
        <v>598</v>
      </c>
      <c r="J215" s="21" t="s">
        <v>1637</v>
      </c>
      <c r="K215" s="22"/>
    </row>
    <row r="216" customFormat="false" ht="15" hidden="false" customHeight="false" outlineLevel="0" collapsed="false">
      <c r="A216" s="22" t="s">
        <v>970</v>
      </c>
      <c r="B216" s="11" t="n">
        <v>9</v>
      </c>
      <c r="C216" s="22" t="s">
        <v>1643</v>
      </c>
      <c r="D216" s="21" t="s">
        <v>1644</v>
      </c>
      <c r="E216" s="11" t="s">
        <v>1608</v>
      </c>
      <c r="F216" s="11"/>
      <c r="G216" s="11"/>
      <c r="H216" s="22" t="s">
        <v>1640</v>
      </c>
      <c r="I216" s="11" t="s">
        <v>598</v>
      </c>
      <c r="J216" s="22"/>
      <c r="K216" s="22"/>
    </row>
    <row r="217" customFormat="false" ht="15" hidden="false" customHeight="false" outlineLevel="0" collapsed="false">
      <c r="A217" s="22" t="s">
        <v>970</v>
      </c>
      <c r="B217" s="11" t="n">
        <v>10</v>
      </c>
      <c r="C217" s="22" t="s">
        <v>1645</v>
      </c>
      <c r="D217" s="21" t="s">
        <v>2</v>
      </c>
      <c r="E217" s="11" t="s">
        <v>1646</v>
      </c>
      <c r="F217" s="11"/>
      <c r="G217" s="11"/>
      <c r="H217" s="22"/>
      <c r="I217" s="11" t="s">
        <v>598</v>
      </c>
      <c r="J217" s="22" t="s">
        <v>1647</v>
      </c>
      <c r="K217" s="21" t="s">
        <v>1648</v>
      </c>
    </row>
    <row r="218" customFormat="false" ht="15" hidden="false" customHeight="true" outlineLevel="0" collapsed="false">
      <c r="A218" s="30" t="s">
        <v>814</v>
      </c>
      <c r="B218" s="31" t="s">
        <v>1864</v>
      </c>
      <c r="C218" s="31"/>
      <c r="D218" s="31"/>
      <c r="E218" s="31"/>
      <c r="F218" s="31"/>
      <c r="G218" s="31"/>
      <c r="H218" s="31"/>
      <c r="I218" s="31"/>
      <c r="J218" s="31"/>
      <c r="K218" s="31"/>
    </row>
    <row r="219" customFormat="false" ht="15" hidden="false" customHeight="false" outlineLevel="0" collapsed="false">
      <c r="A219" s="22" t="s">
        <v>814</v>
      </c>
      <c r="B219" s="11" t="n">
        <v>1</v>
      </c>
      <c r="C219" s="22" t="s">
        <v>1606</v>
      </c>
      <c r="D219" s="21" t="s">
        <v>1865</v>
      </c>
      <c r="E219" s="11" t="s">
        <v>1608</v>
      </c>
      <c r="F219" s="11"/>
      <c r="G219" s="11" t="s">
        <v>598</v>
      </c>
      <c r="H219" s="22"/>
      <c r="I219" s="11" t="s">
        <v>598</v>
      </c>
      <c r="J219" s="21" t="s">
        <v>1609</v>
      </c>
      <c r="K219" s="22"/>
    </row>
    <row r="220" customFormat="false" ht="15" hidden="false" customHeight="false" outlineLevel="0" collapsed="false">
      <c r="A220" s="22" t="s">
        <v>814</v>
      </c>
      <c r="B220" s="11" t="n">
        <v>2</v>
      </c>
      <c r="C220" s="22" t="s">
        <v>1866</v>
      </c>
      <c r="D220" s="21" t="s">
        <v>1867</v>
      </c>
      <c r="E220" s="11" t="s">
        <v>1636</v>
      </c>
      <c r="F220" s="11"/>
      <c r="G220" s="11"/>
      <c r="H220" s="22"/>
      <c r="I220" s="11" t="s">
        <v>598</v>
      </c>
      <c r="J220" s="22"/>
      <c r="K220" s="22"/>
    </row>
    <row r="221" customFormat="false" ht="23.85" hidden="false" customHeight="false" outlineLevel="0" collapsed="false">
      <c r="A221" s="22" t="s">
        <v>814</v>
      </c>
      <c r="B221" s="11" t="n">
        <v>3</v>
      </c>
      <c r="C221" s="22" t="s">
        <v>1868</v>
      </c>
      <c r="D221" s="21" t="s">
        <v>1869</v>
      </c>
      <c r="E221" s="11" t="s">
        <v>1611</v>
      </c>
      <c r="F221" s="11" t="s">
        <v>599</v>
      </c>
      <c r="G221" s="11"/>
      <c r="H221" s="22"/>
      <c r="I221" s="11" t="s">
        <v>598</v>
      </c>
      <c r="J221" s="22"/>
      <c r="K221" s="22" t="s">
        <v>1870</v>
      </c>
    </row>
    <row r="222" customFormat="false" ht="15" hidden="false" customHeight="false" outlineLevel="0" collapsed="false">
      <c r="A222" s="22" t="s">
        <v>814</v>
      </c>
      <c r="B222" s="11" t="n">
        <v>4</v>
      </c>
      <c r="C222" s="22" t="s">
        <v>1806</v>
      </c>
      <c r="D222" s="21" t="s">
        <v>1807</v>
      </c>
      <c r="E222" s="11" t="s">
        <v>1608</v>
      </c>
      <c r="F222" s="11"/>
      <c r="G222" s="11"/>
      <c r="H222" s="22" t="s">
        <v>1808</v>
      </c>
      <c r="I222" s="11" t="s">
        <v>598</v>
      </c>
      <c r="J222" s="22"/>
      <c r="K222" s="22"/>
    </row>
    <row r="223" customFormat="false" ht="15" hidden="false" customHeight="false" outlineLevel="0" collapsed="false">
      <c r="A223" s="22" t="s">
        <v>814</v>
      </c>
      <c r="B223" s="11" t="n">
        <v>5</v>
      </c>
      <c r="C223" s="22" t="s">
        <v>1812</v>
      </c>
      <c r="D223" s="21" t="s">
        <v>1717</v>
      </c>
      <c r="E223" s="11" t="s">
        <v>1608</v>
      </c>
      <c r="F223" s="11"/>
      <c r="G223" s="11"/>
      <c r="H223" s="22" t="s">
        <v>1814</v>
      </c>
      <c r="I223" s="11" t="s">
        <v>598</v>
      </c>
      <c r="J223" s="22"/>
      <c r="K223" s="22"/>
    </row>
    <row r="224" customFormat="false" ht="15" hidden="false" customHeight="false" outlineLevel="0" collapsed="false">
      <c r="A224" s="22" t="s">
        <v>814</v>
      </c>
      <c r="B224" s="11" t="n">
        <v>6</v>
      </c>
      <c r="C224" s="22" t="s">
        <v>1778</v>
      </c>
      <c r="D224" s="21" t="s">
        <v>1871</v>
      </c>
      <c r="E224" s="11" t="s">
        <v>1646</v>
      </c>
      <c r="F224" s="11"/>
      <c r="G224" s="11"/>
      <c r="H224" s="22"/>
      <c r="I224" s="11" t="s">
        <v>598</v>
      </c>
      <c r="J224" s="22"/>
      <c r="K224" s="21" t="s">
        <v>1872</v>
      </c>
    </row>
    <row r="225" customFormat="false" ht="15" hidden="false" customHeight="false" outlineLevel="0" collapsed="false">
      <c r="A225" s="22" t="s">
        <v>814</v>
      </c>
      <c r="B225" s="11" t="n">
        <v>7</v>
      </c>
      <c r="C225" s="22" t="s">
        <v>1873</v>
      </c>
      <c r="D225" s="21" t="s">
        <v>1874</v>
      </c>
      <c r="E225" s="11" t="s">
        <v>1611</v>
      </c>
      <c r="F225" s="11" t="s">
        <v>792</v>
      </c>
      <c r="G225" s="11"/>
      <c r="H225" s="22"/>
      <c r="I225" s="11"/>
      <c r="J225" s="22"/>
      <c r="K225" s="22" t="s">
        <v>1875</v>
      </c>
    </row>
    <row r="226" customFormat="false" ht="15" hidden="false" customHeight="false" outlineLevel="0" collapsed="false">
      <c r="A226" s="22" t="s">
        <v>814</v>
      </c>
      <c r="B226" s="11" t="n">
        <v>8</v>
      </c>
      <c r="C226" s="22" t="s">
        <v>1876</v>
      </c>
      <c r="D226" s="21" t="s">
        <v>1877</v>
      </c>
      <c r="E226" s="11" t="s">
        <v>1608</v>
      </c>
      <c r="F226" s="11"/>
      <c r="G226" s="11"/>
      <c r="H226" s="22"/>
      <c r="I226" s="11"/>
      <c r="J226" s="22"/>
      <c r="K226" s="22"/>
    </row>
    <row r="227" customFormat="false" ht="15" hidden="false" customHeight="false" outlineLevel="0" collapsed="false">
      <c r="A227" s="22" t="s">
        <v>814</v>
      </c>
      <c r="B227" s="11" t="n">
        <v>9</v>
      </c>
      <c r="C227" s="22" t="s">
        <v>1844</v>
      </c>
      <c r="D227" s="21" t="s">
        <v>854</v>
      </c>
      <c r="E227" s="11" t="s">
        <v>1769</v>
      </c>
      <c r="F227" s="11"/>
      <c r="G227" s="11"/>
      <c r="H227" s="22"/>
      <c r="I227" s="11"/>
      <c r="J227" s="22"/>
      <c r="K227" s="22" t="s">
        <v>1878</v>
      </c>
    </row>
    <row r="228" customFormat="false" ht="15" hidden="false" customHeight="false" outlineLevel="0" collapsed="false">
      <c r="A228" s="22" t="s">
        <v>814</v>
      </c>
      <c r="B228" s="11" t="n">
        <v>10</v>
      </c>
      <c r="C228" s="22" t="s">
        <v>1634</v>
      </c>
      <c r="D228" s="21" t="s">
        <v>1635</v>
      </c>
      <c r="E228" s="11" t="s">
        <v>1636</v>
      </c>
      <c r="F228" s="11"/>
      <c r="G228" s="11"/>
      <c r="H228" s="22"/>
      <c r="I228" s="11" t="s">
        <v>598</v>
      </c>
      <c r="J228" s="21" t="s">
        <v>1637</v>
      </c>
      <c r="K228" s="22"/>
    </row>
    <row r="229" customFormat="false" ht="15" hidden="false" customHeight="false" outlineLevel="0" collapsed="false">
      <c r="A229" s="22" t="s">
        <v>814</v>
      </c>
      <c r="B229" s="11" t="n">
        <v>11</v>
      </c>
      <c r="C229" s="22" t="s">
        <v>1638</v>
      </c>
      <c r="D229" s="21" t="s">
        <v>1639</v>
      </c>
      <c r="E229" s="11" t="s">
        <v>1608</v>
      </c>
      <c r="F229" s="11"/>
      <c r="G229" s="11"/>
      <c r="H229" s="22" t="s">
        <v>1640</v>
      </c>
      <c r="I229" s="11" t="s">
        <v>598</v>
      </c>
      <c r="J229" s="22"/>
      <c r="K229" s="22"/>
    </row>
    <row r="230" customFormat="false" ht="15" hidden="false" customHeight="true" outlineLevel="0" collapsed="false">
      <c r="A230" s="30" t="s">
        <v>586</v>
      </c>
      <c r="B230" s="31" t="s">
        <v>1879</v>
      </c>
      <c r="C230" s="31"/>
      <c r="D230" s="31"/>
      <c r="E230" s="31"/>
      <c r="F230" s="31"/>
      <c r="G230" s="31"/>
      <c r="H230" s="31"/>
      <c r="I230" s="31"/>
      <c r="J230" s="31"/>
      <c r="K230" s="31"/>
    </row>
    <row r="231" customFormat="false" ht="15" hidden="false" customHeight="false" outlineLevel="0" collapsed="false">
      <c r="A231" s="22" t="s">
        <v>586</v>
      </c>
      <c r="B231" s="11" t="n">
        <v>1</v>
      </c>
      <c r="C231" s="22" t="s">
        <v>1606</v>
      </c>
      <c r="D231" s="21" t="s">
        <v>1880</v>
      </c>
      <c r="E231" s="11" t="s">
        <v>1608</v>
      </c>
      <c r="F231" s="11"/>
      <c r="G231" s="11" t="s">
        <v>598</v>
      </c>
      <c r="H231" s="22"/>
      <c r="I231" s="11" t="s">
        <v>598</v>
      </c>
      <c r="J231" s="21" t="s">
        <v>1609</v>
      </c>
      <c r="K231" s="22"/>
    </row>
    <row r="232" customFormat="false" ht="15" hidden="false" customHeight="false" outlineLevel="0" collapsed="false">
      <c r="A232" s="22" t="s">
        <v>586</v>
      </c>
      <c r="B232" s="11" t="n">
        <v>2</v>
      </c>
      <c r="C232" s="22" t="s">
        <v>1881</v>
      </c>
      <c r="D232" s="21" t="s">
        <v>863</v>
      </c>
      <c r="E232" s="11" t="s">
        <v>1611</v>
      </c>
      <c r="F232" s="11" t="s">
        <v>599</v>
      </c>
      <c r="G232" s="11"/>
      <c r="H232" s="22"/>
      <c r="I232" s="11" t="s">
        <v>598</v>
      </c>
      <c r="J232" s="22"/>
      <c r="K232" s="22" t="s">
        <v>1882</v>
      </c>
    </row>
    <row r="233" customFormat="false" ht="15" hidden="false" customHeight="false" outlineLevel="0" collapsed="false">
      <c r="A233" s="22" t="s">
        <v>586</v>
      </c>
      <c r="B233" s="11" t="n">
        <v>3</v>
      </c>
      <c r="C233" s="22" t="s">
        <v>1709</v>
      </c>
      <c r="D233" s="21" t="s">
        <v>1690</v>
      </c>
      <c r="E233" s="11" t="s">
        <v>1608</v>
      </c>
      <c r="F233" s="11"/>
      <c r="G233" s="11"/>
      <c r="H233" s="22" t="s">
        <v>980</v>
      </c>
      <c r="I233" s="11" t="s">
        <v>598</v>
      </c>
      <c r="J233" s="22"/>
      <c r="K233" s="22"/>
    </row>
    <row r="234" customFormat="false" ht="15" hidden="false" customHeight="false" outlineLevel="0" collapsed="false">
      <c r="A234" s="22" t="s">
        <v>586</v>
      </c>
      <c r="B234" s="11" t="n">
        <v>4</v>
      </c>
      <c r="C234" s="22" t="s">
        <v>1883</v>
      </c>
      <c r="D234" s="21" t="s">
        <v>1708</v>
      </c>
      <c r="E234" s="11" t="s">
        <v>1608</v>
      </c>
      <c r="F234" s="11"/>
      <c r="G234" s="11"/>
      <c r="H234" s="22" t="s">
        <v>1884</v>
      </c>
      <c r="I234" s="11" t="s">
        <v>598</v>
      </c>
      <c r="J234" s="22"/>
      <c r="K234" s="21" t="s">
        <v>1885</v>
      </c>
    </row>
    <row r="235" customFormat="false" ht="15" hidden="false" customHeight="false" outlineLevel="0" collapsed="false">
      <c r="A235" s="22" t="s">
        <v>586</v>
      </c>
      <c r="B235" s="11" t="n">
        <v>5</v>
      </c>
      <c r="C235" s="22" t="s">
        <v>1756</v>
      </c>
      <c r="D235" s="21" t="s">
        <v>873</v>
      </c>
      <c r="E235" s="11" t="s">
        <v>1758</v>
      </c>
      <c r="F235" s="11"/>
      <c r="G235" s="11"/>
      <c r="H235" s="22"/>
      <c r="I235" s="11" t="s">
        <v>598</v>
      </c>
      <c r="J235" s="22"/>
      <c r="K235" s="22"/>
    </row>
    <row r="236" customFormat="false" ht="15" hidden="false" customHeight="false" outlineLevel="0" collapsed="false">
      <c r="A236" s="22" t="s">
        <v>586</v>
      </c>
      <c r="B236" s="11" t="n">
        <v>6</v>
      </c>
      <c r="C236" s="22" t="s">
        <v>1886</v>
      </c>
      <c r="D236" s="21" t="s">
        <v>875</v>
      </c>
      <c r="E236" s="11" t="s">
        <v>1758</v>
      </c>
      <c r="F236" s="11"/>
      <c r="G236" s="11"/>
      <c r="H236" s="22"/>
      <c r="I236" s="11"/>
      <c r="J236" s="22"/>
      <c r="K236" s="22"/>
    </row>
    <row r="237" customFormat="false" ht="15" hidden="false" customHeight="false" outlineLevel="0" collapsed="false">
      <c r="A237" s="22" t="s">
        <v>586</v>
      </c>
      <c r="B237" s="11" t="n">
        <v>7</v>
      </c>
      <c r="C237" s="22" t="s">
        <v>1887</v>
      </c>
      <c r="D237" s="21" t="s">
        <v>338</v>
      </c>
      <c r="E237" s="11" t="s">
        <v>1608</v>
      </c>
      <c r="F237" s="11"/>
      <c r="G237" s="11"/>
      <c r="H237" s="22" t="s">
        <v>1640</v>
      </c>
      <c r="I237" s="11" t="s">
        <v>598</v>
      </c>
      <c r="J237" s="22"/>
      <c r="K237" s="22"/>
    </row>
    <row r="238" customFormat="false" ht="15" hidden="false" customHeight="false" outlineLevel="0" collapsed="false">
      <c r="A238" s="22" t="s">
        <v>586</v>
      </c>
      <c r="B238" s="11" t="n">
        <v>8</v>
      </c>
      <c r="C238" s="22" t="s">
        <v>1888</v>
      </c>
      <c r="D238" s="21" t="s">
        <v>1889</v>
      </c>
      <c r="E238" s="11" t="s">
        <v>1608</v>
      </c>
      <c r="F238" s="11"/>
      <c r="G238" s="11"/>
      <c r="H238" s="22" t="s">
        <v>1640</v>
      </c>
      <c r="I238" s="11"/>
      <c r="J238" s="22"/>
      <c r="K238" s="22" t="s">
        <v>1890</v>
      </c>
    </row>
    <row r="239" customFormat="false" ht="15" hidden="false" customHeight="false" outlineLevel="0" collapsed="false">
      <c r="A239" s="22" t="s">
        <v>586</v>
      </c>
      <c r="B239" s="11" t="n">
        <v>9</v>
      </c>
      <c r="C239" s="22" t="s">
        <v>1891</v>
      </c>
      <c r="D239" s="21" t="s">
        <v>1892</v>
      </c>
      <c r="E239" s="11" t="s">
        <v>1636</v>
      </c>
      <c r="F239" s="11"/>
      <c r="G239" s="11"/>
      <c r="H239" s="22"/>
      <c r="I239" s="11"/>
      <c r="J239" s="22"/>
      <c r="K239" s="22"/>
    </row>
    <row r="240" customFormat="false" ht="15" hidden="false" customHeight="false" outlineLevel="0" collapsed="false">
      <c r="A240" s="22" t="s">
        <v>586</v>
      </c>
      <c r="B240" s="11" t="n">
        <v>10</v>
      </c>
      <c r="C240" s="22" t="s">
        <v>1761</v>
      </c>
      <c r="D240" s="21" t="s">
        <v>794</v>
      </c>
      <c r="E240" s="11" t="s">
        <v>1611</v>
      </c>
      <c r="F240" s="11" t="s">
        <v>599</v>
      </c>
      <c r="G240" s="11"/>
      <c r="H240" s="22"/>
      <c r="I240" s="11" t="s">
        <v>598</v>
      </c>
      <c r="J240" s="22" t="s">
        <v>1893</v>
      </c>
      <c r="K240" s="22" t="s">
        <v>1894</v>
      </c>
    </row>
    <row r="241" customFormat="false" ht="15" hidden="false" customHeight="false" outlineLevel="0" collapsed="false">
      <c r="A241" s="22" t="s">
        <v>586</v>
      </c>
      <c r="B241" s="11" t="n">
        <v>11</v>
      </c>
      <c r="C241" s="22" t="s">
        <v>1768</v>
      </c>
      <c r="D241" s="21" t="s">
        <v>1604</v>
      </c>
      <c r="E241" s="11" t="s">
        <v>1769</v>
      </c>
      <c r="F241" s="11"/>
      <c r="G241" s="11"/>
      <c r="H241" s="22"/>
      <c r="I241" s="11"/>
      <c r="J241" s="22"/>
      <c r="K241" s="22"/>
    </row>
    <row r="242" customFormat="false" ht="15" hidden="false" customHeight="false" outlineLevel="0" collapsed="false">
      <c r="A242" s="22" t="s">
        <v>586</v>
      </c>
      <c r="B242" s="11" t="n">
        <v>12</v>
      </c>
      <c r="C242" s="22" t="s">
        <v>1634</v>
      </c>
      <c r="D242" s="21" t="s">
        <v>1635</v>
      </c>
      <c r="E242" s="11" t="s">
        <v>1636</v>
      </c>
      <c r="F242" s="11"/>
      <c r="G242" s="11"/>
      <c r="H242" s="22"/>
      <c r="I242" s="11" t="s">
        <v>598</v>
      </c>
      <c r="J242" s="21" t="s">
        <v>1637</v>
      </c>
      <c r="K242" s="22"/>
    </row>
    <row r="243" customFormat="false" ht="15" hidden="false" customHeight="false" outlineLevel="0" collapsed="false">
      <c r="A243" s="22" t="s">
        <v>586</v>
      </c>
      <c r="B243" s="11" t="n">
        <v>13</v>
      </c>
      <c r="C243" s="22" t="s">
        <v>1638</v>
      </c>
      <c r="D243" s="21" t="s">
        <v>1639</v>
      </c>
      <c r="E243" s="11" t="s">
        <v>1608</v>
      </c>
      <c r="F243" s="11"/>
      <c r="G243" s="11"/>
      <c r="H243" s="22" t="s">
        <v>1640</v>
      </c>
      <c r="I243" s="11" t="s">
        <v>598</v>
      </c>
      <c r="J243" s="22"/>
      <c r="K243" s="22"/>
    </row>
    <row r="244" customFormat="false" ht="15" hidden="false" customHeight="false" outlineLevel="0" collapsed="false">
      <c r="A244" s="22" t="s">
        <v>586</v>
      </c>
      <c r="B244" s="11" t="n">
        <v>14</v>
      </c>
      <c r="C244" s="22" t="s">
        <v>1641</v>
      </c>
      <c r="D244" s="21" t="s">
        <v>1642</v>
      </c>
      <c r="E244" s="11" t="s">
        <v>1636</v>
      </c>
      <c r="F244" s="11"/>
      <c r="G244" s="11"/>
      <c r="H244" s="22"/>
      <c r="I244" s="11" t="s">
        <v>598</v>
      </c>
      <c r="J244" s="21" t="s">
        <v>1637</v>
      </c>
      <c r="K244" s="22"/>
    </row>
    <row r="245" customFormat="false" ht="15" hidden="false" customHeight="false" outlineLevel="0" collapsed="false">
      <c r="A245" s="22" t="s">
        <v>586</v>
      </c>
      <c r="B245" s="11" t="n">
        <v>15</v>
      </c>
      <c r="C245" s="22" t="s">
        <v>1643</v>
      </c>
      <c r="D245" s="21" t="s">
        <v>1644</v>
      </c>
      <c r="E245" s="11" t="s">
        <v>1608</v>
      </c>
      <c r="F245" s="11"/>
      <c r="G245" s="11"/>
      <c r="H245" s="22" t="s">
        <v>1640</v>
      </c>
      <c r="I245" s="11" t="s">
        <v>598</v>
      </c>
      <c r="J245" s="22"/>
      <c r="K245" s="22"/>
    </row>
    <row r="246" customFormat="false" ht="15" hidden="false" customHeight="false" outlineLevel="0" collapsed="false">
      <c r="A246" s="22" t="s">
        <v>586</v>
      </c>
      <c r="B246" s="11" t="n">
        <v>16</v>
      </c>
      <c r="C246" s="22" t="s">
        <v>1645</v>
      </c>
      <c r="D246" s="21" t="s">
        <v>2</v>
      </c>
      <c r="E246" s="11" t="s">
        <v>1646</v>
      </c>
      <c r="F246" s="11"/>
      <c r="G246" s="11"/>
      <c r="H246" s="22"/>
      <c r="I246" s="11" t="s">
        <v>598</v>
      </c>
      <c r="J246" s="22" t="s">
        <v>1647</v>
      </c>
      <c r="K246" s="21" t="s">
        <v>1648</v>
      </c>
    </row>
    <row r="247" customFormat="false" ht="15" hidden="false" customHeight="true" outlineLevel="0" collapsed="false">
      <c r="A247" s="30" t="s">
        <v>910</v>
      </c>
      <c r="B247" s="31" t="s">
        <v>1895</v>
      </c>
      <c r="C247" s="31"/>
      <c r="D247" s="31"/>
      <c r="E247" s="31"/>
      <c r="F247" s="31"/>
      <c r="G247" s="31"/>
      <c r="H247" s="31"/>
      <c r="I247" s="31"/>
      <c r="J247" s="31"/>
      <c r="K247" s="31"/>
    </row>
    <row r="248" customFormat="false" ht="15" hidden="false" customHeight="false" outlineLevel="0" collapsed="false">
      <c r="A248" s="22" t="s">
        <v>910</v>
      </c>
      <c r="B248" s="11" t="n">
        <v>1</v>
      </c>
      <c r="C248" s="22" t="s">
        <v>1606</v>
      </c>
      <c r="D248" s="21" t="s">
        <v>1896</v>
      </c>
      <c r="E248" s="11" t="s">
        <v>1608</v>
      </c>
      <c r="F248" s="11"/>
      <c r="G248" s="11" t="s">
        <v>598</v>
      </c>
      <c r="H248" s="22"/>
      <c r="I248" s="11" t="s">
        <v>598</v>
      </c>
      <c r="J248" s="21" t="s">
        <v>1609</v>
      </c>
      <c r="K248" s="22"/>
    </row>
    <row r="249" customFormat="false" ht="15" hidden="false" customHeight="false" outlineLevel="0" collapsed="false">
      <c r="A249" s="22" t="s">
        <v>910</v>
      </c>
      <c r="B249" s="11" t="n">
        <v>2</v>
      </c>
      <c r="C249" s="22" t="s">
        <v>1897</v>
      </c>
      <c r="D249" s="21" t="s">
        <v>1880</v>
      </c>
      <c r="E249" s="11" t="s">
        <v>1608</v>
      </c>
      <c r="F249" s="11"/>
      <c r="G249" s="11"/>
      <c r="H249" s="22" t="s">
        <v>1898</v>
      </c>
      <c r="I249" s="11" t="s">
        <v>598</v>
      </c>
      <c r="J249" s="22"/>
      <c r="K249" s="22"/>
    </row>
    <row r="250" customFormat="false" ht="15" hidden="false" customHeight="false" outlineLevel="0" collapsed="false">
      <c r="A250" s="22" t="s">
        <v>910</v>
      </c>
      <c r="B250" s="11" t="n">
        <v>3</v>
      </c>
      <c r="C250" s="22" t="s">
        <v>1774</v>
      </c>
      <c r="D250" s="21" t="s">
        <v>1775</v>
      </c>
      <c r="E250" s="11" t="s">
        <v>1646</v>
      </c>
      <c r="F250" s="11"/>
      <c r="G250" s="11"/>
      <c r="H250" s="22"/>
      <c r="I250" s="11" t="s">
        <v>598</v>
      </c>
      <c r="J250" s="22"/>
      <c r="K250" s="22"/>
    </row>
    <row r="251" customFormat="false" ht="15" hidden="false" customHeight="false" outlineLevel="0" collapsed="false">
      <c r="A251" s="22" t="s">
        <v>910</v>
      </c>
      <c r="B251" s="11" t="n">
        <v>4</v>
      </c>
      <c r="C251" s="22" t="s">
        <v>1776</v>
      </c>
      <c r="D251" s="21" t="s">
        <v>1650</v>
      </c>
      <c r="E251" s="11" t="s">
        <v>1608</v>
      </c>
      <c r="F251" s="11"/>
      <c r="G251" s="11"/>
      <c r="H251" s="22" t="s">
        <v>1777</v>
      </c>
      <c r="I251" s="11" t="s">
        <v>598</v>
      </c>
      <c r="J251" s="22"/>
      <c r="K251" s="22"/>
    </row>
    <row r="252" customFormat="false" ht="15" hidden="false" customHeight="false" outlineLevel="0" collapsed="false">
      <c r="A252" s="22" t="s">
        <v>910</v>
      </c>
      <c r="B252" s="11" t="n">
        <v>5</v>
      </c>
      <c r="C252" s="22" t="s">
        <v>1778</v>
      </c>
      <c r="D252" s="21" t="s">
        <v>885</v>
      </c>
      <c r="E252" s="11" t="s">
        <v>1646</v>
      </c>
      <c r="F252" s="11"/>
      <c r="G252" s="11"/>
      <c r="H252" s="22"/>
      <c r="I252" s="11" t="s">
        <v>598</v>
      </c>
      <c r="J252" s="22"/>
      <c r="K252" s="22" t="s">
        <v>1780</v>
      </c>
    </row>
    <row r="253" customFormat="false" ht="15" hidden="false" customHeight="false" outlineLevel="0" collapsed="false">
      <c r="A253" s="22" t="s">
        <v>910</v>
      </c>
      <c r="B253" s="11" t="n">
        <v>6</v>
      </c>
      <c r="C253" s="22" t="s">
        <v>1781</v>
      </c>
      <c r="D253" s="21" t="s">
        <v>888</v>
      </c>
      <c r="E253" s="11" t="s">
        <v>1663</v>
      </c>
      <c r="F253" s="11" t="s">
        <v>743</v>
      </c>
      <c r="G253" s="11"/>
      <c r="H253" s="22"/>
      <c r="I253" s="11" t="s">
        <v>598</v>
      </c>
      <c r="J253" s="22"/>
      <c r="K253" s="21" t="s">
        <v>1685</v>
      </c>
    </row>
    <row r="254" customFormat="false" ht="15" hidden="false" customHeight="false" outlineLevel="0" collapsed="false">
      <c r="A254" s="22" t="s">
        <v>910</v>
      </c>
      <c r="B254" s="11" t="n">
        <v>7</v>
      </c>
      <c r="C254" s="22" t="s">
        <v>1899</v>
      </c>
      <c r="D254" s="21" t="s">
        <v>1900</v>
      </c>
      <c r="E254" s="11" t="s">
        <v>1646</v>
      </c>
      <c r="F254" s="11"/>
      <c r="G254" s="11"/>
      <c r="H254" s="22"/>
      <c r="I254" s="11" t="s">
        <v>598</v>
      </c>
      <c r="J254" s="22" t="s">
        <v>1014</v>
      </c>
      <c r="K254" s="22"/>
    </row>
    <row r="255" customFormat="false" ht="15" hidden="false" customHeight="false" outlineLevel="0" collapsed="false">
      <c r="A255" s="22" t="s">
        <v>910</v>
      </c>
      <c r="B255" s="11" t="n">
        <v>8</v>
      </c>
      <c r="C255" s="22" t="s">
        <v>1634</v>
      </c>
      <c r="D255" s="21" t="s">
        <v>1635</v>
      </c>
      <c r="E255" s="11" t="s">
        <v>1636</v>
      </c>
      <c r="F255" s="11"/>
      <c r="G255" s="11"/>
      <c r="H255" s="22"/>
      <c r="I255" s="11" t="s">
        <v>598</v>
      </c>
      <c r="J255" s="21" t="s">
        <v>1637</v>
      </c>
      <c r="K255" s="22"/>
    </row>
    <row r="256" customFormat="false" ht="15" hidden="false" customHeight="false" outlineLevel="0" collapsed="false">
      <c r="A256" s="22" t="s">
        <v>910</v>
      </c>
      <c r="B256" s="11" t="n">
        <v>9</v>
      </c>
      <c r="C256" s="22" t="s">
        <v>1638</v>
      </c>
      <c r="D256" s="21" t="s">
        <v>1639</v>
      </c>
      <c r="E256" s="11" t="s">
        <v>1608</v>
      </c>
      <c r="F256" s="11"/>
      <c r="G256" s="11"/>
      <c r="H256" s="22" t="s">
        <v>1640</v>
      </c>
      <c r="I256" s="11" t="s">
        <v>598</v>
      </c>
      <c r="J256" s="22"/>
      <c r="K256" s="22"/>
    </row>
    <row r="257" customFormat="false" ht="15" hidden="false" customHeight="false" outlineLevel="0" collapsed="false">
      <c r="A257" s="22" t="s">
        <v>910</v>
      </c>
      <c r="B257" s="11" t="n">
        <v>10</v>
      </c>
      <c r="C257" s="22" t="s">
        <v>1641</v>
      </c>
      <c r="D257" s="21" t="s">
        <v>1642</v>
      </c>
      <c r="E257" s="11" t="s">
        <v>1636</v>
      </c>
      <c r="F257" s="11"/>
      <c r="G257" s="11"/>
      <c r="H257" s="22"/>
      <c r="I257" s="11" t="s">
        <v>598</v>
      </c>
      <c r="J257" s="21" t="s">
        <v>1637</v>
      </c>
      <c r="K257" s="22"/>
    </row>
    <row r="258" customFormat="false" ht="15" hidden="false" customHeight="false" outlineLevel="0" collapsed="false">
      <c r="A258" s="22" t="s">
        <v>910</v>
      </c>
      <c r="B258" s="11" t="n">
        <v>11</v>
      </c>
      <c r="C258" s="22" t="s">
        <v>1643</v>
      </c>
      <c r="D258" s="21" t="s">
        <v>1644</v>
      </c>
      <c r="E258" s="11" t="s">
        <v>1608</v>
      </c>
      <c r="F258" s="11"/>
      <c r="G258" s="11"/>
      <c r="H258" s="22" t="s">
        <v>1640</v>
      </c>
      <c r="I258" s="11" t="s">
        <v>598</v>
      </c>
      <c r="J258" s="22"/>
      <c r="K258" s="22"/>
    </row>
    <row r="259" customFormat="false" ht="15" hidden="false" customHeight="false" outlineLevel="0" collapsed="false">
      <c r="A259" s="22" t="s">
        <v>910</v>
      </c>
      <c r="B259" s="11" t="n">
        <v>12</v>
      </c>
      <c r="C259" s="22" t="s">
        <v>1645</v>
      </c>
      <c r="D259" s="21" t="s">
        <v>2</v>
      </c>
      <c r="E259" s="11" t="s">
        <v>1646</v>
      </c>
      <c r="F259" s="11"/>
      <c r="G259" s="11"/>
      <c r="H259" s="22"/>
      <c r="I259" s="11" t="s">
        <v>598</v>
      </c>
      <c r="J259" s="22" t="s">
        <v>1647</v>
      </c>
      <c r="K259" s="21" t="s">
        <v>1648</v>
      </c>
    </row>
    <row r="260" customFormat="false" ht="15" hidden="false" customHeight="true" outlineLevel="0" collapsed="false">
      <c r="A260" s="30" t="s">
        <v>1571</v>
      </c>
      <c r="B260" s="31" t="s">
        <v>1901</v>
      </c>
      <c r="C260" s="31"/>
      <c r="D260" s="31"/>
      <c r="E260" s="31"/>
      <c r="F260" s="31"/>
      <c r="G260" s="31"/>
      <c r="H260" s="31"/>
      <c r="I260" s="31"/>
      <c r="J260" s="31"/>
      <c r="K260" s="31"/>
    </row>
    <row r="261" customFormat="false" ht="15" hidden="false" customHeight="false" outlineLevel="0" collapsed="false">
      <c r="A261" s="22" t="s">
        <v>1571</v>
      </c>
      <c r="B261" s="11" t="n">
        <v>1</v>
      </c>
      <c r="C261" s="22" t="s">
        <v>1606</v>
      </c>
      <c r="D261" s="21" t="s">
        <v>1902</v>
      </c>
      <c r="E261" s="11" t="s">
        <v>1608</v>
      </c>
      <c r="F261" s="11"/>
      <c r="G261" s="11" t="s">
        <v>598</v>
      </c>
      <c r="H261" s="22"/>
      <c r="I261" s="11" t="s">
        <v>598</v>
      </c>
      <c r="J261" s="21" t="s">
        <v>1609</v>
      </c>
      <c r="K261" s="22"/>
    </row>
    <row r="262" customFormat="false" ht="15" hidden="false" customHeight="false" outlineLevel="0" collapsed="false">
      <c r="A262" s="22" t="s">
        <v>1571</v>
      </c>
      <c r="B262" s="11" t="n">
        <v>2</v>
      </c>
      <c r="C262" s="22" t="s">
        <v>1903</v>
      </c>
      <c r="D262" s="21" t="s">
        <v>1904</v>
      </c>
      <c r="E262" s="11" t="s">
        <v>1611</v>
      </c>
      <c r="F262" s="11" t="s">
        <v>599</v>
      </c>
      <c r="G262" s="11"/>
      <c r="H262" s="22"/>
      <c r="I262" s="11" t="s">
        <v>598</v>
      </c>
      <c r="J262" s="22"/>
      <c r="K262" s="22" t="s">
        <v>1905</v>
      </c>
    </row>
    <row r="263" customFormat="false" ht="15" hidden="false" customHeight="false" outlineLevel="0" collapsed="false">
      <c r="A263" s="22" t="s">
        <v>1571</v>
      </c>
      <c r="B263" s="11" t="n">
        <v>3</v>
      </c>
      <c r="C263" s="22" t="s">
        <v>1897</v>
      </c>
      <c r="D263" s="21" t="s">
        <v>1880</v>
      </c>
      <c r="E263" s="11" t="s">
        <v>1608</v>
      </c>
      <c r="F263" s="11"/>
      <c r="G263" s="11"/>
      <c r="H263" s="22" t="s">
        <v>1898</v>
      </c>
      <c r="I263" s="11" t="s">
        <v>598</v>
      </c>
      <c r="J263" s="22"/>
      <c r="K263" s="22"/>
    </row>
    <row r="264" customFormat="false" ht="15" hidden="false" customHeight="false" outlineLevel="0" collapsed="false">
      <c r="A264" s="22" t="s">
        <v>1571</v>
      </c>
      <c r="B264" s="11" t="n">
        <v>4</v>
      </c>
      <c r="C264" s="22" t="s">
        <v>1709</v>
      </c>
      <c r="D264" s="21" t="s">
        <v>1690</v>
      </c>
      <c r="E264" s="11" t="s">
        <v>1608</v>
      </c>
      <c r="F264" s="11"/>
      <c r="G264" s="11"/>
      <c r="H264" s="22" t="s">
        <v>980</v>
      </c>
      <c r="I264" s="11" t="s">
        <v>598</v>
      </c>
      <c r="J264" s="22"/>
      <c r="K264" s="21" t="s">
        <v>1906</v>
      </c>
    </row>
    <row r="265" customFormat="false" ht="15" hidden="false" customHeight="false" outlineLevel="0" collapsed="false">
      <c r="A265" s="22" t="s">
        <v>1571</v>
      </c>
      <c r="B265" s="11" t="n">
        <v>5</v>
      </c>
      <c r="C265" s="22" t="s">
        <v>1883</v>
      </c>
      <c r="D265" s="21" t="s">
        <v>1708</v>
      </c>
      <c r="E265" s="11" t="s">
        <v>1608</v>
      </c>
      <c r="F265" s="11"/>
      <c r="G265" s="11"/>
      <c r="H265" s="22" t="s">
        <v>1884</v>
      </c>
      <c r="I265" s="11" t="s">
        <v>598</v>
      </c>
      <c r="J265" s="22"/>
      <c r="K265" s="21" t="s">
        <v>1907</v>
      </c>
    </row>
    <row r="266" customFormat="false" ht="15" hidden="false" customHeight="false" outlineLevel="0" collapsed="false">
      <c r="A266" s="22" t="s">
        <v>1571</v>
      </c>
      <c r="B266" s="11" t="n">
        <v>6</v>
      </c>
      <c r="C266" s="22" t="s">
        <v>1908</v>
      </c>
      <c r="D266" s="21" t="s">
        <v>907</v>
      </c>
      <c r="E266" s="11" t="s">
        <v>1758</v>
      </c>
      <c r="F266" s="11"/>
      <c r="G266" s="11"/>
      <c r="H266" s="22"/>
      <c r="I266" s="11" t="s">
        <v>598</v>
      </c>
      <c r="J266" s="22"/>
      <c r="K266" s="22"/>
    </row>
    <row r="267" customFormat="false" ht="15" hidden="false" customHeight="false" outlineLevel="0" collapsed="false">
      <c r="A267" s="22" t="s">
        <v>1571</v>
      </c>
      <c r="B267" s="11" t="n">
        <v>7</v>
      </c>
      <c r="C267" s="22" t="s">
        <v>1909</v>
      </c>
      <c r="D267" s="21" t="s">
        <v>924</v>
      </c>
      <c r="E267" s="11" t="s">
        <v>1611</v>
      </c>
      <c r="F267" s="11" t="s">
        <v>728</v>
      </c>
      <c r="G267" s="11"/>
      <c r="H267" s="22"/>
      <c r="I267" s="11"/>
      <c r="J267" s="22"/>
      <c r="K267" s="21" t="s">
        <v>1910</v>
      </c>
    </row>
    <row r="268" customFormat="false" ht="15" hidden="false" customHeight="false" outlineLevel="0" collapsed="false">
      <c r="A268" s="22" t="s">
        <v>1571</v>
      </c>
      <c r="B268" s="11" t="n">
        <v>8</v>
      </c>
      <c r="C268" s="22" t="s">
        <v>1911</v>
      </c>
      <c r="D268" s="21" t="s">
        <v>927</v>
      </c>
      <c r="E268" s="11" t="s">
        <v>1611</v>
      </c>
      <c r="F268" s="11" t="s">
        <v>728</v>
      </c>
      <c r="G268" s="11"/>
      <c r="H268" s="22"/>
      <c r="I268" s="11"/>
      <c r="J268" s="22"/>
      <c r="K268" s="22"/>
    </row>
    <row r="269" customFormat="false" ht="15" hidden="false" customHeight="false" outlineLevel="0" collapsed="false">
      <c r="A269" s="22" t="s">
        <v>1571</v>
      </c>
      <c r="B269" s="11" t="n">
        <v>9</v>
      </c>
      <c r="C269" s="22" t="s">
        <v>1761</v>
      </c>
      <c r="D269" s="21" t="s">
        <v>794</v>
      </c>
      <c r="E269" s="11" t="s">
        <v>1611</v>
      </c>
      <c r="F269" s="11" t="s">
        <v>599</v>
      </c>
      <c r="G269" s="11"/>
      <c r="H269" s="22"/>
      <c r="I269" s="11" t="s">
        <v>598</v>
      </c>
      <c r="J269" s="22" t="s">
        <v>1912</v>
      </c>
      <c r="K269" s="21" t="s">
        <v>1830</v>
      </c>
    </row>
    <row r="270" customFormat="false" ht="15" hidden="false" customHeight="false" outlineLevel="0" collapsed="false">
      <c r="A270" s="22" t="s">
        <v>1571</v>
      </c>
      <c r="B270" s="11" t="n">
        <v>10</v>
      </c>
      <c r="C270" s="22" t="s">
        <v>1634</v>
      </c>
      <c r="D270" s="21" t="s">
        <v>1635</v>
      </c>
      <c r="E270" s="11" t="s">
        <v>1636</v>
      </c>
      <c r="F270" s="11"/>
      <c r="G270" s="11"/>
      <c r="H270" s="22"/>
      <c r="I270" s="11" t="s">
        <v>598</v>
      </c>
      <c r="J270" s="21" t="s">
        <v>1637</v>
      </c>
      <c r="K270" s="22"/>
    </row>
    <row r="271" customFormat="false" ht="15" hidden="false" customHeight="false" outlineLevel="0" collapsed="false">
      <c r="A271" s="22" t="s">
        <v>1571</v>
      </c>
      <c r="B271" s="11" t="n">
        <v>11</v>
      </c>
      <c r="C271" s="22" t="s">
        <v>1638</v>
      </c>
      <c r="D271" s="21" t="s">
        <v>1639</v>
      </c>
      <c r="E271" s="11" t="s">
        <v>1608</v>
      </c>
      <c r="F271" s="11"/>
      <c r="G271" s="11"/>
      <c r="H271" s="22" t="s">
        <v>1640</v>
      </c>
      <c r="I271" s="11" t="s">
        <v>598</v>
      </c>
      <c r="J271" s="22"/>
      <c r="K271" s="22"/>
    </row>
    <row r="272" customFormat="false" ht="15" hidden="false" customHeight="false" outlineLevel="0" collapsed="false">
      <c r="A272" s="22" t="s">
        <v>1571</v>
      </c>
      <c r="B272" s="11" t="n">
        <v>12</v>
      </c>
      <c r="C272" s="22" t="s">
        <v>1641</v>
      </c>
      <c r="D272" s="21" t="s">
        <v>1642</v>
      </c>
      <c r="E272" s="11" t="s">
        <v>1636</v>
      </c>
      <c r="F272" s="11"/>
      <c r="G272" s="11"/>
      <c r="H272" s="22"/>
      <c r="I272" s="11" t="s">
        <v>598</v>
      </c>
      <c r="J272" s="21" t="s">
        <v>1637</v>
      </c>
      <c r="K272" s="22"/>
    </row>
    <row r="273" customFormat="false" ht="15" hidden="false" customHeight="false" outlineLevel="0" collapsed="false">
      <c r="A273" s="22" t="s">
        <v>1571</v>
      </c>
      <c r="B273" s="11" t="n">
        <v>13</v>
      </c>
      <c r="C273" s="22" t="s">
        <v>1643</v>
      </c>
      <c r="D273" s="21" t="s">
        <v>1644</v>
      </c>
      <c r="E273" s="11" t="s">
        <v>1608</v>
      </c>
      <c r="F273" s="11"/>
      <c r="G273" s="11"/>
      <c r="H273" s="22" t="s">
        <v>1640</v>
      </c>
      <c r="I273" s="11" t="s">
        <v>598</v>
      </c>
      <c r="J273" s="22"/>
      <c r="K273" s="22"/>
    </row>
    <row r="274" customFormat="false" ht="15" hidden="false" customHeight="false" outlineLevel="0" collapsed="false">
      <c r="A274" s="22" t="s">
        <v>1571</v>
      </c>
      <c r="B274" s="11" t="n">
        <v>14</v>
      </c>
      <c r="C274" s="22" t="s">
        <v>1645</v>
      </c>
      <c r="D274" s="21" t="s">
        <v>2</v>
      </c>
      <c r="E274" s="11" t="s">
        <v>1646</v>
      </c>
      <c r="F274" s="11"/>
      <c r="G274" s="11"/>
      <c r="H274" s="22"/>
      <c r="I274" s="11" t="s">
        <v>598</v>
      </c>
      <c r="J274" s="22" t="s">
        <v>1647</v>
      </c>
      <c r="K274" s="21" t="s">
        <v>1648</v>
      </c>
    </row>
    <row r="275" customFormat="false" ht="15" hidden="false" customHeight="true" outlineLevel="0" collapsed="false">
      <c r="A275" s="30" t="s">
        <v>1574</v>
      </c>
      <c r="B275" s="31" t="s">
        <v>1913</v>
      </c>
      <c r="C275" s="31"/>
      <c r="D275" s="31"/>
      <c r="E275" s="31"/>
      <c r="F275" s="31"/>
      <c r="G275" s="31"/>
      <c r="H275" s="31"/>
      <c r="I275" s="31"/>
      <c r="J275" s="31"/>
      <c r="K275" s="31"/>
    </row>
    <row r="276" customFormat="false" ht="15" hidden="false" customHeight="false" outlineLevel="0" collapsed="false">
      <c r="A276" s="22" t="s">
        <v>1574</v>
      </c>
      <c r="B276" s="11" t="n">
        <v>1</v>
      </c>
      <c r="C276" s="22" t="s">
        <v>1606</v>
      </c>
      <c r="D276" s="21" t="s">
        <v>1914</v>
      </c>
      <c r="E276" s="11" t="s">
        <v>1608</v>
      </c>
      <c r="F276" s="11"/>
      <c r="G276" s="11" t="s">
        <v>598</v>
      </c>
      <c r="H276" s="22"/>
      <c r="I276" s="11" t="s">
        <v>598</v>
      </c>
      <c r="J276" s="21" t="s">
        <v>1609</v>
      </c>
      <c r="K276" s="22"/>
    </row>
    <row r="277" customFormat="false" ht="15" hidden="false" customHeight="false" outlineLevel="0" collapsed="false">
      <c r="A277" s="22" t="s">
        <v>1574</v>
      </c>
      <c r="B277" s="11" t="n">
        <v>2</v>
      </c>
      <c r="C277" s="22" t="s">
        <v>1915</v>
      </c>
      <c r="D277" s="21" t="s">
        <v>1902</v>
      </c>
      <c r="E277" s="11" t="s">
        <v>1608</v>
      </c>
      <c r="F277" s="11"/>
      <c r="G277" s="11"/>
      <c r="H277" s="22" t="s">
        <v>1916</v>
      </c>
      <c r="I277" s="11" t="s">
        <v>598</v>
      </c>
      <c r="J277" s="22"/>
      <c r="K277" s="22"/>
    </row>
    <row r="278" customFormat="false" ht="15" hidden="false" customHeight="false" outlineLevel="0" collapsed="false">
      <c r="A278" s="22" t="s">
        <v>1574</v>
      </c>
      <c r="B278" s="11" t="n">
        <v>3</v>
      </c>
      <c r="C278" s="22" t="s">
        <v>1917</v>
      </c>
      <c r="D278" s="21" t="s">
        <v>1896</v>
      </c>
      <c r="E278" s="11" t="s">
        <v>1608</v>
      </c>
      <c r="F278" s="11"/>
      <c r="G278" s="11"/>
      <c r="H278" s="22" t="s">
        <v>1918</v>
      </c>
      <c r="I278" s="11" t="s">
        <v>598</v>
      </c>
      <c r="J278" s="22"/>
      <c r="K278" s="22"/>
    </row>
    <row r="279" customFormat="false" ht="15" hidden="false" customHeight="false" outlineLevel="0" collapsed="false">
      <c r="A279" s="22" t="s">
        <v>1574</v>
      </c>
      <c r="B279" s="11" t="n">
        <v>4</v>
      </c>
      <c r="C279" s="22" t="s">
        <v>1776</v>
      </c>
      <c r="D279" s="21" t="s">
        <v>1650</v>
      </c>
      <c r="E279" s="11" t="s">
        <v>1608</v>
      </c>
      <c r="F279" s="11"/>
      <c r="G279" s="11"/>
      <c r="H279" s="22" t="s">
        <v>1777</v>
      </c>
      <c r="I279" s="11" t="s">
        <v>598</v>
      </c>
      <c r="J279" s="22"/>
      <c r="K279" s="21" t="s">
        <v>1919</v>
      </c>
    </row>
    <row r="280" customFormat="false" ht="15" hidden="false" customHeight="false" outlineLevel="0" collapsed="false">
      <c r="A280" s="32" t="s">
        <v>1574</v>
      </c>
      <c r="B280" s="33" t="n">
        <v>5</v>
      </c>
      <c r="C280" s="32" t="s">
        <v>1806</v>
      </c>
      <c r="D280" s="34" t="s">
        <v>1807</v>
      </c>
      <c r="E280" s="33" t="s">
        <v>1608</v>
      </c>
      <c r="F280" s="33"/>
      <c r="G280" s="33"/>
      <c r="H280" s="32" t="s">
        <v>1808</v>
      </c>
      <c r="I280" s="33" t="s">
        <v>598</v>
      </c>
      <c r="J280" s="32"/>
      <c r="K280" s="34" t="s">
        <v>1920</v>
      </c>
    </row>
    <row r="281" customFormat="false" ht="15" hidden="false" customHeight="false" outlineLevel="0" collapsed="false">
      <c r="A281" s="22" t="s">
        <v>1574</v>
      </c>
      <c r="B281" s="11" t="n">
        <v>6</v>
      </c>
      <c r="C281" s="22" t="s">
        <v>1812</v>
      </c>
      <c r="D281" s="21" t="s">
        <v>1921</v>
      </c>
      <c r="E281" s="11" t="s">
        <v>1608</v>
      </c>
      <c r="F281" s="11"/>
      <c r="G281" s="11"/>
      <c r="H281" s="22" t="s">
        <v>1814</v>
      </c>
      <c r="I281" s="11" t="s">
        <v>598</v>
      </c>
      <c r="J281" s="22"/>
      <c r="K281" s="22"/>
    </row>
    <row r="282" customFormat="false" ht="15" hidden="false" customHeight="false" outlineLevel="0" collapsed="false">
      <c r="A282" s="22" t="s">
        <v>1574</v>
      </c>
      <c r="B282" s="11" t="n">
        <v>7</v>
      </c>
      <c r="C282" s="22" t="s">
        <v>1778</v>
      </c>
      <c r="D282" s="21" t="s">
        <v>921</v>
      </c>
      <c r="E282" s="11" t="s">
        <v>1646</v>
      </c>
      <c r="F282" s="11"/>
      <c r="G282" s="11"/>
      <c r="H282" s="22"/>
      <c r="I282" s="11" t="s">
        <v>598</v>
      </c>
      <c r="J282" s="22"/>
      <c r="K282" s="22" t="s">
        <v>1780</v>
      </c>
    </row>
    <row r="283" customFormat="false" ht="15" hidden="false" customHeight="false" outlineLevel="0" collapsed="false">
      <c r="A283" s="22" t="s">
        <v>1574</v>
      </c>
      <c r="B283" s="11" t="n">
        <v>8</v>
      </c>
      <c r="C283" s="22" t="s">
        <v>1781</v>
      </c>
      <c r="D283" s="21" t="s">
        <v>888</v>
      </c>
      <c r="E283" s="11" t="s">
        <v>1663</v>
      </c>
      <c r="F283" s="11" t="s">
        <v>743</v>
      </c>
      <c r="G283" s="11"/>
      <c r="H283" s="22"/>
      <c r="I283" s="11" t="s">
        <v>598</v>
      </c>
      <c r="J283" s="22"/>
      <c r="K283" s="21" t="s">
        <v>1922</v>
      </c>
    </row>
    <row r="284" customFormat="false" ht="15" hidden="false" customHeight="false" outlineLevel="0" collapsed="false">
      <c r="A284" s="22" t="s">
        <v>1574</v>
      </c>
      <c r="B284" s="11" t="n">
        <v>9</v>
      </c>
      <c r="C284" s="22" t="s">
        <v>1823</v>
      </c>
      <c r="D284" s="21" t="s">
        <v>1824</v>
      </c>
      <c r="E284" s="11" t="s">
        <v>1663</v>
      </c>
      <c r="F284" s="11" t="s">
        <v>743</v>
      </c>
      <c r="G284" s="11"/>
      <c r="H284" s="22"/>
      <c r="I284" s="11"/>
      <c r="J284" s="22"/>
      <c r="K284" s="21" t="s">
        <v>1923</v>
      </c>
    </row>
    <row r="285" customFormat="false" ht="26.85" hidden="false" customHeight="false" outlineLevel="0" collapsed="false">
      <c r="A285" s="22" t="s">
        <v>1574</v>
      </c>
      <c r="B285" s="11" t="n">
        <v>10</v>
      </c>
      <c r="C285" s="22" t="s">
        <v>1761</v>
      </c>
      <c r="D285" s="21" t="s">
        <v>1924</v>
      </c>
      <c r="E285" s="11" t="s">
        <v>1611</v>
      </c>
      <c r="F285" s="11" t="s">
        <v>599</v>
      </c>
      <c r="G285" s="11"/>
      <c r="H285" s="22"/>
      <c r="I285" s="11" t="s">
        <v>598</v>
      </c>
      <c r="J285" s="22" t="s">
        <v>1912</v>
      </c>
      <c r="K285" s="22" t="s">
        <v>1925</v>
      </c>
    </row>
    <row r="286" customFormat="false" ht="15" hidden="false" customHeight="false" outlineLevel="0" collapsed="false">
      <c r="A286" s="22" t="s">
        <v>1574</v>
      </c>
      <c r="B286" s="11" t="n">
        <v>11</v>
      </c>
      <c r="C286" s="22" t="s">
        <v>1634</v>
      </c>
      <c r="D286" s="21" t="s">
        <v>1635</v>
      </c>
      <c r="E286" s="11" t="s">
        <v>1636</v>
      </c>
      <c r="F286" s="11"/>
      <c r="G286" s="11"/>
      <c r="H286" s="22"/>
      <c r="I286" s="11" t="s">
        <v>598</v>
      </c>
      <c r="J286" s="21" t="s">
        <v>1637</v>
      </c>
      <c r="K286" s="22"/>
    </row>
    <row r="287" customFormat="false" ht="15" hidden="false" customHeight="false" outlineLevel="0" collapsed="false">
      <c r="A287" s="22" t="s">
        <v>1574</v>
      </c>
      <c r="B287" s="11" t="n">
        <v>12</v>
      </c>
      <c r="C287" s="22" t="s">
        <v>1638</v>
      </c>
      <c r="D287" s="21" t="s">
        <v>1639</v>
      </c>
      <c r="E287" s="11" t="s">
        <v>1608</v>
      </c>
      <c r="F287" s="11"/>
      <c r="G287" s="11"/>
      <c r="H287" s="22" t="s">
        <v>1640</v>
      </c>
      <c r="I287" s="11" t="s">
        <v>598</v>
      </c>
      <c r="J287" s="22"/>
      <c r="K287" s="22"/>
    </row>
    <row r="288" customFormat="false" ht="15" hidden="false" customHeight="false" outlineLevel="0" collapsed="false">
      <c r="A288" s="22" t="s">
        <v>1574</v>
      </c>
      <c r="B288" s="11" t="n">
        <v>13</v>
      </c>
      <c r="C288" s="22" t="s">
        <v>1641</v>
      </c>
      <c r="D288" s="21" t="s">
        <v>1642</v>
      </c>
      <c r="E288" s="11" t="s">
        <v>1636</v>
      </c>
      <c r="F288" s="11"/>
      <c r="G288" s="11"/>
      <c r="H288" s="22"/>
      <c r="I288" s="11" t="s">
        <v>598</v>
      </c>
      <c r="J288" s="21" t="s">
        <v>1637</v>
      </c>
      <c r="K288" s="22"/>
    </row>
    <row r="289" customFormat="false" ht="15" hidden="false" customHeight="false" outlineLevel="0" collapsed="false">
      <c r="A289" s="22" t="s">
        <v>1574</v>
      </c>
      <c r="B289" s="11" t="n">
        <v>14</v>
      </c>
      <c r="C289" s="22" t="s">
        <v>1643</v>
      </c>
      <c r="D289" s="21" t="s">
        <v>1644</v>
      </c>
      <c r="E289" s="11" t="s">
        <v>1608</v>
      </c>
      <c r="F289" s="11"/>
      <c r="G289" s="11"/>
      <c r="H289" s="22" t="s">
        <v>1640</v>
      </c>
      <c r="I289" s="11" t="s">
        <v>598</v>
      </c>
      <c r="J289" s="22"/>
      <c r="K289" s="22"/>
    </row>
    <row r="290" customFormat="false" ht="15" hidden="false" customHeight="false" outlineLevel="0" collapsed="false">
      <c r="A290" s="22" t="s">
        <v>1574</v>
      </c>
      <c r="B290" s="11" t="n">
        <v>15</v>
      </c>
      <c r="C290" s="22" t="s">
        <v>1645</v>
      </c>
      <c r="D290" s="21" t="s">
        <v>2</v>
      </c>
      <c r="E290" s="11" t="s">
        <v>1646</v>
      </c>
      <c r="F290" s="11"/>
      <c r="G290" s="11"/>
      <c r="H290" s="22"/>
      <c r="I290" s="11" t="s">
        <v>598</v>
      </c>
      <c r="J290" s="22" t="s">
        <v>1647</v>
      </c>
      <c r="K290" s="21" t="s">
        <v>1648</v>
      </c>
    </row>
    <row r="291" customFormat="false" ht="15" hidden="false" customHeight="true" outlineLevel="0" collapsed="false">
      <c r="A291" s="30" t="s">
        <v>1578</v>
      </c>
      <c r="B291" s="31" t="s">
        <v>1926</v>
      </c>
      <c r="C291" s="31"/>
      <c r="D291" s="31"/>
      <c r="E291" s="31"/>
      <c r="F291" s="31"/>
      <c r="G291" s="31"/>
      <c r="H291" s="31"/>
      <c r="I291" s="31"/>
      <c r="J291" s="31"/>
      <c r="K291" s="31"/>
    </row>
    <row r="292" customFormat="false" ht="15" hidden="false" customHeight="false" outlineLevel="0" collapsed="false">
      <c r="A292" s="22" t="s">
        <v>1578</v>
      </c>
      <c r="B292" s="11" t="n">
        <v>1</v>
      </c>
      <c r="C292" s="22" t="s">
        <v>1606</v>
      </c>
      <c r="D292" s="21" t="s">
        <v>1927</v>
      </c>
      <c r="E292" s="11" t="s">
        <v>1608</v>
      </c>
      <c r="F292" s="11"/>
      <c r="G292" s="11" t="s">
        <v>598</v>
      </c>
      <c r="H292" s="22"/>
      <c r="I292" s="11" t="s">
        <v>598</v>
      </c>
      <c r="J292" s="21" t="s">
        <v>1609</v>
      </c>
      <c r="K292" s="22"/>
    </row>
    <row r="293" customFormat="false" ht="15" hidden="false" customHeight="false" outlineLevel="0" collapsed="false">
      <c r="A293" s="22" t="s">
        <v>1578</v>
      </c>
      <c r="B293" s="11" t="n">
        <v>2</v>
      </c>
      <c r="C293" s="22" t="s">
        <v>1928</v>
      </c>
      <c r="D293" s="21" t="s">
        <v>1929</v>
      </c>
      <c r="E293" s="11" t="s">
        <v>1611</v>
      </c>
      <c r="F293" s="11" t="s">
        <v>599</v>
      </c>
      <c r="G293" s="11"/>
      <c r="H293" s="22"/>
      <c r="I293" s="11" t="s">
        <v>598</v>
      </c>
      <c r="J293" s="22"/>
      <c r="K293" s="22" t="s">
        <v>1930</v>
      </c>
    </row>
    <row r="294" customFormat="false" ht="15" hidden="false" customHeight="false" outlineLevel="0" collapsed="false">
      <c r="A294" s="22" t="s">
        <v>1578</v>
      </c>
      <c r="B294" s="11" t="n">
        <v>3</v>
      </c>
      <c r="C294" s="22" t="s">
        <v>1931</v>
      </c>
      <c r="D294" s="21" t="s">
        <v>1932</v>
      </c>
      <c r="E294" s="11" t="s">
        <v>1608</v>
      </c>
      <c r="F294" s="11"/>
      <c r="G294" s="11"/>
      <c r="H294" s="22" t="s">
        <v>1933</v>
      </c>
      <c r="I294" s="11" t="s">
        <v>598</v>
      </c>
      <c r="J294" s="22"/>
      <c r="K294" s="21" t="s">
        <v>1934</v>
      </c>
    </row>
    <row r="295" customFormat="false" ht="15" hidden="false" customHeight="false" outlineLevel="0" collapsed="false">
      <c r="A295" s="22" t="s">
        <v>1578</v>
      </c>
      <c r="B295" s="11" t="n">
        <v>4</v>
      </c>
      <c r="C295" s="22" t="s">
        <v>1935</v>
      </c>
      <c r="D295" s="21" t="s">
        <v>1936</v>
      </c>
      <c r="E295" s="11" t="s">
        <v>1608</v>
      </c>
      <c r="F295" s="11"/>
      <c r="G295" s="11"/>
      <c r="H295" s="22" t="s">
        <v>1937</v>
      </c>
      <c r="I295" s="11"/>
      <c r="J295" s="22"/>
      <c r="K295" s="21" t="s">
        <v>1938</v>
      </c>
    </row>
    <row r="296" customFormat="false" ht="15" hidden="false" customHeight="false" outlineLevel="0" collapsed="false">
      <c r="A296" s="22" t="s">
        <v>1578</v>
      </c>
      <c r="B296" s="11" t="n">
        <v>5</v>
      </c>
      <c r="C296" s="22" t="s">
        <v>1939</v>
      </c>
      <c r="D296" s="21" t="s">
        <v>945</v>
      </c>
      <c r="E296" s="11" t="s">
        <v>1758</v>
      </c>
      <c r="F296" s="11"/>
      <c r="G296" s="11"/>
      <c r="H296" s="22"/>
      <c r="I296" s="11" t="s">
        <v>598</v>
      </c>
      <c r="J296" s="22"/>
      <c r="K296" s="22"/>
    </row>
    <row r="297" customFormat="false" ht="15" hidden="false" customHeight="false" outlineLevel="0" collapsed="false">
      <c r="A297" s="22" t="s">
        <v>1578</v>
      </c>
      <c r="B297" s="11" t="n">
        <v>6</v>
      </c>
      <c r="C297" s="22" t="s">
        <v>1778</v>
      </c>
      <c r="D297" s="21" t="s">
        <v>947</v>
      </c>
      <c r="E297" s="11" t="s">
        <v>1646</v>
      </c>
      <c r="F297" s="11"/>
      <c r="G297" s="11"/>
      <c r="H297" s="22"/>
      <c r="I297" s="11" t="s">
        <v>598</v>
      </c>
      <c r="J297" s="22"/>
      <c r="K297" s="22" t="s">
        <v>1940</v>
      </c>
    </row>
    <row r="298" customFormat="false" ht="15" hidden="false" customHeight="false" outlineLevel="0" collapsed="false">
      <c r="A298" s="22" t="s">
        <v>1578</v>
      </c>
      <c r="B298" s="11" t="n">
        <v>7</v>
      </c>
      <c r="C298" s="22" t="s">
        <v>1844</v>
      </c>
      <c r="D298" s="21" t="s">
        <v>950</v>
      </c>
      <c r="E298" s="11" t="s">
        <v>1769</v>
      </c>
      <c r="F298" s="11"/>
      <c r="G298" s="11"/>
      <c r="H298" s="22"/>
      <c r="I298" s="11" t="s">
        <v>598</v>
      </c>
      <c r="J298" s="22"/>
      <c r="K298" s="22"/>
    </row>
    <row r="299" customFormat="false" ht="15" hidden="false" customHeight="false" outlineLevel="0" collapsed="false">
      <c r="A299" s="22" t="s">
        <v>1578</v>
      </c>
      <c r="B299" s="11" t="n">
        <v>8</v>
      </c>
      <c r="C299" s="22" t="s">
        <v>1941</v>
      </c>
      <c r="D299" s="21" t="s">
        <v>1942</v>
      </c>
      <c r="E299" s="11" t="s">
        <v>1611</v>
      </c>
      <c r="F299" s="11" t="s">
        <v>599</v>
      </c>
      <c r="G299" s="11"/>
      <c r="H299" s="22"/>
      <c r="I299" s="11"/>
      <c r="J299" s="22"/>
      <c r="K299" s="22" t="s">
        <v>1943</v>
      </c>
    </row>
    <row r="300" customFormat="false" ht="15" hidden="false" customHeight="false" outlineLevel="0" collapsed="false">
      <c r="A300" s="22" t="s">
        <v>1578</v>
      </c>
      <c r="B300" s="11" t="n">
        <v>9</v>
      </c>
      <c r="C300" s="22" t="s">
        <v>1812</v>
      </c>
      <c r="D300" s="21" t="s">
        <v>1944</v>
      </c>
      <c r="E300" s="11" t="s">
        <v>1608</v>
      </c>
      <c r="F300" s="11"/>
      <c r="G300" s="11"/>
      <c r="H300" s="22" t="s">
        <v>1814</v>
      </c>
      <c r="I300" s="11" t="s">
        <v>598</v>
      </c>
      <c r="J300" s="22"/>
      <c r="K300" s="22" t="s">
        <v>1945</v>
      </c>
    </row>
    <row r="301" customFormat="false" ht="15" hidden="false" customHeight="false" outlineLevel="0" collapsed="false">
      <c r="A301" s="22" t="s">
        <v>1578</v>
      </c>
      <c r="B301" s="11" t="n">
        <v>10</v>
      </c>
      <c r="C301" s="22" t="s">
        <v>1946</v>
      </c>
      <c r="D301" s="21" t="s">
        <v>1947</v>
      </c>
      <c r="E301" s="11" t="s">
        <v>1608</v>
      </c>
      <c r="F301" s="11"/>
      <c r="G301" s="11"/>
      <c r="H301" s="22" t="s">
        <v>1814</v>
      </c>
      <c r="I301" s="11"/>
      <c r="J301" s="22"/>
      <c r="K301" s="22" t="s">
        <v>1948</v>
      </c>
    </row>
    <row r="302" customFormat="false" ht="15" hidden="false" customHeight="false" outlineLevel="0" collapsed="false">
      <c r="A302" s="22" t="s">
        <v>1578</v>
      </c>
      <c r="B302" s="11" t="n">
        <v>11</v>
      </c>
      <c r="C302" s="22" t="s">
        <v>1761</v>
      </c>
      <c r="D302" s="21" t="s">
        <v>794</v>
      </c>
      <c r="E302" s="11" t="s">
        <v>1611</v>
      </c>
      <c r="F302" s="11" t="s">
        <v>599</v>
      </c>
      <c r="G302" s="11"/>
      <c r="H302" s="22"/>
      <c r="I302" s="11" t="s">
        <v>598</v>
      </c>
      <c r="J302" s="22" t="s">
        <v>1949</v>
      </c>
      <c r="K302" s="22" t="s">
        <v>1950</v>
      </c>
    </row>
    <row r="303" customFormat="false" ht="15" hidden="false" customHeight="false" outlineLevel="0" collapsed="false">
      <c r="A303" s="22" t="s">
        <v>1578</v>
      </c>
      <c r="B303" s="11" t="n">
        <v>12</v>
      </c>
      <c r="C303" s="22" t="s">
        <v>1634</v>
      </c>
      <c r="D303" s="21" t="s">
        <v>1635</v>
      </c>
      <c r="E303" s="11" t="s">
        <v>1636</v>
      </c>
      <c r="F303" s="11"/>
      <c r="G303" s="11"/>
      <c r="H303" s="22"/>
      <c r="I303" s="11" t="s">
        <v>598</v>
      </c>
      <c r="J303" s="21" t="s">
        <v>1637</v>
      </c>
      <c r="K303" s="22"/>
    </row>
    <row r="304" customFormat="false" ht="15" hidden="false" customHeight="false" outlineLevel="0" collapsed="false">
      <c r="A304" s="22" t="s">
        <v>1578</v>
      </c>
      <c r="B304" s="11" t="n">
        <v>13</v>
      </c>
      <c r="C304" s="22" t="s">
        <v>1638</v>
      </c>
      <c r="D304" s="21" t="s">
        <v>1639</v>
      </c>
      <c r="E304" s="11" t="s">
        <v>1608</v>
      </c>
      <c r="F304" s="11"/>
      <c r="G304" s="11"/>
      <c r="H304" s="22" t="s">
        <v>1640</v>
      </c>
      <c r="I304" s="11" t="s">
        <v>598</v>
      </c>
      <c r="J304" s="22"/>
      <c r="K304" s="22"/>
    </row>
    <row r="305" customFormat="false" ht="15" hidden="false" customHeight="false" outlineLevel="0" collapsed="false">
      <c r="A305" s="22" t="s">
        <v>1578</v>
      </c>
      <c r="B305" s="11" t="n">
        <v>14</v>
      </c>
      <c r="C305" s="22" t="s">
        <v>1641</v>
      </c>
      <c r="D305" s="21" t="s">
        <v>1642</v>
      </c>
      <c r="E305" s="11" t="s">
        <v>1636</v>
      </c>
      <c r="F305" s="11"/>
      <c r="G305" s="11"/>
      <c r="H305" s="22"/>
      <c r="I305" s="11" t="s">
        <v>598</v>
      </c>
      <c r="J305" s="21" t="s">
        <v>1637</v>
      </c>
      <c r="K305" s="22"/>
    </row>
    <row r="306" customFormat="false" ht="15" hidden="false" customHeight="false" outlineLevel="0" collapsed="false">
      <c r="A306" s="22" t="s">
        <v>1578</v>
      </c>
      <c r="B306" s="11" t="n">
        <v>15</v>
      </c>
      <c r="C306" s="22" t="s">
        <v>1643</v>
      </c>
      <c r="D306" s="21" t="s">
        <v>1644</v>
      </c>
      <c r="E306" s="11" t="s">
        <v>1608</v>
      </c>
      <c r="F306" s="11"/>
      <c r="G306" s="11"/>
      <c r="H306" s="22" t="s">
        <v>1640</v>
      </c>
      <c r="I306" s="11" t="s">
        <v>598</v>
      </c>
      <c r="J306" s="22"/>
      <c r="K306" s="22"/>
    </row>
    <row r="307" customFormat="false" ht="15" hidden="false" customHeight="false" outlineLevel="0" collapsed="false">
      <c r="A307" s="22" t="s">
        <v>1578</v>
      </c>
      <c r="B307" s="11" t="n">
        <v>16</v>
      </c>
      <c r="C307" s="22" t="s">
        <v>1645</v>
      </c>
      <c r="D307" s="21" t="s">
        <v>2</v>
      </c>
      <c r="E307" s="11" t="s">
        <v>1646</v>
      </c>
      <c r="F307" s="11"/>
      <c r="G307" s="11"/>
      <c r="H307" s="22"/>
      <c r="I307" s="11" t="s">
        <v>598</v>
      </c>
      <c r="J307" s="22" t="s">
        <v>1647</v>
      </c>
      <c r="K307" s="21" t="s">
        <v>1648</v>
      </c>
    </row>
    <row r="308" customFormat="false" ht="15" hidden="false" customHeight="true" outlineLevel="0" collapsed="false">
      <c r="A308" s="30" t="s">
        <v>1581</v>
      </c>
      <c r="B308" s="31" t="s">
        <v>1951</v>
      </c>
      <c r="C308" s="31"/>
      <c r="D308" s="31"/>
      <c r="E308" s="31"/>
      <c r="F308" s="31"/>
      <c r="G308" s="31"/>
      <c r="H308" s="31"/>
      <c r="I308" s="31"/>
      <c r="J308" s="31"/>
      <c r="K308" s="31"/>
    </row>
    <row r="309" customFormat="false" ht="15" hidden="false" customHeight="false" outlineLevel="0" collapsed="false">
      <c r="A309" s="22" t="s">
        <v>1581</v>
      </c>
      <c r="B309" s="11" t="n">
        <v>1</v>
      </c>
      <c r="C309" s="22" t="s">
        <v>1606</v>
      </c>
      <c r="D309" s="21" t="s">
        <v>1952</v>
      </c>
      <c r="E309" s="11" t="s">
        <v>1608</v>
      </c>
      <c r="F309" s="11"/>
      <c r="G309" s="11" t="s">
        <v>598</v>
      </c>
      <c r="H309" s="22"/>
      <c r="I309" s="11" t="s">
        <v>598</v>
      </c>
      <c r="J309" s="21" t="s">
        <v>1609</v>
      </c>
      <c r="K309" s="22"/>
    </row>
    <row r="310" customFormat="false" ht="15" hidden="false" customHeight="false" outlineLevel="0" collapsed="false">
      <c r="A310" s="22" t="s">
        <v>1581</v>
      </c>
      <c r="B310" s="11" t="n">
        <v>2</v>
      </c>
      <c r="C310" s="22" t="s">
        <v>1953</v>
      </c>
      <c r="D310" s="21" t="s">
        <v>986</v>
      </c>
      <c r="E310" s="11" t="s">
        <v>1611</v>
      </c>
      <c r="F310" s="11" t="s">
        <v>599</v>
      </c>
      <c r="G310" s="11"/>
      <c r="H310" s="22"/>
      <c r="I310" s="11" t="s">
        <v>598</v>
      </c>
      <c r="J310" s="22"/>
      <c r="K310" s="22" t="s">
        <v>1954</v>
      </c>
    </row>
    <row r="311" customFormat="false" ht="15" hidden="false" customHeight="false" outlineLevel="0" collapsed="false">
      <c r="A311" s="22" t="s">
        <v>1581</v>
      </c>
      <c r="B311" s="11" t="n">
        <v>3</v>
      </c>
      <c r="C311" s="22" t="s">
        <v>1955</v>
      </c>
      <c r="D311" s="21" t="s">
        <v>988</v>
      </c>
      <c r="E311" s="11" t="s">
        <v>1611</v>
      </c>
      <c r="F311" s="11" t="s">
        <v>615</v>
      </c>
      <c r="G311" s="11"/>
      <c r="H311" s="22"/>
      <c r="I311" s="11" t="s">
        <v>598</v>
      </c>
      <c r="J311" s="22"/>
      <c r="K311" s="22"/>
    </row>
    <row r="312" customFormat="false" ht="15" hidden="false" customHeight="false" outlineLevel="0" collapsed="false">
      <c r="A312" s="22" t="s">
        <v>1581</v>
      </c>
      <c r="B312" s="11" t="n">
        <v>4</v>
      </c>
      <c r="C312" s="22" t="s">
        <v>1844</v>
      </c>
      <c r="D312" s="21" t="s">
        <v>990</v>
      </c>
      <c r="E312" s="11" t="s">
        <v>1769</v>
      </c>
      <c r="F312" s="11"/>
      <c r="G312" s="11"/>
      <c r="H312" s="22"/>
      <c r="I312" s="11" t="s">
        <v>598</v>
      </c>
      <c r="J312" s="22"/>
      <c r="K312" s="22"/>
    </row>
    <row r="313" customFormat="false" ht="15" hidden="false" customHeight="false" outlineLevel="0" collapsed="false">
      <c r="A313" s="22" t="s">
        <v>1581</v>
      </c>
      <c r="B313" s="11" t="n">
        <v>5</v>
      </c>
      <c r="C313" s="22" t="s">
        <v>1956</v>
      </c>
      <c r="D313" s="21" t="s">
        <v>993</v>
      </c>
      <c r="E313" s="11" t="s">
        <v>1611</v>
      </c>
      <c r="F313" s="11" t="s">
        <v>1670</v>
      </c>
      <c r="G313" s="11"/>
      <c r="H313" s="22"/>
      <c r="I313" s="11" t="s">
        <v>598</v>
      </c>
      <c r="J313" s="22"/>
      <c r="K313" s="21" t="s">
        <v>1957</v>
      </c>
    </row>
    <row r="314" customFormat="false" ht="15" hidden="false" customHeight="false" outlineLevel="0" collapsed="false">
      <c r="A314" s="22" t="s">
        <v>1581</v>
      </c>
      <c r="B314" s="11" t="n">
        <v>6</v>
      </c>
      <c r="C314" s="22" t="s">
        <v>1958</v>
      </c>
      <c r="D314" s="21" t="s">
        <v>1959</v>
      </c>
      <c r="E314" s="11" t="s">
        <v>1758</v>
      </c>
      <c r="F314" s="11"/>
      <c r="G314" s="11"/>
      <c r="H314" s="22"/>
      <c r="I314" s="11" t="s">
        <v>598</v>
      </c>
      <c r="J314" s="22"/>
      <c r="K314" s="22"/>
    </row>
    <row r="315" customFormat="false" ht="15" hidden="false" customHeight="false" outlineLevel="0" collapsed="false">
      <c r="A315" s="22" t="s">
        <v>1581</v>
      </c>
      <c r="B315" s="11" t="n">
        <v>7</v>
      </c>
      <c r="C315" s="22" t="s">
        <v>1960</v>
      </c>
      <c r="D315" s="21" t="s">
        <v>1961</v>
      </c>
      <c r="E315" s="11" t="s">
        <v>1758</v>
      </c>
      <c r="F315" s="11"/>
      <c r="G315" s="11"/>
      <c r="H315" s="22"/>
      <c r="I315" s="11"/>
      <c r="J315" s="22"/>
      <c r="K315" s="22"/>
    </row>
    <row r="316" customFormat="false" ht="15" hidden="false" customHeight="false" outlineLevel="0" collapsed="false">
      <c r="A316" s="22" t="s">
        <v>1581</v>
      </c>
      <c r="B316" s="11" t="n">
        <v>8</v>
      </c>
      <c r="C316" s="22" t="s">
        <v>1761</v>
      </c>
      <c r="D316" s="21" t="s">
        <v>794</v>
      </c>
      <c r="E316" s="11" t="s">
        <v>1611</v>
      </c>
      <c r="F316" s="11" t="s">
        <v>599</v>
      </c>
      <c r="G316" s="11"/>
      <c r="H316" s="22"/>
      <c r="I316" s="11" t="s">
        <v>598</v>
      </c>
      <c r="J316" s="22" t="s">
        <v>1893</v>
      </c>
      <c r="K316" s="22" t="s">
        <v>1962</v>
      </c>
    </row>
    <row r="317" customFormat="false" ht="15" hidden="false" customHeight="false" outlineLevel="0" collapsed="false">
      <c r="A317" s="22" t="s">
        <v>1581</v>
      </c>
      <c r="B317" s="11" t="n">
        <v>9</v>
      </c>
      <c r="C317" s="22" t="s">
        <v>1634</v>
      </c>
      <c r="D317" s="21" t="s">
        <v>1635</v>
      </c>
      <c r="E317" s="11" t="s">
        <v>1636</v>
      </c>
      <c r="F317" s="11"/>
      <c r="G317" s="11"/>
      <c r="H317" s="22"/>
      <c r="I317" s="11" t="s">
        <v>598</v>
      </c>
      <c r="J317" s="21" t="s">
        <v>1637</v>
      </c>
      <c r="K317" s="22"/>
    </row>
    <row r="318" customFormat="false" ht="15" hidden="false" customHeight="false" outlineLevel="0" collapsed="false">
      <c r="A318" s="22" t="s">
        <v>1581</v>
      </c>
      <c r="B318" s="11" t="n">
        <v>10</v>
      </c>
      <c r="C318" s="22" t="s">
        <v>1638</v>
      </c>
      <c r="D318" s="21" t="s">
        <v>1639</v>
      </c>
      <c r="E318" s="11" t="s">
        <v>1608</v>
      </c>
      <c r="F318" s="11"/>
      <c r="G318" s="11"/>
      <c r="H318" s="22" t="s">
        <v>1640</v>
      </c>
      <c r="I318" s="11" t="s">
        <v>598</v>
      </c>
      <c r="J318" s="22"/>
      <c r="K318" s="22"/>
    </row>
    <row r="319" customFormat="false" ht="15" hidden="false" customHeight="false" outlineLevel="0" collapsed="false">
      <c r="A319" s="22" t="s">
        <v>1581</v>
      </c>
      <c r="B319" s="11" t="n">
        <v>11</v>
      </c>
      <c r="C319" s="22" t="s">
        <v>1641</v>
      </c>
      <c r="D319" s="21" t="s">
        <v>1642</v>
      </c>
      <c r="E319" s="11" t="s">
        <v>1636</v>
      </c>
      <c r="F319" s="11"/>
      <c r="G319" s="11"/>
      <c r="H319" s="22"/>
      <c r="I319" s="11" t="s">
        <v>598</v>
      </c>
      <c r="J319" s="21" t="s">
        <v>1637</v>
      </c>
      <c r="K319" s="22"/>
    </row>
    <row r="320" customFormat="false" ht="15" hidden="false" customHeight="false" outlineLevel="0" collapsed="false">
      <c r="A320" s="22" t="s">
        <v>1581</v>
      </c>
      <c r="B320" s="11" t="n">
        <v>12</v>
      </c>
      <c r="C320" s="22" t="s">
        <v>1643</v>
      </c>
      <c r="D320" s="21" t="s">
        <v>1644</v>
      </c>
      <c r="E320" s="11" t="s">
        <v>1608</v>
      </c>
      <c r="F320" s="11"/>
      <c r="G320" s="11"/>
      <c r="H320" s="22" t="s">
        <v>1640</v>
      </c>
      <c r="I320" s="11" t="s">
        <v>598</v>
      </c>
      <c r="J320" s="22"/>
      <c r="K320" s="22"/>
    </row>
    <row r="321" customFormat="false" ht="15" hidden="false" customHeight="false" outlineLevel="0" collapsed="false">
      <c r="A321" s="22" t="s">
        <v>1581</v>
      </c>
      <c r="B321" s="11" t="n">
        <v>13</v>
      </c>
      <c r="C321" s="22" t="s">
        <v>1645</v>
      </c>
      <c r="D321" s="21" t="s">
        <v>2</v>
      </c>
      <c r="E321" s="11" t="s">
        <v>1646</v>
      </c>
      <c r="F321" s="11"/>
      <c r="G321" s="11"/>
      <c r="H321" s="22"/>
      <c r="I321" s="11" t="s">
        <v>598</v>
      </c>
      <c r="J321" s="22" t="s">
        <v>1647</v>
      </c>
      <c r="K321" s="21" t="s">
        <v>1648</v>
      </c>
    </row>
    <row r="322" customFormat="false" ht="15" hidden="false" customHeight="true" outlineLevel="0" collapsed="false">
      <c r="A322" s="30" t="s">
        <v>1583</v>
      </c>
      <c r="B322" s="31" t="s">
        <v>1963</v>
      </c>
      <c r="C322" s="31"/>
      <c r="D322" s="31"/>
      <c r="E322" s="31"/>
      <c r="F322" s="31"/>
      <c r="G322" s="31"/>
      <c r="H322" s="31"/>
      <c r="I322" s="31"/>
      <c r="J322" s="31"/>
      <c r="K322" s="31"/>
    </row>
    <row r="323" customFormat="false" ht="15" hidden="false" customHeight="false" outlineLevel="0" collapsed="false">
      <c r="A323" s="22" t="s">
        <v>1583</v>
      </c>
      <c r="B323" s="11" t="n">
        <v>1</v>
      </c>
      <c r="C323" s="22" t="s">
        <v>1606</v>
      </c>
      <c r="D323" s="22" t="s">
        <v>1839</v>
      </c>
      <c r="E323" s="11" t="s">
        <v>1608</v>
      </c>
      <c r="F323" s="11"/>
      <c r="G323" s="11" t="s">
        <v>598</v>
      </c>
      <c r="H323" s="22"/>
      <c r="I323" s="11" t="s">
        <v>598</v>
      </c>
      <c r="J323" s="21" t="s">
        <v>1609</v>
      </c>
      <c r="K323" s="22"/>
    </row>
    <row r="324" customFormat="false" ht="15" hidden="false" customHeight="false" outlineLevel="0" collapsed="false">
      <c r="A324" s="22" t="s">
        <v>1583</v>
      </c>
      <c r="B324" s="11" t="n">
        <v>2</v>
      </c>
      <c r="C324" s="22" t="s">
        <v>1849</v>
      </c>
      <c r="D324" s="21" t="s">
        <v>1952</v>
      </c>
      <c r="E324" s="11" t="s">
        <v>1608</v>
      </c>
      <c r="F324" s="11"/>
      <c r="G324" s="11"/>
      <c r="H324" s="22" t="s">
        <v>1851</v>
      </c>
      <c r="I324" s="11" t="s">
        <v>598</v>
      </c>
      <c r="J324" s="22"/>
      <c r="K324" s="22" t="s">
        <v>1964</v>
      </c>
    </row>
    <row r="325" customFormat="false" ht="15" hidden="false" customHeight="false" outlineLevel="0" collapsed="false">
      <c r="A325" s="22" t="s">
        <v>1583</v>
      </c>
      <c r="B325" s="11" t="n">
        <v>3</v>
      </c>
      <c r="C325" s="22" t="s">
        <v>1806</v>
      </c>
      <c r="D325" s="21" t="s">
        <v>1807</v>
      </c>
      <c r="E325" s="11" t="s">
        <v>1608</v>
      </c>
      <c r="F325" s="11"/>
      <c r="G325" s="11"/>
      <c r="H325" s="22" t="s">
        <v>1808</v>
      </c>
      <c r="I325" s="11" t="s">
        <v>598</v>
      </c>
      <c r="J325" s="22"/>
      <c r="K325" s="22"/>
    </row>
    <row r="326" customFormat="false" ht="15" hidden="false" customHeight="false" outlineLevel="0" collapsed="false">
      <c r="A326" s="22" t="s">
        <v>1583</v>
      </c>
      <c r="B326" s="11" t="n">
        <v>4</v>
      </c>
      <c r="C326" s="22" t="s">
        <v>1634</v>
      </c>
      <c r="D326" s="21" t="s">
        <v>1635</v>
      </c>
      <c r="E326" s="11" t="s">
        <v>1636</v>
      </c>
      <c r="F326" s="11"/>
      <c r="G326" s="11"/>
      <c r="H326" s="22"/>
      <c r="I326" s="11" t="s">
        <v>598</v>
      </c>
      <c r="J326" s="21" t="s">
        <v>1637</v>
      </c>
      <c r="K326" s="22"/>
    </row>
    <row r="327" customFormat="false" ht="15" hidden="false" customHeight="false" outlineLevel="0" collapsed="false">
      <c r="A327" s="22" t="s">
        <v>1583</v>
      </c>
      <c r="B327" s="11" t="n">
        <v>5</v>
      </c>
      <c r="C327" s="22" t="s">
        <v>1638</v>
      </c>
      <c r="D327" s="21" t="s">
        <v>1639</v>
      </c>
      <c r="E327" s="11" t="s">
        <v>1608</v>
      </c>
      <c r="F327" s="11"/>
      <c r="G327" s="11"/>
      <c r="H327" s="22" t="s">
        <v>1640</v>
      </c>
      <c r="I327" s="11" t="s">
        <v>598</v>
      </c>
      <c r="J327" s="22"/>
      <c r="K327" s="22"/>
    </row>
    <row r="328" customFormat="false" ht="15" hidden="false" customHeight="false" outlineLevel="0" collapsed="false">
      <c r="A328" s="22" t="s">
        <v>1583</v>
      </c>
      <c r="B328" s="11" t="n">
        <v>6</v>
      </c>
      <c r="C328" s="22" t="s">
        <v>1641</v>
      </c>
      <c r="D328" s="21" t="s">
        <v>1642</v>
      </c>
      <c r="E328" s="11" t="s">
        <v>1636</v>
      </c>
      <c r="F328" s="11"/>
      <c r="G328" s="11"/>
      <c r="H328" s="22"/>
      <c r="I328" s="11" t="s">
        <v>598</v>
      </c>
      <c r="J328" s="21" t="s">
        <v>1637</v>
      </c>
      <c r="K328" s="22"/>
    </row>
    <row r="329" customFormat="false" ht="15" hidden="false" customHeight="false" outlineLevel="0" collapsed="false">
      <c r="A329" s="22" t="s">
        <v>1583</v>
      </c>
      <c r="B329" s="11" t="n">
        <v>7</v>
      </c>
      <c r="C329" s="22" t="s">
        <v>1643</v>
      </c>
      <c r="D329" s="21" t="s">
        <v>1644</v>
      </c>
      <c r="E329" s="11" t="s">
        <v>1608</v>
      </c>
      <c r="F329" s="11"/>
      <c r="G329" s="11"/>
      <c r="H329" s="22" t="s">
        <v>1640</v>
      </c>
      <c r="I329" s="11" t="s">
        <v>598</v>
      </c>
      <c r="J329" s="22"/>
      <c r="K329" s="22"/>
    </row>
    <row r="330" customFormat="false" ht="15" hidden="false" customHeight="false" outlineLevel="0" collapsed="false">
      <c r="A330" s="22" t="s">
        <v>1583</v>
      </c>
      <c r="B330" s="11" t="n">
        <v>8</v>
      </c>
      <c r="C330" s="22" t="s">
        <v>1645</v>
      </c>
      <c r="D330" s="21" t="s">
        <v>2</v>
      </c>
      <c r="E330" s="11" t="s">
        <v>1646</v>
      </c>
      <c r="F330" s="11"/>
      <c r="G330" s="11"/>
      <c r="H330" s="22"/>
      <c r="I330" s="11" t="s">
        <v>598</v>
      </c>
      <c r="J330" s="22" t="s">
        <v>1647</v>
      </c>
      <c r="K330" s="21" t="s">
        <v>1648</v>
      </c>
    </row>
    <row r="331" customFormat="false" ht="15" hidden="false" customHeight="true" outlineLevel="0" collapsed="false">
      <c r="A331" s="30" t="s">
        <v>1587</v>
      </c>
      <c r="B331" s="31" t="s">
        <v>1965</v>
      </c>
      <c r="C331" s="31"/>
      <c r="D331" s="31"/>
      <c r="E331" s="31"/>
      <c r="F331" s="31"/>
      <c r="G331" s="31"/>
      <c r="H331" s="31"/>
      <c r="I331" s="31"/>
      <c r="J331" s="31"/>
      <c r="K331" s="31"/>
    </row>
    <row r="332" customFormat="false" ht="15" hidden="false" customHeight="false" outlineLevel="0" collapsed="false">
      <c r="A332" s="22" t="s">
        <v>1587</v>
      </c>
      <c r="B332" s="11" t="n">
        <v>1</v>
      </c>
      <c r="C332" s="22" t="s">
        <v>1606</v>
      </c>
      <c r="D332" s="22" t="s">
        <v>1839</v>
      </c>
      <c r="E332" s="11" t="s">
        <v>1608</v>
      </c>
      <c r="F332" s="11"/>
      <c r="G332" s="11" t="s">
        <v>598</v>
      </c>
      <c r="H332" s="22"/>
      <c r="I332" s="11" t="s">
        <v>598</v>
      </c>
      <c r="J332" s="21" t="s">
        <v>1609</v>
      </c>
      <c r="K332" s="22"/>
    </row>
    <row r="333" customFormat="false" ht="15" hidden="false" customHeight="false" outlineLevel="0" collapsed="false">
      <c r="A333" s="22" t="s">
        <v>1587</v>
      </c>
      <c r="B333" s="11" t="n">
        <v>2</v>
      </c>
      <c r="C333" s="22" t="s">
        <v>1849</v>
      </c>
      <c r="D333" s="21" t="s">
        <v>1952</v>
      </c>
      <c r="E333" s="11" t="s">
        <v>1608</v>
      </c>
      <c r="F333" s="11"/>
      <c r="G333" s="11"/>
      <c r="H333" s="22" t="s">
        <v>1851</v>
      </c>
      <c r="I333" s="11" t="s">
        <v>598</v>
      </c>
      <c r="J333" s="22"/>
      <c r="K333" s="22"/>
    </row>
    <row r="334" customFormat="false" ht="15" hidden="false" customHeight="false" outlineLevel="0" collapsed="false">
      <c r="A334" s="22" t="s">
        <v>1587</v>
      </c>
      <c r="B334" s="11" t="n">
        <v>3</v>
      </c>
      <c r="C334" s="22" t="s">
        <v>1709</v>
      </c>
      <c r="D334" s="21" t="s">
        <v>1690</v>
      </c>
      <c r="E334" s="11" t="s">
        <v>1608</v>
      </c>
      <c r="F334" s="11"/>
      <c r="G334" s="11"/>
      <c r="H334" s="22" t="s">
        <v>980</v>
      </c>
      <c r="I334" s="11" t="s">
        <v>598</v>
      </c>
      <c r="J334" s="22"/>
      <c r="K334" s="21" t="s">
        <v>1966</v>
      </c>
    </row>
    <row r="335" customFormat="false" ht="15" hidden="false" customHeight="false" outlineLevel="0" collapsed="false">
      <c r="A335" s="22" t="s">
        <v>1587</v>
      </c>
      <c r="B335" s="11" t="n">
        <v>4</v>
      </c>
      <c r="C335" s="22" t="s">
        <v>1883</v>
      </c>
      <c r="D335" s="21" t="s">
        <v>1708</v>
      </c>
      <c r="E335" s="11" t="s">
        <v>1608</v>
      </c>
      <c r="F335" s="11"/>
      <c r="G335" s="11"/>
      <c r="H335" s="22" t="s">
        <v>1884</v>
      </c>
      <c r="I335" s="11" t="s">
        <v>598</v>
      </c>
      <c r="J335" s="22"/>
      <c r="K335" s="21" t="s">
        <v>1967</v>
      </c>
    </row>
    <row r="336" customFormat="false" ht="15" hidden="false" customHeight="false" outlineLevel="0" collapsed="false">
      <c r="A336" s="22" t="s">
        <v>1587</v>
      </c>
      <c r="B336" s="11" t="n">
        <v>5</v>
      </c>
      <c r="C336" s="22" t="s">
        <v>1806</v>
      </c>
      <c r="D336" s="21" t="s">
        <v>1807</v>
      </c>
      <c r="E336" s="11" t="s">
        <v>1608</v>
      </c>
      <c r="F336" s="11"/>
      <c r="G336" s="11"/>
      <c r="H336" s="22" t="s">
        <v>1808</v>
      </c>
      <c r="I336" s="11" t="s">
        <v>598</v>
      </c>
      <c r="J336" s="22"/>
      <c r="K336" s="22" t="s">
        <v>1968</v>
      </c>
    </row>
    <row r="337" customFormat="false" ht="15" hidden="false" customHeight="false" outlineLevel="0" collapsed="false">
      <c r="A337" s="22" t="s">
        <v>1587</v>
      </c>
      <c r="B337" s="11" t="n">
        <v>6</v>
      </c>
      <c r="C337" s="22" t="s">
        <v>1899</v>
      </c>
      <c r="D337" s="21" t="s">
        <v>1969</v>
      </c>
      <c r="E337" s="11" t="s">
        <v>1646</v>
      </c>
      <c r="F337" s="11"/>
      <c r="G337" s="11"/>
      <c r="H337" s="22"/>
      <c r="I337" s="11" t="s">
        <v>598</v>
      </c>
      <c r="J337" s="22"/>
      <c r="K337" s="21" t="s">
        <v>1970</v>
      </c>
    </row>
    <row r="338" customFormat="false" ht="15" hidden="false" customHeight="false" outlineLevel="0" collapsed="false">
      <c r="A338" s="22" t="s">
        <v>1587</v>
      </c>
      <c r="B338" s="11" t="n">
        <v>7</v>
      </c>
      <c r="C338" s="22" t="s">
        <v>1971</v>
      </c>
      <c r="D338" s="21" t="s">
        <v>1972</v>
      </c>
      <c r="E338" s="11" t="s">
        <v>1758</v>
      </c>
      <c r="F338" s="11"/>
      <c r="G338" s="11"/>
      <c r="H338" s="22"/>
      <c r="I338" s="11"/>
      <c r="J338" s="22"/>
      <c r="K338" s="22"/>
    </row>
    <row r="339" customFormat="false" ht="15" hidden="false" customHeight="false" outlineLevel="0" collapsed="false">
      <c r="A339" s="22" t="s">
        <v>1587</v>
      </c>
      <c r="B339" s="11" t="n">
        <v>8</v>
      </c>
      <c r="C339" s="22" t="s">
        <v>1973</v>
      </c>
      <c r="D339" s="21" t="s">
        <v>1974</v>
      </c>
      <c r="E339" s="11" t="s">
        <v>1611</v>
      </c>
      <c r="F339" s="11" t="s">
        <v>599</v>
      </c>
      <c r="G339" s="11"/>
      <c r="H339" s="22"/>
      <c r="I339" s="11"/>
      <c r="J339" s="22"/>
      <c r="K339" s="21" t="s">
        <v>1975</v>
      </c>
    </row>
    <row r="340" customFormat="false" ht="15" hidden="false" customHeight="false" outlineLevel="0" collapsed="false">
      <c r="A340" s="22" t="s">
        <v>1587</v>
      </c>
      <c r="B340" s="11" t="n">
        <v>9</v>
      </c>
      <c r="C340" s="22" t="s">
        <v>1976</v>
      </c>
      <c r="D340" s="21" t="s">
        <v>1977</v>
      </c>
      <c r="E340" s="11" t="s">
        <v>1646</v>
      </c>
      <c r="F340" s="11"/>
      <c r="G340" s="11"/>
      <c r="H340" s="22"/>
      <c r="I340" s="11" t="s">
        <v>598</v>
      </c>
      <c r="J340" s="22" t="s">
        <v>1014</v>
      </c>
      <c r="K340" s="21" t="s">
        <v>1978</v>
      </c>
    </row>
    <row r="341" customFormat="false" ht="15" hidden="false" customHeight="false" outlineLevel="0" collapsed="false">
      <c r="A341" s="22" t="s">
        <v>1587</v>
      </c>
      <c r="B341" s="11" t="n">
        <v>10</v>
      </c>
      <c r="C341" s="22" t="s">
        <v>1979</v>
      </c>
      <c r="D341" s="21" t="s">
        <v>1980</v>
      </c>
      <c r="E341" s="11" t="s">
        <v>1646</v>
      </c>
      <c r="F341" s="11"/>
      <c r="G341" s="11"/>
      <c r="H341" s="22"/>
      <c r="I341" s="11" t="s">
        <v>598</v>
      </c>
      <c r="J341" s="22" t="s">
        <v>1014</v>
      </c>
      <c r="K341" s="21" t="s">
        <v>1981</v>
      </c>
    </row>
    <row r="342" customFormat="false" ht="15" hidden="false" customHeight="false" outlineLevel="0" collapsed="false">
      <c r="A342" s="22" t="s">
        <v>1587</v>
      </c>
      <c r="B342" s="11" t="n">
        <v>11</v>
      </c>
      <c r="C342" s="22" t="s">
        <v>1982</v>
      </c>
      <c r="D342" s="21" t="s">
        <v>1983</v>
      </c>
      <c r="E342" s="11" t="s">
        <v>1611</v>
      </c>
      <c r="F342" s="11" t="s">
        <v>1018</v>
      </c>
      <c r="G342" s="11"/>
      <c r="H342" s="22"/>
      <c r="I342" s="11"/>
      <c r="J342" s="22"/>
      <c r="K342" s="22" t="s">
        <v>1984</v>
      </c>
    </row>
    <row r="343" customFormat="false" ht="23.85" hidden="false" customHeight="false" outlineLevel="0" collapsed="false">
      <c r="A343" s="22" t="s">
        <v>1587</v>
      </c>
      <c r="B343" s="11" t="n">
        <v>12</v>
      </c>
      <c r="C343" s="22" t="s">
        <v>1761</v>
      </c>
      <c r="D343" s="21" t="s">
        <v>794</v>
      </c>
      <c r="E343" s="11" t="s">
        <v>1611</v>
      </c>
      <c r="F343" s="11" t="s">
        <v>599</v>
      </c>
      <c r="G343" s="11"/>
      <c r="H343" s="22"/>
      <c r="I343" s="11" t="s">
        <v>598</v>
      </c>
      <c r="J343" s="22" t="s">
        <v>1985</v>
      </c>
      <c r="K343" s="22" t="s">
        <v>1986</v>
      </c>
    </row>
    <row r="344" customFormat="false" ht="15" hidden="false" customHeight="false" outlineLevel="0" collapsed="false">
      <c r="A344" s="22" t="s">
        <v>1587</v>
      </c>
      <c r="B344" s="11" t="n">
        <v>13</v>
      </c>
      <c r="C344" s="22" t="s">
        <v>1634</v>
      </c>
      <c r="D344" s="21" t="s">
        <v>1635</v>
      </c>
      <c r="E344" s="11" t="s">
        <v>1636</v>
      </c>
      <c r="F344" s="11"/>
      <c r="G344" s="11"/>
      <c r="H344" s="22"/>
      <c r="I344" s="11" t="s">
        <v>598</v>
      </c>
      <c r="J344" s="21" t="s">
        <v>1637</v>
      </c>
      <c r="K344" s="22"/>
    </row>
    <row r="345" customFormat="false" ht="15" hidden="false" customHeight="false" outlineLevel="0" collapsed="false">
      <c r="A345" s="22" t="s">
        <v>1587</v>
      </c>
      <c r="B345" s="11" t="n">
        <v>14</v>
      </c>
      <c r="C345" s="22" t="s">
        <v>1638</v>
      </c>
      <c r="D345" s="21" t="s">
        <v>1639</v>
      </c>
      <c r="E345" s="11" t="s">
        <v>1608</v>
      </c>
      <c r="F345" s="11"/>
      <c r="G345" s="11"/>
      <c r="H345" s="22" t="s">
        <v>1640</v>
      </c>
      <c r="I345" s="11" t="s">
        <v>598</v>
      </c>
      <c r="J345" s="22"/>
      <c r="K345" s="22"/>
    </row>
    <row r="346" customFormat="false" ht="15" hidden="false" customHeight="false" outlineLevel="0" collapsed="false">
      <c r="A346" s="22" t="s">
        <v>1587</v>
      </c>
      <c r="B346" s="11" t="n">
        <v>15</v>
      </c>
      <c r="C346" s="22" t="s">
        <v>1641</v>
      </c>
      <c r="D346" s="21" t="s">
        <v>1642</v>
      </c>
      <c r="E346" s="11" t="s">
        <v>1636</v>
      </c>
      <c r="F346" s="11"/>
      <c r="G346" s="11"/>
      <c r="H346" s="22"/>
      <c r="I346" s="11" t="s">
        <v>598</v>
      </c>
      <c r="J346" s="21" t="s">
        <v>1637</v>
      </c>
      <c r="K346" s="22"/>
    </row>
    <row r="347" customFormat="false" ht="15" hidden="false" customHeight="false" outlineLevel="0" collapsed="false">
      <c r="A347" s="22" t="s">
        <v>1587</v>
      </c>
      <c r="B347" s="11" t="n">
        <v>16</v>
      </c>
      <c r="C347" s="22" t="s">
        <v>1643</v>
      </c>
      <c r="D347" s="21" t="s">
        <v>1644</v>
      </c>
      <c r="E347" s="11" t="s">
        <v>1608</v>
      </c>
      <c r="F347" s="11"/>
      <c r="G347" s="11"/>
      <c r="H347" s="22" t="s">
        <v>1640</v>
      </c>
      <c r="I347" s="11" t="s">
        <v>598</v>
      </c>
      <c r="J347" s="22"/>
      <c r="K347" s="22"/>
    </row>
    <row r="348" customFormat="false" ht="15" hidden="false" customHeight="false" outlineLevel="0" collapsed="false">
      <c r="A348" s="22" t="s">
        <v>1587</v>
      </c>
      <c r="B348" s="11" t="n">
        <v>17</v>
      </c>
      <c r="C348" s="22" t="s">
        <v>1645</v>
      </c>
      <c r="D348" s="21" t="s">
        <v>2</v>
      </c>
      <c r="E348" s="11" t="s">
        <v>1646</v>
      </c>
      <c r="F348" s="11"/>
      <c r="G348" s="11"/>
      <c r="H348" s="22"/>
      <c r="I348" s="11" t="s">
        <v>598</v>
      </c>
      <c r="J348" s="22" t="s">
        <v>1647</v>
      </c>
      <c r="K348" s="21" t="s">
        <v>1648</v>
      </c>
    </row>
    <row r="349" customFormat="false" ht="15" hidden="false" customHeight="true" outlineLevel="0" collapsed="false">
      <c r="A349" s="30" t="s">
        <v>1591</v>
      </c>
      <c r="B349" s="31" t="s">
        <v>1987</v>
      </c>
      <c r="C349" s="31"/>
      <c r="D349" s="31"/>
      <c r="E349" s="31"/>
      <c r="F349" s="31"/>
      <c r="G349" s="31"/>
      <c r="H349" s="31"/>
      <c r="I349" s="31"/>
      <c r="J349" s="31"/>
      <c r="K349" s="31"/>
    </row>
    <row r="350" customFormat="false" ht="15" hidden="false" customHeight="false" outlineLevel="0" collapsed="false">
      <c r="A350" s="22" t="s">
        <v>1591</v>
      </c>
      <c r="B350" s="11" t="n">
        <v>1</v>
      </c>
      <c r="C350" s="22" t="s">
        <v>1606</v>
      </c>
      <c r="D350" s="22" t="s">
        <v>1839</v>
      </c>
      <c r="E350" s="11" t="s">
        <v>1608</v>
      </c>
      <c r="F350" s="11"/>
      <c r="G350" s="11" t="s">
        <v>598</v>
      </c>
      <c r="H350" s="22"/>
      <c r="I350" s="11" t="s">
        <v>598</v>
      </c>
      <c r="J350" s="21" t="s">
        <v>1609</v>
      </c>
      <c r="K350" s="22"/>
    </row>
    <row r="351" customFormat="false" ht="15" hidden="false" customHeight="false" outlineLevel="0" collapsed="false">
      <c r="A351" s="22" t="s">
        <v>1591</v>
      </c>
      <c r="B351" s="11" t="n">
        <v>2</v>
      </c>
      <c r="C351" s="22" t="s">
        <v>1812</v>
      </c>
      <c r="D351" s="21" t="s">
        <v>1717</v>
      </c>
      <c r="E351" s="11" t="s">
        <v>1608</v>
      </c>
      <c r="F351" s="11"/>
      <c r="G351" s="11"/>
      <c r="H351" s="22" t="s">
        <v>1814</v>
      </c>
      <c r="I351" s="11" t="s">
        <v>598</v>
      </c>
      <c r="J351" s="22"/>
      <c r="K351" s="22"/>
    </row>
    <row r="352" customFormat="false" ht="15" hidden="false" customHeight="false" outlineLevel="0" collapsed="false">
      <c r="A352" s="22" t="s">
        <v>1591</v>
      </c>
      <c r="B352" s="11" t="n">
        <v>3</v>
      </c>
      <c r="C352" s="22" t="s">
        <v>1988</v>
      </c>
      <c r="D352" s="21" t="s">
        <v>1989</v>
      </c>
      <c r="E352" s="11" t="s">
        <v>1636</v>
      </c>
      <c r="F352" s="11"/>
      <c r="G352" s="11"/>
      <c r="H352" s="22"/>
      <c r="I352" s="11" t="s">
        <v>598</v>
      </c>
      <c r="J352" s="22"/>
      <c r="K352" s="22"/>
    </row>
    <row r="353" customFormat="false" ht="15" hidden="false" customHeight="false" outlineLevel="0" collapsed="false">
      <c r="A353" s="22" t="s">
        <v>1591</v>
      </c>
      <c r="B353" s="11" t="n">
        <v>4</v>
      </c>
      <c r="C353" s="22" t="s">
        <v>1990</v>
      </c>
      <c r="D353" s="21" t="s">
        <v>1991</v>
      </c>
      <c r="E353" s="11" t="s">
        <v>1663</v>
      </c>
      <c r="F353" s="11" t="s">
        <v>678</v>
      </c>
      <c r="G353" s="11"/>
      <c r="H353" s="22"/>
      <c r="I353" s="11" t="s">
        <v>598</v>
      </c>
      <c r="J353" s="22"/>
      <c r="K353" s="22"/>
    </row>
    <row r="354" customFormat="false" ht="15" hidden="false" customHeight="false" outlineLevel="0" collapsed="false">
      <c r="A354" s="22" t="s">
        <v>1591</v>
      </c>
      <c r="B354" s="11" t="n">
        <v>5</v>
      </c>
      <c r="C354" s="22" t="s">
        <v>1992</v>
      </c>
      <c r="D354" s="21" t="s">
        <v>1993</v>
      </c>
      <c r="E354" s="11" t="s">
        <v>1632</v>
      </c>
      <c r="F354" s="11"/>
      <c r="G354" s="11"/>
      <c r="H354" s="22"/>
      <c r="I354" s="11" t="s">
        <v>598</v>
      </c>
      <c r="J354" s="22" t="s">
        <v>1714</v>
      </c>
      <c r="K354" s="21" t="s">
        <v>1994</v>
      </c>
    </row>
    <row r="355" customFormat="false" ht="15" hidden="false" customHeight="false" outlineLevel="0" collapsed="false">
      <c r="A355" s="22" t="s">
        <v>1591</v>
      </c>
      <c r="B355" s="11" t="n">
        <v>6</v>
      </c>
      <c r="C355" s="22" t="s">
        <v>1995</v>
      </c>
      <c r="D355" s="21" t="s">
        <v>1996</v>
      </c>
      <c r="E355" s="11" t="s">
        <v>1611</v>
      </c>
      <c r="F355" s="11" t="s">
        <v>1670</v>
      </c>
      <c r="G355" s="11"/>
      <c r="H355" s="22"/>
      <c r="I355" s="11" t="s">
        <v>598</v>
      </c>
      <c r="J355" s="22" t="s">
        <v>1997</v>
      </c>
      <c r="K355" s="22" t="s">
        <v>1998</v>
      </c>
    </row>
    <row r="356" customFormat="false" ht="15" hidden="false" customHeight="false" outlineLevel="0" collapsed="false">
      <c r="A356" s="22" t="s">
        <v>1591</v>
      </c>
      <c r="B356" s="11" t="n">
        <v>7</v>
      </c>
      <c r="C356" s="22" t="s">
        <v>1634</v>
      </c>
      <c r="D356" s="21" t="s">
        <v>1635</v>
      </c>
      <c r="E356" s="11" t="s">
        <v>1636</v>
      </c>
      <c r="F356" s="11"/>
      <c r="G356" s="11"/>
      <c r="H356" s="22"/>
      <c r="I356" s="11" t="s">
        <v>598</v>
      </c>
      <c r="J356" s="21" t="s">
        <v>1637</v>
      </c>
      <c r="K356" s="22"/>
    </row>
    <row r="357" customFormat="false" ht="15" hidden="false" customHeight="false" outlineLevel="0" collapsed="false">
      <c r="A357" s="22" t="s">
        <v>1591</v>
      </c>
      <c r="B357" s="11" t="n">
        <v>8</v>
      </c>
      <c r="C357" s="22" t="s">
        <v>1638</v>
      </c>
      <c r="D357" s="21" t="s">
        <v>1639</v>
      </c>
      <c r="E357" s="11" t="s">
        <v>1608</v>
      </c>
      <c r="F357" s="11"/>
      <c r="G357" s="11"/>
      <c r="H357" s="22" t="s">
        <v>1640</v>
      </c>
      <c r="I357" s="11" t="s">
        <v>598</v>
      </c>
      <c r="J357" s="22"/>
      <c r="K357" s="22"/>
    </row>
    <row r="358" customFormat="false" ht="15" hidden="false" customHeight="true" outlineLevel="0" collapsed="false">
      <c r="A358" s="30" t="s">
        <v>765</v>
      </c>
      <c r="B358" s="31" t="s">
        <v>1999</v>
      </c>
      <c r="C358" s="31"/>
      <c r="D358" s="31"/>
      <c r="E358" s="31"/>
      <c r="F358" s="31"/>
      <c r="G358" s="31"/>
      <c r="H358" s="31"/>
      <c r="I358" s="31"/>
      <c r="J358" s="31"/>
      <c r="K358" s="31"/>
    </row>
    <row r="359" customFormat="false" ht="15" hidden="false" customHeight="false" outlineLevel="0" collapsed="false">
      <c r="A359" s="22" t="s">
        <v>765</v>
      </c>
      <c r="B359" s="11" t="n">
        <v>1</v>
      </c>
      <c r="C359" s="22" t="s">
        <v>1606</v>
      </c>
      <c r="D359" s="21" t="s">
        <v>2000</v>
      </c>
      <c r="E359" s="11" t="s">
        <v>1608</v>
      </c>
      <c r="F359" s="11"/>
      <c r="G359" s="11" t="s">
        <v>598</v>
      </c>
      <c r="H359" s="22"/>
      <c r="I359" s="11" t="s">
        <v>598</v>
      </c>
      <c r="J359" s="21" t="s">
        <v>1609</v>
      </c>
      <c r="K359" s="22"/>
    </row>
    <row r="360" customFormat="false" ht="15" hidden="false" customHeight="false" outlineLevel="0" collapsed="false">
      <c r="A360" s="22" t="s">
        <v>765</v>
      </c>
      <c r="B360" s="11" t="n">
        <v>2</v>
      </c>
      <c r="C360" s="22" t="s">
        <v>2001</v>
      </c>
      <c r="D360" s="21" t="s">
        <v>2002</v>
      </c>
      <c r="E360" s="11" t="s">
        <v>1611</v>
      </c>
      <c r="F360" s="11" t="s">
        <v>792</v>
      </c>
      <c r="G360" s="11"/>
      <c r="H360" s="22"/>
      <c r="I360" s="11" t="s">
        <v>598</v>
      </c>
      <c r="J360" s="22"/>
      <c r="K360" s="22" t="s">
        <v>2003</v>
      </c>
    </row>
    <row r="361" customFormat="false" ht="15" hidden="false" customHeight="false" outlineLevel="0" collapsed="false">
      <c r="A361" s="22" t="s">
        <v>765</v>
      </c>
      <c r="B361" s="11" t="n">
        <v>3</v>
      </c>
      <c r="C361" s="22" t="s">
        <v>2004</v>
      </c>
      <c r="D361" s="21" t="s">
        <v>2005</v>
      </c>
      <c r="E361" s="11" t="s">
        <v>1608</v>
      </c>
      <c r="F361" s="11"/>
      <c r="G361" s="11"/>
      <c r="H361" s="22"/>
      <c r="I361" s="11" t="s">
        <v>598</v>
      </c>
      <c r="J361" s="22"/>
      <c r="K361" s="22"/>
    </row>
    <row r="362" customFormat="false" ht="15" hidden="false" customHeight="false" outlineLevel="0" collapsed="false">
      <c r="A362" s="22" t="s">
        <v>765</v>
      </c>
      <c r="B362" s="11" t="n">
        <v>4</v>
      </c>
      <c r="C362" s="22" t="s">
        <v>2006</v>
      </c>
      <c r="D362" s="21" t="s">
        <v>2007</v>
      </c>
      <c r="E362" s="11" t="s">
        <v>1611</v>
      </c>
      <c r="F362" s="11" t="s">
        <v>599</v>
      </c>
      <c r="G362" s="11"/>
      <c r="H362" s="22"/>
      <c r="I362" s="11" t="s">
        <v>598</v>
      </c>
      <c r="J362" s="22"/>
      <c r="K362" s="22" t="s">
        <v>2008</v>
      </c>
    </row>
    <row r="363" customFormat="false" ht="15" hidden="false" customHeight="false" outlineLevel="0" collapsed="false">
      <c r="A363" s="22" t="s">
        <v>765</v>
      </c>
      <c r="B363" s="11" t="n">
        <v>5</v>
      </c>
      <c r="C363" s="22" t="s">
        <v>2009</v>
      </c>
      <c r="D363" s="21" t="s">
        <v>2010</v>
      </c>
      <c r="E363" s="11" t="s">
        <v>1611</v>
      </c>
      <c r="F363" s="11" t="s">
        <v>1744</v>
      </c>
      <c r="G363" s="11"/>
      <c r="H363" s="22"/>
      <c r="I363" s="11" t="s">
        <v>598</v>
      </c>
      <c r="J363" s="22"/>
      <c r="K363" s="22"/>
    </row>
    <row r="364" customFormat="false" ht="15" hidden="false" customHeight="false" outlineLevel="0" collapsed="false">
      <c r="A364" s="22" t="s">
        <v>765</v>
      </c>
      <c r="B364" s="11" t="n">
        <v>6</v>
      </c>
      <c r="C364" s="22" t="s">
        <v>2011</v>
      </c>
      <c r="D364" s="21" t="s">
        <v>2012</v>
      </c>
      <c r="E364" s="11" t="s">
        <v>1611</v>
      </c>
      <c r="F364" s="11" t="s">
        <v>2013</v>
      </c>
      <c r="G364" s="11"/>
      <c r="H364" s="22"/>
      <c r="I364" s="11" t="s">
        <v>598</v>
      </c>
      <c r="J364" s="22"/>
      <c r="K364" s="21" t="s">
        <v>2014</v>
      </c>
    </row>
    <row r="365" customFormat="false" ht="15" hidden="false" customHeight="false" outlineLevel="0" collapsed="false">
      <c r="A365" s="22" t="s">
        <v>765</v>
      </c>
      <c r="B365" s="11" t="n">
        <v>7</v>
      </c>
      <c r="C365" s="22" t="s">
        <v>2015</v>
      </c>
      <c r="D365" s="21" t="s">
        <v>2016</v>
      </c>
      <c r="E365" s="11" t="s">
        <v>2017</v>
      </c>
      <c r="F365" s="11" t="s">
        <v>2018</v>
      </c>
      <c r="G365" s="11"/>
      <c r="H365" s="22"/>
      <c r="I365" s="11" t="s">
        <v>598</v>
      </c>
      <c r="J365" s="22"/>
      <c r="K365" s="21" t="s">
        <v>2019</v>
      </c>
    </row>
    <row r="366" customFormat="false" ht="15" hidden="false" customHeight="false" outlineLevel="0" collapsed="false">
      <c r="A366" s="22" t="s">
        <v>765</v>
      </c>
      <c r="B366" s="11" t="n">
        <v>8</v>
      </c>
      <c r="C366" s="22" t="s">
        <v>1634</v>
      </c>
      <c r="D366" s="21" t="s">
        <v>1635</v>
      </c>
      <c r="E366" s="11" t="s">
        <v>1636</v>
      </c>
      <c r="F366" s="11"/>
      <c r="G366" s="11"/>
      <c r="H366" s="22"/>
      <c r="I366" s="11" t="s">
        <v>598</v>
      </c>
      <c r="J366" s="21" t="s">
        <v>1637</v>
      </c>
      <c r="K366" s="22"/>
    </row>
    <row r="367" customFormat="false" ht="15" hidden="false" customHeight="false" outlineLevel="0" collapsed="false">
      <c r="A367" s="22" t="s">
        <v>765</v>
      </c>
      <c r="B367" s="11" t="n">
        <v>9</v>
      </c>
      <c r="C367" s="22" t="s">
        <v>1638</v>
      </c>
      <c r="D367" s="21" t="s">
        <v>1639</v>
      </c>
      <c r="E367" s="11" t="s">
        <v>1608</v>
      </c>
      <c r="F367" s="11"/>
      <c r="G367" s="11"/>
      <c r="H367" s="22" t="s">
        <v>1640</v>
      </c>
      <c r="I367" s="11" t="s">
        <v>598</v>
      </c>
      <c r="J367" s="22"/>
      <c r="K367" s="22"/>
    </row>
    <row r="368" customFormat="false" ht="15" hidden="false" customHeight="false" outlineLevel="0" collapsed="false">
      <c r="A368" s="22" t="s">
        <v>765</v>
      </c>
      <c r="B368" s="11" t="n">
        <v>10</v>
      </c>
      <c r="C368" s="22" t="s">
        <v>1641</v>
      </c>
      <c r="D368" s="21" t="s">
        <v>1642</v>
      </c>
      <c r="E368" s="11" t="s">
        <v>1636</v>
      </c>
      <c r="F368" s="11"/>
      <c r="G368" s="11"/>
      <c r="H368" s="22"/>
      <c r="I368" s="11" t="s">
        <v>598</v>
      </c>
      <c r="J368" s="21" t="s">
        <v>1637</v>
      </c>
      <c r="K368" s="22"/>
    </row>
    <row r="369" customFormat="false" ht="15" hidden="false" customHeight="false" outlineLevel="0" collapsed="false">
      <c r="A369" s="22" t="s">
        <v>765</v>
      </c>
      <c r="B369" s="11" t="n">
        <v>11</v>
      </c>
      <c r="C369" s="22" t="s">
        <v>1643</v>
      </c>
      <c r="D369" s="21" t="s">
        <v>1644</v>
      </c>
      <c r="E369" s="11" t="s">
        <v>1608</v>
      </c>
      <c r="F369" s="11"/>
      <c r="G369" s="11"/>
      <c r="H369" s="22" t="s">
        <v>1640</v>
      </c>
      <c r="I369" s="11" t="s">
        <v>598</v>
      </c>
      <c r="J369" s="22"/>
      <c r="K369" s="22"/>
    </row>
    <row r="370" customFormat="false" ht="15" hidden="false" customHeight="false" outlineLevel="0" collapsed="false">
      <c r="A370" s="22" t="s">
        <v>765</v>
      </c>
      <c r="B370" s="11" t="n">
        <v>12</v>
      </c>
      <c r="C370" s="22" t="s">
        <v>1645</v>
      </c>
      <c r="D370" s="21" t="s">
        <v>2</v>
      </c>
      <c r="E370" s="11" t="s">
        <v>1646</v>
      </c>
      <c r="F370" s="11"/>
      <c r="G370" s="11"/>
      <c r="H370" s="22"/>
      <c r="I370" s="11" t="s">
        <v>598</v>
      </c>
      <c r="J370" s="22" t="s">
        <v>1647</v>
      </c>
      <c r="K370" s="21" t="s">
        <v>1648</v>
      </c>
    </row>
    <row r="371" customFormat="false" ht="15" hidden="false" customHeight="true" outlineLevel="0" collapsed="false">
      <c r="A371" s="30" t="s">
        <v>1034</v>
      </c>
      <c r="B371" s="31" t="s">
        <v>2020</v>
      </c>
      <c r="C371" s="31"/>
      <c r="D371" s="31"/>
      <c r="E371" s="31"/>
      <c r="F371" s="31"/>
      <c r="G371" s="31"/>
      <c r="H371" s="31"/>
      <c r="I371" s="31"/>
      <c r="J371" s="31"/>
      <c r="K371" s="31"/>
    </row>
    <row r="372" customFormat="false" ht="15" hidden="false" customHeight="false" outlineLevel="0" collapsed="false">
      <c r="A372" s="22" t="s">
        <v>1034</v>
      </c>
      <c r="B372" s="11" t="n">
        <v>1</v>
      </c>
      <c r="C372" s="22" t="s">
        <v>1606</v>
      </c>
      <c r="D372" s="22" t="s">
        <v>1839</v>
      </c>
      <c r="E372" s="11" t="s">
        <v>1608</v>
      </c>
      <c r="F372" s="11"/>
      <c r="G372" s="11" t="s">
        <v>598</v>
      </c>
      <c r="H372" s="22"/>
      <c r="I372" s="11" t="s">
        <v>598</v>
      </c>
      <c r="J372" s="21" t="s">
        <v>1609</v>
      </c>
      <c r="K372" s="22"/>
    </row>
    <row r="373" customFormat="false" ht="15" hidden="false" customHeight="false" outlineLevel="0" collapsed="false">
      <c r="A373" s="22" t="s">
        <v>1034</v>
      </c>
      <c r="B373" s="11" t="n">
        <v>2</v>
      </c>
      <c r="C373" s="22" t="s">
        <v>2021</v>
      </c>
      <c r="D373" s="21" t="s">
        <v>1867</v>
      </c>
      <c r="E373" s="11" t="s">
        <v>1636</v>
      </c>
      <c r="F373" s="11"/>
      <c r="G373" s="11"/>
      <c r="H373" s="22"/>
      <c r="I373" s="11" t="s">
        <v>598</v>
      </c>
      <c r="J373" s="22"/>
      <c r="K373" s="22"/>
    </row>
    <row r="374" customFormat="false" ht="15" hidden="false" customHeight="false" outlineLevel="0" collapsed="false">
      <c r="A374" s="22" t="s">
        <v>1034</v>
      </c>
      <c r="B374" s="11" t="n">
        <v>3</v>
      </c>
      <c r="C374" s="22" t="s">
        <v>2022</v>
      </c>
      <c r="D374" s="21" t="s">
        <v>1737</v>
      </c>
      <c r="E374" s="11" t="s">
        <v>1608</v>
      </c>
      <c r="F374" s="11"/>
      <c r="G374" s="11"/>
      <c r="H374" s="22" t="s">
        <v>1640</v>
      </c>
      <c r="I374" s="11"/>
      <c r="J374" s="22"/>
      <c r="K374" s="21" t="s">
        <v>2023</v>
      </c>
    </row>
    <row r="375" customFormat="false" ht="15" hidden="false" customHeight="false" outlineLevel="0" collapsed="false">
      <c r="A375" s="22" t="s">
        <v>1034</v>
      </c>
      <c r="B375" s="11" t="n">
        <v>4</v>
      </c>
      <c r="C375" s="22" t="s">
        <v>2024</v>
      </c>
      <c r="D375" s="21" t="s">
        <v>2025</v>
      </c>
      <c r="E375" s="11" t="s">
        <v>1611</v>
      </c>
      <c r="F375" s="11" t="s">
        <v>599</v>
      </c>
      <c r="G375" s="11"/>
      <c r="H375" s="22"/>
      <c r="I375" s="11" t="s">
        <v>598</v>
      </c>
      <c r="J375" s="22"/>
      <c r="K375" s="22" t="s">
        <v>2026</v>
      </c>
    </row>
    <row r="376" customFormat="false" ht="15" hidden="false" customHeight="false" outlineLevel="0" collapsed="false">
      <c r="A376" s="22" t="s">
        <v>1034</v>
      </c>
      <c r="B376" s="11" t="n">
        <v>5</v>
      </c>
      <c r="C376" s="22" t="s">
        <v>2027</v>
      </c>
      <c r="D376" s="21" t="s">
        <v>2028</v>
      </c>
      <c r="E376" s="11" t="s">
        <v>1611</v>
      </c>
      <c r="F376" s="11" t="s">
        <v>728</v>
      </c>
      <c r="G376" s="11"/>
      <c r="H376" s="22"/>
      <c r="I376" s="11"/>
      <c r="J376" s="22"/>
      <c r="K376" s="22"/>
    </row>
    <row r="377" customFormat="false" ht="15" hidden="false" customHeight="false" outlineLevel="0" collapsed="false">
      <c r="A377" s="22" t="s">
        <v>1034</v>
      </c>
      <c r="B377" s="11" t="n">
        <v>6</v>
      </c>
      <c r="C377" s="22" t="s">
        <v>2029</v>
      </c>
      <c r="D377" s="21" t="s">
        <v>2030</v>
      </c>
      <c r="E377" s="11" t="s">
        <v>1608</v>
      </c>
      <c r="F377" s="11"/>
      <c r="G377" s="11"/>
      <c r="H377" s="22"/>
      <c r="I377" s="11"/>
      <c r="J377" s="22"/>
      <c r="K377" s="22"/>
    </row>
    <row r="378" customFormat="false" ht="15" hidden="false" customHeight="false" outlineLevel="0" collapsed="false">
      <c r="A378" s="22" t="s">
        <v>1034</v>
      </c>
      <c r="B378" s="11" t="n">
        <v>7</v>
      </c>
      <c r="C378" s="22" t="s">
        <v>2031</v>
      </c>
      <c r="D378" s="21" t="s">
        <v>2032</v>
      </c>
      <c r="E378" s="11" t="s">
        <v>2033</v>
      </c>
      <c r="F378" s="11"/>
      <c r="G378" s="11"/>
      <c r="H378" s="22"/>
      <c r="I378" s="11"/>
      <c r="J378" s="22"/>
      <c r="K378" s="22"/>
    </row>
    <row r="379" customFormat="false" ht="15" hidden="false" customHeight="false" outlineLevel="0" collapsed="false">
      <c r="A379" s="22" t="s">
        <v>1034</v>
      </c>
      <c r="B379" s="11" t="n">
        <v>8</v>
      </c>
      <c r="C379" s="22" t="s">
        <v>2034</v>
      </c>
      <c r="D379" s="21" t="s">
        <v>2035</v>
      </c>
      <c r="E379" s="11" t="s">
        <v>2033</v>
      </c>
      <c r="F379" s="11"/>
      <c r="G379" s="11"/>
      <c r="H379" s="22"/>
      <c r="I379" s="11"/>
      <c r="J379" s="22"/>
      <c r="K379" s="22"/>
    </row>
    <row r="380" customFormat="false" ht="15" hidden="false" customHeight="false" outlineLevel="0" collapsed="false">
      <c r="A380" s="22" t="s">
        <v>1034</v>
      </c>
      <c r="B380" s="11" t="n">
        <v>9</v>
      </c>
      <c r="C380" s="22" t="s">
        <v>2036</v>
      </c>
      <c r="D380" s="22" t="s">
        <v>2037</v>
      </c>
      <c r="E380" s="11" t="s">
        <v>1611</v>
      </c>
      <c r="F380" s="11" t="s">
        <v>2038</v>
      </c>
      <c r="G380" s="11"/>
      <c r="H380" s="22"/>
      <c r="I380" s="11"/>
      <c r="J380" s="22"/>
      <c r="K380" s="22"/>
    </row>
    <row r="381" customFormat="false" ht="15" hidden="false" customHeight="false" outlineLevel="0" collapsed="false">
      <c r="A381" s="22" t="s">
        <v>1034</v>
      </c>
      <c r="B381" s="11" t="n">
        <v>10</v>
      </c>
      <c r="C381" s="22" t="s">
        <v>1634</v>
      </c>
      <c r="D381" s="21" t="s">
        <v>1635</v>
      </c>
      <c r="E381" s="11" t="s">
        <v>1636</v>
      </c>
      <c r="F381" s="11"/>
      <c r="G381" s="11"/>
      <c r="H381" s="22"/>
      <c r="I381" s="11" t="s">
        <v>598</v>
      </c>
      <c r="J381" s="21" t="s">
        <v>1637</v>
      </c>
      <c r="K381" s="22"/>
    </row>
    <row r="382" customFormat="false" ht="15" hidden="false" customHeight="false" outlineLevel="0" collapsed="false">
      <c r="A382" s="22" t="s">
        <v>1034</v>
      </c>
      <c r="B382" s="11" t="n">
        <v>11</v>
      </c>
      <c r="C382" s="22" t="s">
        <v>1638</v>
      </c>
      <c r="D382" s="21" t="s">
        <v>1639</v>
      </c>
      <c r="E382" s="11" t="s">
        <v>1608</v>
      </c>
      <c r="F382" s="11"/>
      <c r="G382" s="11"/>
      <c r="H382" s="22" t="s">
        <v>1640</v>
      </c>
      <c r="I382" s="11" t="s">
        <v>598</v>
      </c>
      <c r="J382" s="22"/>
      <c r="K382" s="22"/>
    </row>
  </sheetData>
  <autoFilter ref="A3:K382"/>
  <mergeCells count="26">
    <mergeCell ref="B4:K4"/>
    <mergeCell ref="B20:K20"/>
    <mergeCell ref="B43:K43"/>
    <mergeCell ref="B62:K62"/>
    <mergeCell ref="B78:K78"/>
    <mergeCell ref="B92:K92"/>
    <mergeCell ref="B102:K102"/>
    <mergeCell ref="B116:K116"/>
    <mergeCell ref="B131:K131"/>
    <mergeCell ref="B144:K144"/>
    <mergeCell ref="B157:K157"/>
    <mergeCell ref="B176:K176"/>
    <mergeCell ref="B196:K196"/>
    <mergeCell ref="B207:K207"/>
    <mergeCell ref="B218:K218"/>
    <mergeCell ref="B230:K230"/>
    <mergeCell ref="B247:K247"/>
    <mergeCell ref="B260:K260"/>
    <mergeCell ref="B275:K275"/>
    <mergeCell ref="B291:K291"/>
    <mergeCell ref="B308:K308"/>
    <mergeCell ref="B322:K322"/>
    <mergeCell ref="B331:K331"/>
    <mergeCell ref="B349:K349"/>
    <mergeCell ref="B358:K358"/>
    <mergeCell ref="B371:K371"/>
  </mergeCells>
  <hyperlinks>
    <hyperlink ref="K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28"/>
    <col collapsed="false" customWidth="true" hidden="false" outlineLevel="0" max="4" min="4" style="0" width="40"/>
    <col collapsed="false" customWidth="true" hidden="false" outlineLevel="0" max="5" min="5" style="0" width="60"/>
  </cols>
  <sheetData>
    <row r="1" customFormat="false" ht="15" hidden="false" customHeight="false" outlineLevel="0" collapsed="false">
      <c r="A1" s="5" t="s">
        <v>2039</v>
      </c>
      <c r="E1" s="19" t="s">
        <v>78</v>
      </c>
    </row>
    <row r="2" customFormat="false" ht="15" hidden="false" customHeight="false" outlineLevel="0" collapsed="false">
      <c r="A2" s="35" t="s">
        <v>2040</v>
      </c>
    </row>
    <row r="3" customFormat="false" ht="15" hidden="false" customHeight="false" outlineLevel="0" collapsed="false">
      <c r="A3" s="10" t="s">
        <v>1598</v>
      </c>
      <c r="B3" s="10" t="s">
        <v>570</v>
      </c>
      <c r="C3" s="10" t="s">
        <v>2041</v>
      </c>
      <c r="D3" s="10" t="s">
        <v>2042</v>
      </c>
      <c r="E3" s="10" t="s">
        <v>287</v>
      </c>
    </row>
    <row r="4" customFormat="false" ht="15" hidden="false" customHeight="false" outlineLevel="0" collapsed="false">
      <c r="A4" s="22" t="s">
        <v>1531</v>
      </c>
      <c r="B4" s="11" t="s">
        <v>2043</v>
      </c>
      <c r="C4" s="22" t="s">
        <v>2044</v>
      </c>
      <c r="D4" s="22" t="s">
        <v>1610</v>
      </c>
      <c r="E4" s="21" t="s">
        <v>2045</v>
      </c>
    </row>
    <row r="5" customFormat="false" ht="15" hidden="false" customHeight="false" outlineLevel="0" collapsed="false">
      <c r="A5" s="22" t="s">
        <v>1533</v>
      </c>
      <c r="B5" s="11" t="s">
        <v>2043</v>
      </c>
      <c r="C5" s="22" t="s">
        <v>2046</v>
      </c>
      <c r="D5" s="22" t="s">
        <v>1651</v>
      </c>
      <c r="E5" s="21" t="s">
        <v>2045</v>
      </c>
    </row>
    <row r="6" customFormat="false" ht="15" hidden="false" customHeight="false" outlineLevel="0" collapsed="false">
      <c r="A6" s="22" t="s">
        <v>1535</v>
      </c>
      <c r="B6" s="11" t="s">
        <v>2043</v>
      </c>
      <c r="C6" s="22" t="s">
        <v>2047</v>
      </c>
      <c r="D6" s="22" t="s">
        <v>1691</v>
      </c>
      <c r="E6" s="21" t="s">
        <v>2045</v>
      </c>
    </row>
    <row r="7" customFormat="false" ht="15" hidden="false" customHeight="false" outlineLevel="0" collapsed="false">
      <c r="A7" s="22" t="s">
        <v>1535</v>
      </c>
      <c r="B7" s="11" t="s">
        <v>2048</v>
      </c>
      <c r="C7" s="22" t="s">
        <v>2049</v>
      </c>
      <c r="D7" s="22" t="s">
        <v>2050</v>
      </c>
      <c r="E7" s="22" t="s">
        <v>2051</v>
      </c>
    </row>
    <row r="8" customFormat="false" ht="15" hidden="false" customHeight="false" outlineLevel="0" collapsed="false">
      <c r="A8" s="22" t="s">
        <v>665</v>
      </c>
      <c r="B8" s="11" t="s">
        <v>2052</v>
      </c>
      <c r="C8" s="22" t="s">
        <v>2053</v>
      </c>
      <c r="D8" s="22" t="s">
        <v>2054</v>
      </c>
      <c r="E8" s="21" t="s">
        <v>2055</v>
      </c>
    </row>
    <row r="9" customFormat="false" ht="15" hidden="false" customHeight="false" outlineLevel="0" collapsed="false">
      <c r="A9" s="22" t="s">
        <v>1538</v>
      </c>
      <c r="B9" s="11" t="s">
        <v>2043</v>
      </c>
      <c r="C9" s="22" t="s">
        <v>2056</v>
      </c>
      <c r="D9" s="22" t="s">
        <v>1718</v>
      </c>
      <c r="E9" s="21" t="s">
        <v>2045</v>
      </c>
    </row>
    <row r="10" customFormat="false" ht="15" hidden="false" customHeight="false" outlineLevel="0" collapsed="false">
      <c r="A10" s="22" t="s">
        <v>1538</v>
      </c>
      <c r="B10" s="11" t="s">
        <v>2048</v>
      </c>
      <c r="C10" s="22" t="s">
        <v>2057</v>
      </c>
      <c r="D10" s="22" t="s">
        <v>2058</v>
      </c>
      <c r="E10" s="22" t="s">
        <v>2059</v>
      </c>
    </row>
    <row r="11" customFormat="false" ht="15" hidden="false" customHeight="false" outlineLevel="0" collapsed="false">
      <c r="A11" s="22" t="s">
        <v>1540</v>
      </c>
      <c r="B11" s="11" t="s">
        <v>2043</v>
      </c>
      <c r="C11" s="22" t="s">
        <v>2060</v>
      </c>
      <c r="D11" s="22" t="s">
        <v>2061</v>
      </c>
      <c r="E11" s="21" t="s">
        <v>2062</v>
      </c>
    </row>
    <row r="12" customFormat="false" ht="15" hidden="false" customHeight="false" outlineLevel="0" collapsed="false">
      <c r="A12" s="22" t="s">
        <v>1542</v>
      </c>
      <c r="B12" s="11" t="s">
        <v>2043</v>
      </c>
      <c r="C12" s="22" t="s">
        <v>2063</v>
      </c>
      <c r="D12" s="22" t="s">
        <v>1625</v>
      </c>
      <c r="E12" s="21" t="s">
        <v>2064</v>
      </c>
    </row>
    <row r="13" customFormat="false" ht="15" hidden="false" customHeight="false" outlineLevel="0" collapsed="false">
      <c r="A13" s="22" t="s">
        <v>583</v>
      </c>
      <c r="B13" s="11" t="s">
        <v>2043</v>
      </c>
      <c r="C13" s="22" t="s">
        <v>2065</v>
      </c>
      <c r="D13" s="22" t="s">
        <v>1754</v>
      </c>
      <c r="E13" s="21" t="s">
        <v>2066</v>
      </c>
    </row>
    <row r="14" customFormat="false" ht="15" hidden="false" customHeight="false" outlineLevel="0" collapsed="false">
      <c r="A14" s="22" t="s">
        <v>1548</v>
      </c>
      <c r="B14" s="11" t="s">
        <v>2043</v>
      </c>
      <c r="C14" s="22" t="s">
        <v>2067</v>
      </c>
      <c r="D14" s="22" t="s">
        <v>2068</v>
      </c>
      <c r="E14" s="21" t="s">
        <v>2069</v>
      </c>
    </row>
    <row r="15" customFormat="false" ht="15" hidden="false" customHeight="false" outlineLevel="0" collapsed="false">
      <c r="A15" s="22" t="s">
        <v>1550</v>
      </c>
      <c r="B15" s="11" t="s">
        <v>2043</v>
      </c>
      <c r="C15" s="22" t="s">
        <v>2070</v>
      </c>
      <c r="D15" s="22" t="s">
        <v>1787</v>
      </c>
      <c r="E15" s="21" t="s">
        <v>2066</v>
      </c>
    </row>
    <row r="16" customFormat="false" ht="15" hidden="false" customHeight="false" outlineLevel="0" collapsed="false">
      <c r="A16" s="22" t="s">
        <v>590</v>
      </c>
      <c r="B16" s="11" t="s">
        <v>2043</v>
      </c>
      <c r="C16" s="22" t="s">
        <v>2071</v>
      </c>
      <c r="D16" s="22" t="s">
        <v>1816</v>
      </c>
      <c r="E16" s="21" t="s">
        <v>2072</v>
      </c>
    </row>
    <row r="17" customFormat="false" ht="15" hidden="false" customHeight="false" outlineLevel="0" collapsed="false">
      <c r="A17" s="22" t="s">
        <v>590</v>
      </c>
      <c r="B17" s="11" t="s">
        <v>2043</v>
      </c>
      <c r="C17" s="22" t="s">
        <v>2073</v>
      </c>
      <c r="D17" s="22" t="s">
        <v>2074</v>
      </c>
      <c r="E17" s="22" t="s">
        <v>2075</v>
      </c>
    </row>
    <row r="18" customFormat="false" ht="15" hidden="false" customHeight="false" outlineLevel="0" collapsed="false">
      <c r="A18" s="22" t="s">
        <v>590</v>
      </c>
      <c r="B18" s="11" t="s">
        <v>2076</v>
      </c>
      <c r="C18" s="22" t="s">
        <v>2077</v>
      </c>
      <c r="D18" s="22" t="s">
        <v>2078</v>
      </c>
      <c r="E18" s="22" t="s">
        <v>2079</v>
      </c>
    </row>
    <row r="19" customFormat="false" ht="15" hidden="false" customHeight="false" outlineLevel="0" collapsed="false">
      <c r="A19" s="22" t="s">
        <v>819</v>
      </c>
      <c r="B19" s="11" t="s">
        <v>2076</v>
      </c>
      <c r="C19" s="22" t="s">
        <v>2080</v>
      </c>
      <c r="D19" s="22" t="s">
        <v>2081</v>
      </c>
      <c r="E19" s="21" t="s">
        <v>2082</v>
      </c>
    </row>
    <row r="20" customFormat="false" ht="15" hidden="false" customHeight="false" outlineLevel="0" collapsed="false">
      <c r="A20" s="22" t="s">
        <v>1554</v>
      </c>
      <c r="B20" s="11" t="s">
        <v>2048</v>
      </c>
      <c r="C20" s="22" t="s">
        <v>2083</v>
      </c>
      <c r="D20" s="22" t="s">
        <v>1778</v>
      </c>
      <c r="E20" s="22" t="s">
        <v>2084</v>
      </c>
    </row>
    <row r="21" customFormat="false" ht="15" hidden="false" customHeight="false" outlineLevel="0" collapsed="false">
      <c r="A21" s="22" t="s">
        <v>970</v>
      </c>
      <c r="B21" s="11" t="s">
        <v>2043</v>
      </c>
      <c r="C21" s="22" t="s">
        <v>2085</v>
      </c>
      <c r="D21" s="22" t="s">
        <v>2086</v>
      </c>
      <c r="E21" s="21" t="s">
        <v>2087</v>
      </c>
    </row>
    <row r="22" customFormat="false" ht="15" hidden="false" customHeight="false" outlineLevel="0" collapsed="false">
      <c r="A22" s="22" t="s">
        <v>970</v>
      </c>
      <c r="B22" s="11" t="s">
        <v>2048</v>
      </c>
      <c r="C22" s="22" t="s">
        <v>2088</v>
      </c>
      <c r="D22" s="22" t="s">
        <v>2089</v>
      </c>
      <c r="E22" s="22" t="s">
        <v>2090</v>
      </c>
    </row>
    <row r="23" customFormat="false" ht="15" hidden="false" customHeight="false" outlineLevel="0" collapsed="false">
      <c r="A23" s="22" t="s">
        <v>814</v>
      </c>
      <c r="B23" s="11" t="s">
        <v>2076</v>
      </c>
      <c r="C23" s="22" t="s">
        <v>2091</v>
      </c>
      <c r="D23" s="22" t="s">
        <v>2092</v>
      </c>
      <c r="E23" s="21" t="s">
        <v>2093</v>
      </c>
    </row>
    <row r="24" customFormat="false" ht="15" hidden="false" customHeight="false" outlineLevel="0" collapsed="false">
      <c r="A24" s="22" t="s">
        <v>814</v>
      </c>
      <c r="B24" s="11" t="s">
        <v>2076</v>
      </c>
      <c r="C24" s="22" t="s">
        <v>2094</v>
      </c>
      <c r="D24" s="22" t="s">
        <v>2095</v>
      </c>
      <c r="E24" s="21" t="s">
        <v>2096</v>
      </c>
    </row>
    <row r="25" customFormat="false" ht="15" hidden="false" customHeight="false" outlineLevel="0" collapsed="false">
      <c r="A25" s="22" t="s">
        <v>586</v>
      </c>
      <c r="B25" s="11" t="s">
        <v>2043</v>
      </c>
      <c r="C25" s="22" t="s">
        <v>2097</v>
      </c>
      <c r="D25" s="22" t="s">
        <v>1881</v>
      </c>
      <c r="E25" s="21" t="s">
        <v>2066</v>
      </c>
    </row>
    <row r="26" customFormat="false" ht="15" hidden="false" customHeight="false" outlineLevel="0" collapsed="false">
      <c r="A26" s="22" t="s">
        <v>586</v>
      </c>
      <c r="B26" s="11" t="s">
        <v>2076</v>
      </c>
      <c r="C26" s="22" t="s">
        <v>2098</v>
      </c>
      <c r="D26" s="22" t="s">
        <v>2099</v>
      </c>
      <c r="E26" s="21" t="s">
        <v>2100</v>
      </c>
    </row>
    <row r="27" customFormat="false" ht="15" hidden="false" customHeight="false" outlineLevel="0" collapsed="false">
      <c r="A27" s="22" t="s">
        <v>910</v>
      </c>
      <c r="B27" s="11" t="s">
        <v>2043</v>
      </c>
      <c r="C27" s="22" t="s">
        <v>2101</v>
      </c>
      <c r="D27" s="22" t="s">
        <v>2102</v>
      </c>
      <c r="E27" s="21" t="s">
        <v>2069</v>
      </c>
    </row>
    <row r="28" customFormat="false" ht="15" hidden="false" customHeight="false" outlineLevel="0" collapsed="false">
      <c r="A28" s="22" t="s">
        <v>1571</v>
      </c>
      <c r="B28" s="11" t="s">
        <v>2043</v>
      </c>
      <c r="C28" s="22" t="s">
        <v>2103</v>
      </c>
      <c r="D28" s="22" t="s">
        <v>1903</v>
      </c>
      <c r="E28" s="21" t="s">
        <v>2066</v>
      </c>
    </row>
    <row r="29" customFormat="false" ht="15" hidden="false" customHeight="false" outlineLevel="0" collapsed="false">
      <c r="A29" s="22" t="s">
        <v>1571</v>
      </c>
      <c r="B29" s="11" t="s">
        <v>2076</v>
      </c>
      <c r="C29" s="22" t="s">
        <v>2104</v>
      </c>
      <c r="D29" s="22" t="s">
        <v>2105</v>
      </c>
      <c r="E29" s="21" t="s">
        <v>2106</v>
      </c>
    </row>
    <row r="30" customFormat="false" ht="15" hidden="false" customHeight="false" outlineLevel="0" collapsed="false">
      <c r="A30" s="22" t="s">
        <v>1574</v>
      </c>
      <c r="B30" s="11" t="s">
        <v>2076</v>
      </c>
      <c r="C30" s="22" t="s">
        <v>2107</v>
      </c>
      <c r="D30" s="22" t="s">
        <v>2108</v>
      </c>
      <c r="E30" s="21" t="s">
        <v>2109</v>
      </c>
    </row>
    <row r="31" customFormat="false" ht="15" hidden="false" customHeight="false" outlineLevel="0" collapsed="false">
      <c r="A31" s="22" t="s">
        <v>1574</v>
      </c>
      <c r="B31" s="11" t="s">
        <v>2076</v>
      </c>
      <c r="C31" s="22" t="s">
        <v>2110</v>
      </c>
      <c r="D31" s="22" t="s">
        <v>2111</v>
      </c>
      <c r="E31" s="21" t="s">
        <v>2112</v>
      </c>
    </row>
    <row r="32" customFormat="false" ht="15" hidden="false" customHeight="false" outlineLevel="0" collapsed="false">
      <c r="A32" s="22" t="s">
        <v>1574</v>
      </c>
      <c r="B32" s="11" t="s">
        <v>2048</v>
      </c>
      <c r="C32" s="22" t="s">
        <v>2113</v>
      </c>
      <c r="D32" s="22" t="s">
        <v>1778</v>
      </c>
      <c r="E32" s="22" t="s">
        <v>2084</v>
      </c>
    </row>
    <row r="33" customFormat="false" ht="15" hidden="false" customHeight="false" outlineLevel="0" collapsed="false">
      <c r="A33" s="22" t="s">
        <v>1578</v>
      </c>
      <c r="B33" s="11" t="s">
        <v>2043</v>
      </c>
      <c r="C33" s="22" t="s">
        <v>2114</v>
      </c>
      <c r="D33" s="22" t="s">
        <v>1928</v>
      </c>
      <c r="E33" s="21" t="s">
        <v>2066</v>
      </c>
    </row>
    <row r="34" customFormat="false" ht="15" hidden="false" customHeight="false" outlineLevel="0" collapsed="false">
      <c r="A34" s="22" t="s">
        <v>1578</v>
      </c>
      <c r="B34" s="11" t="s">
        <v>2076</v>
      </c>
      <c r="C34" s="22" t="s">
        <v>2115</v>
      </c>
      <c r="D34" s="22" t="s">
        <v>1931</v>
      </c>
      <c r="E34" s="21" t="s">
        <v>2116</v>
      </c>
    </row>
    <row r="35" customFormat="false" ht="15" hidden="false" customHeight="false" outlineLevel="0" collapsed="false">
      <c r="A35" s="22" t="s">
        <v>1578</v>
      </c>
      <c r="B35" s="11" t="s">
        <v>2076</v>
      </c>
      <c r="C35" s="22" t="s">
        <v>2117</v>
      </c>
      <c r="D35" s="22" t="s">
        <v>1935</v>
      </c>
      <c r="E35" s="21" t="s">
        <v>2118</v>
      </c>
    </row>
    <row r="36" customFormat="false" ht="15" hidden="false" customHeight="false" outlineLevel="0" collapsed="false">
      <c r="A36" s="22" t="s">
        <v>1581</v>
      </c>
      <c r="B36" s="11" t="s">
        <v>2043</v>
      </c>
      <c r="C36" s="22" t="s">
        <v>2119</v>
      </c>
      <c r="D36" s="22" t="s">
        <v>1953</v>
      </c>
      <c r="E36" s="21" t="s">
        <v>2066</v>
      </c>
    </row>
    <row r="37" customFormat="false" ht="15" hidden="false" customHeight="false" outlineLevel="0" collapsed="false">
      <c r="A37" s="22" t="s">
        <v>1583</v>
      </c>
      <c r="B37" s="11" t="s">
        <v>2043</v>
      </c>
      <c r="C37" s="22" t="s">
        <v>2120</v>
      </c>
      <c r="D37" s="22" t="s">
        <v>2121</v>
      </c>
      <c r="E37" s="21" t="s">
        <v>2122</v>
      </c>
    </row>
    <row r="38" customFormat="false" ht="15" hidden="false" customHeight="false" outlineLevel="0" collapsed="false">
      <c r="A38" s="22" t="s">
        <v>1587</v>
      </c>
      <c r="B38" s="11" t="s">
        <v>2043</v>
      </c>
      <c r="C38" s="22" t="s">
        <v>2123</v>
      </c>
      <c r="D38" s="22" t="s">
        <v>2124</v>
      </c>
      <c r="E38" s="22" t="s">
        <v>2125</v>
      </c>
    </row>
    <row r="39" customFormat="false" ht="15" hidden="false" customHeight="false" outlineLevel="0" collapsed="false">
      <c r="A39" s="22" t="s">
        <v>1591</v>
      </c>
      <c r="B39" s="11" t="s">
        <v>2076</v>
      </c>
      <c r="C39" s="22" t="s">
        <v>2126</v>
      </c>
      <c r="D39" s="22" t="s">
        <v>2127</v>
      </c>
      <c r="E39" s="21" t="s">
        <v>2128</v>
      </c>
    </row>
    <row r="40" customFormat="false" ht="15" hidden="false" customHeight="false" outlineLevel="0" collapsed="false">
      <c r="A40" s="22" t="s">
        <v>765</v>
      </c>
      <c r="B40" s="11" t="s">
        <v>2076</v>
      </c>
      <c r="C40" s="22" t="s">
        <v>2129</v>
      </c>
      <c r="D40" s="22" t="s">
        <v>2130</v>
      </c>
      <c r="E40" s="21" t="s">
        <v>2131</v>
      </c>
    </row>
    <row r="41" customFormat="false" ht="15" hidden="false" customHeight="false" outlineLevel="0" collapsed="false">
      <c r="A41" s="22" t="s">
        <v>1034</v>
      </c>
      <c r="B41" s="11" t="s">
        <v>2076</v>
      </c>
      <c r="C41" s="22" t="s">
        <v>2132</v>
      </c>
      <c r="D41" s="22" t="s">
        <v>2133</v>
      </c>
      <c r="E41" s="21" t="s">
        <v>2134</v>
      </c>
    </row>
    <row r="42" customFormat="false" ht="15" hidden="false" customHeight="false" outlineLevel="0" collapsed="false">
      <c r="A42" s="22" t="s">
        <v>1034</v>
      </c>
      <c r="B42" s="11" t="s">
        <v>2076</v>
      </c>
      <c r="C42" s="22" t="s">
        <v>2135</v>
      </c>
      <c r="D42" s="22" t="s">
        <v>2136</v>
      </c>
      <c r="E42" s="21" t="s">
        <v>2137</v>
      </c>
    </row>
  </sheetData>
  <autoFilter ref="A3:E42"/>
  <hyperlinks>
    <hyperlink ref="E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8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0"/>
  </cols>
  <sheetData>
    <row r="1" customFormat="false" ht="14.9" hidden="false" customHeight="false" outlineLevel="0" collapsed="false">
      <c r="A1" s="25" t="s">
        <v>2138</v>
      </c>
      <c r="B1" s="19" t="s">
        <v>78</v>
      </c>
    </row>
    <row r="3" customFormat="false" ht="15" hidden="false" customHeight="false" outlineLevel="0" collapsed="false">
      <c r="A3" s="36" t="s">
        <v>2139</v>
      </c>
    </row>
    <row r="4" customFormat="false" ht="15" hidden="false" customHeight="false" outlineLevel="0" collapsed="false">
      <c r="A4" s="36" t="s">
        <v>2140</v>
      </c>
    </row>
    <row r="5" customFormat="false" ht="15" hidden="false" customHeight="false" outlineLevel="0" collapsed="false">
      <c r="A5" s="36"/>
    </row>
    <row r="6" customFormat="false" ht="15" hidden="false" customHeight="false" outlineLevel="0" collapsed="false">
      <c r="A6" s="36" t="s">
        <v>2141</v>
      </c>
    </row>
    <row r="7" customFormat="false" ht="15" hidden="false" customHeight="false" outlineLevel="0" collapsed="false">
      <c r="A7" s="36" t="s">
        <v>2142</v>
      </c>
    </row>
    <row r="8" customFormat="false" ht="15" hidden="false" customHeight="false" outlineLevel="0" collapsed="false">
      <c r="A8" s="36" t="s">
        <v>2143</v>
      </c>
    </row>
    <row r="9" customFormat="false" ht="15" hidden="false" customHeight="false" outlineLevel="0" collapsed="false">
      <c r="A9" s="36" t="s">
        <v>2144</v>
      </c>
    </row>
    <row r="10" customFormat="false" ht="15" hidden="false" customHeight="false" outlineLevel="0" collapsed="false">
      <c r="A10" s="36" t="s">
        <v>2145</v>
      </c>
    </row>
    <row r="11" customFormat="false" ht="15" hidden="false" customHeight="false" outlineLevel="0" collapsed="false">
      <c r="A11" s="36" t="s">
        <v>2146</v>
      </c>
    </row>
    <row r="12" customFormat="false" ht="15" hidden="false" customHeight="false" outlineLevel="0" collapsed="false">
      <c r="A12" s="36" t="s">
        <v>2147</v>
      </c>
    </row>
    <row r="13" customFormat="false" ht="15" hidden="false" customHeight="false" outlineLevel="0" collapsed="false">
      <c r="A13" s="36" t="s">
        <v>2148</v>
      </c>
    </row>
    <row r="14" customFormat="false" ht="15" hidden="false" customHeight="false" outlineLevel="0" collapsed="false">
      <c r="A14" s="36" t="s">
        <v>2149</v>
      </c>
    </row>
    <row r="15" customFormat="false" ht="15" hidden="false" customHeight="false" outlineLevel="0" collapsed="false">
      <c r="A15" s="36" t="s">
        <v>2150</v>
      </c>
    </row>
    <row r="16" customFormat="false" ht="15" hidden="false" customHeight="false" outlineLevel="0" collapsed="false">
      <c r="A16" s="36" t="s">
        <v>2151</v>
      </c>
    </row>
    <row r="17" customFormat="false" ht="15" hidden="false" customHeight="false" outlineLevel="0" collapsed="false">
      <c r="A17" s="36" t="s">
        <v>2152</v>
      </c>
    </row>
    <row r="18" customFormat="false" ht="15" hidden="false" customHeight="false" outlineLevel="0" collapsed="false">
      <c r="A18" s="36" t="s">
        <v>2153</v>
      </c>
    </row>
    <row r="19" customFormat="false" ht="15" hidden="false" customHeight="false" outlineLevel="0" collapsed="false">
      <c r="A19" s="36" t="s">
        <v>2154</v>
      </c>
    </row>
    <row r="20" customFormat="false" ht="15" hidden="false" customHeight="false" outlineLevel="0" collapsed="false">
      <c r="A20" s="36" t="s">
        <v>2155</v>
      </c>
    </row>
    <row r="21" customFormat="false" ht="15" hidden="false" customHeight="false" outlineLevel="0" collapsed="false">
      <c r="A21" s="36" t="s">
        <v>2156</v>
      </c>
    </row>
    <row r="22" customFormat="false" ht="15" hidden="false" customHeight="false" outlineLevel="0" collapsed="false">
      <c r="A22" s="36" t="s">
        <v>2157</v>
      </c>
    </row>
    <row r="23" customFormat="false" ht="15" hidden="false" customHeight="false" outlineLevel="0" collapsed="false">
      <c r="A23" s="36" t="s">
        <v>2158</v>
      </c>
    </row>
    <row r="24" customFormat="false" ht="15" hidden="false" customHeight="false" outlineLevel="0" collapsed="false">
      <c r="A24" s="36" t="s">
        <v>2159</v>
      </c>
    </row>
    <row r="25" customFormat="false" ht="15" hidden="false" customHeight="false" outlineLevel="0" collapsed="false">
      <c r="A25" s="36" t="s">
        <v>2160</v>
      </c>
    </row>
    <row r="26" customFormat="false" ht="15" hidden="false" customHeight="false" outlineLevel="0" collapsed="false">
      <c r="A26" s="36" t="s">
        <v>2161</v>
      </c>
    </row>
    <row r="27" customFormat="false" ht="15" hidden="false" customHeight="false" outlineLevel="0" collapsed="false">
      <c r="A27" s="36" t="s">
        <v>2162</v>
      </c>
    </row>
    <row r="28" customFormat="false" ht="15" hidden="false" customHeight="false" outlineLevel="0" collapsed="false">
      <c r="A28" s="36" t="s">
        <v>2163</v>
      </c>
    </row>
    <row r="29" customFormat="false" ht="15" hidden="false" customHeight="false" outlineLevel="0" collapsed="false">
      <c r="A29" s="36" t="s">
        <v>2164</v>
      </c>
    </row>
    <row r="30" customFormat="false" ht="15" hidden="false" customHeight="false" outlineLevel="0" collapsed="false">
      <c r="A30" s="36" t="s">
        <v>2165</v>
      </c>
    </row>
    <row r="31" customFormat="false" ht="15" hidden="false" customHeight="false" outlineLevel="0" collapsed="false">
      <c r="A31" s="36" t="s">
        <v>2166</v>
      </c>
    </row>
    <row r="32" customFormat="false" ht="15" hidden="false" customHeight="false" outlineLevel="0" collapsed="false">
      <c r="A32" s="36" t="s">
        <v>2167</v>
      </c>
    </row>
    <row r="33" customFormat="false" ht="15" hidden="false" customHeight="false" outlineLevel="0" collapsed="false">
      <c r="A33" s="36" t="s">
        <v>2168</v>
      </c>
    </row>
    <row r="34" customFormat="false" ht="15" hidden="false" customHeight="false" outlineLevel="0" collapsed="false">
      <c r="A34" s="36" t="s">
        <v>2169</v>
      </c>
    </row>
    <row r="35" customFormat="false" ht="15" hidden="false" customHeight="false" outlineLevel="0" collapsed="false">
      <c r="A35" s="36" t="s">
        <v>2170</v>
      </c>
    </row>
    <row r="36" customFormat="false" ht="15" hidden="false" customHeight="false" outlineLevel="0" collapsed="false">
      <c r="A36" s="36"/>
    </row>
    <row r="37" customFormat="false" ht="15" hidden="false" customHeight="false" outlineLevel="0" collapsed="false">
      <c r="A37" s="36" t="s">
        <v>2171</v>
      </c>
    </row>
    <row r="38" customFormat="false" ht="15" hidden="false" customHeight="false" outlineLevel="0" collapsed="false">
      <c r="A38" s="36" t="s">
        <v>2172</v>
      </c>
    </row>
    <row r="39" customFormat="false" ht="15" hidden="false" customHeight="false" outlineLevel="0" collapsed="false">
      <c r="A39" s="36" t="s">
        <v>2143</v>
      </c>
    </row>
    <row r="40" customFormat="false" ht="15" hidden="false" customHeight="false" outlineLevel="0" collapsed="false">
      <c r="A40" s="36" t="s">
        <v>2173</v>
      </c>
    </row>
    <row r="41" customFormat="false" ht="15" hidden="false" customHeight="false" outlineLevel="0" collapsed="false">
      <c r="A41" s="36" t="s">
        <v>2174</v>
      </c>
    </row>
    <row r="42" customFormat="false" ht="15" hidden="false" customHeight="false" outlineLevel="0" collapsed="false">
      <c r="A42" s="36" t="s">
        <v>2175</v>
      </c>
    </row>
    <row r="43" customFormat="false" ht="15" hidden="false" customHeight="false" outlineLevel="0" collapsed="false">
      <c r="A43" s="36" t="s">
        <v>2176</v>
      </c>
    </row>
    <row r="44" customFormat="false" ht="15" hidden="false" customHeight="false" outlineLevel="0" collapsed="false">
      <c r="A44" s="36" t="s">
        <v>2177</v>
      </c>
    </row>
    <row r="45" customFormat="false" ht="15" hidden="false" customHeight="false" outlineLevel="0" collapsed="false">
      <c r="A45" s="36" t="s">
        <v>2178</v>
      </c>
    </row>
    <row r="46" customFormat="false" ht="15" hidden="false" customHeight="false" outlineLevel="0" collapsed="false">
      <c r="A46" s="36" t="s">
        <v>2179</v>
      </c>
    </row>
    <row r="47" customFormat="false" ht="15" hidden="false" customHeight="false" outlineLevel="0" collapsed="false">
      <c r="A47" s="36" t="s">
        <v>2180</v>
      </c>
    </row>
    <row r="48" customFormat="false" ht="15" hidden="false" customHeight="false" outlineLevel="0" collapsed="false">
      <c r="A48" s="36" t="s">
        <v>2150</v>
      </c>
    </row>
    <row r="49" customFormat="false" ht="15" hidden="false" customHeight="false" outlineLevel="0" collapsed="false">
      <c r="A49" s="36" t="s">
        <v>2151</v>
      </c>
    </row>
    <row r="50" customFormat="false" ht="15" hidden="false" customHeight="false" outlineLevel="0" collapsed="false">
      <c r="A50" s="36" t="s">
        <v>2152</v>
      </c>
    </row>
    <row r="51" customFormat="false" ht="15" hidden="false" customHeight="false" outlineLevel="0" collapsed="false">
      <c r="A51" s="36" t="s">
        <v>2153</v>
      </c>
    </row>
    <row r="52" customFormat="false" ht="15" hidden="false" customHeight="false" outlineLevel="0" collapsed="false">
      <c r="A52" s="36" t="s">
        <v>2154</v>
      </c>
    </row>
    <row r="53" customFormat="false" ht="15" hidden="false" customHeight="false" outlineLevel="0" collapsed="false">
      <c r="A53" s="36" t="s">
        <v>2155</v>
      </c>
    </row>
    <row r="54" customFormat="false" ht="15" hidden="false" customHeight="false" outlineLevel="0" collapsed="false">
      <c r="A54" s="36" t="s">
        <v>2156</v>
      </c>
    </row>
    <row r="55" customFormat="false" ht="15" hidden="false" customHeight="false" outlineLevel="0" collapsed="false">
      <c r="A55" s="36" t="s">
        <v>2181</v>
      </c>
    </row>
    <row r="56" customFormat="false" ht="15" hidden="false" customHeight="false" outlineLevel="0" collapsed="false">
      <c r="A56" s="36" t="s">
        <v>2182</v>
      </c>
    </row>
    <row r="57" customFormat="false" ht="15" hidden="false" customHeight="false" outlineLevel="0" collapsed="false">
      <c r="A57" s="36" t="s">
        <v>2183</v>
      </c>
    </row>
    <row r="58" customFormat="false" ht="15" hidden="false" customHeight="false" outlineLevel="0" collapsed="false">
      <c r="A58" s="36" t="s">
        <v>2184</v>
      </c>
    </row>
    <row r="59" customFormat="false" ht="15" hidden="false" customHeight="false" outlineLevel="0" collapsed="false">
      <c r="A59" s="36" t="s">
        <v>2185</v>
      </c>
    </row>
    <row r="60" customFormat="false" ht="15" hidden="false" customHeight="false" outlineLevel="0" collapsed="false">
      <c r="A60" s="36" t="s">
        <v>2186</v>
      </c>
    </row>
    <row r="61" customFormat="false" ht="15" hidden="false" customHeight="false" outlineLevel="0" collapsed="false">
      <c r="A61" s="36" t="s">
        <v>2187</v>
      </c>
    </row>
    <row r="62" customFormat="false" ht="15" hidden="false" customHeight="false" outlineLevel="0" collapsed="false">
      <c r="A62" s="36" t="s">
        <v>2188</v>
      </c>
    </row>
    <row r="63" customFormat="false" ht="15" hidden="false" customHeight="false" outlineLevel="0" collapsed="false">
      <c r="A63" s="36" t="s">
        <v>2189</v>
      </c>
    </row>
    <row r="64" customFormat="false" ht="15" hidden="false" customHeight="false" outlineLevel="0" collapsed="false">
      <c r="A64" s="36" t="s">
        <v>2190</v>
      </c>
    </row>
    <row r="65" customFormat="false" ht="15" hidden="false" customHeight="false" outlineLevel="0" collapsed="false">
      <c r="A65" s="36" t="s">
        <v>2191</v>
      </c>
    </row>
    <row r="66" customFormat="false" ht="15" hidden="false" customHeight="false" outlineLevel="0" collapsed="false">
      <c r="A66" s="36" t="s">
        <v>2192</v>
      </c>
    </row>
    <row r="67" customFormat="false" ht="15" hidden="false" customHeight="false" outlineLevel="0" collapsed="false">
      <c r="A67" s="36" t="s">
        <v>2193</v>
      </c>
    </row>
    <row r="68" customFormat="false" ht="15" hidden="false" customHeight="false" outlineLevel="0" collapsed="false">
      <c r="A68" s="36" t="s">
        <v>2194</v>
      </c>
    </row>
    <row r="69" customFormat="false" ht="15" hidden="false" customHeight="false" outlineLevel="0" collapsed="false">
      <c r="A69" s="36" t="s">
        <v>2195</v>
      </c>
    </row>
    <row r="70" customFormat="false" ht="15" hidden="false" customHeight="false" outlineLevel="0" collapsed="false">
      <c r="A70" s="36" t="s">
        <v>2196</v>
      </c>
    </row>
    <row r="71" customFormat="false" ht="15" hidden="false" customHeight="false" outlineLevel="0" collapsed="false">
      <c r="A71" s="36"/>
    </row>
    <row r="72" customFormat="false" ht="15" hidden="false" customHeight="false" outlineLevel="0" collapsed="false">
      <c r="A72" s="36" t="s">
        <v>2197</v>
      </c>
    </row>
    <row r="73" customFormat="false" ht="15" hidden="false" customHeight="false" outlineLevel="0" collapsed="false">
      <c r="A73" s="36" t="s">
        <v>2198</v>
      </c>
    </row>
    <row r="74" customFormat="false" ht="15" hidden="false" customHeight="false" outlineLevel="0" collapsed="false">
      <c r="A74" s="36" t="s">
        <v>2143</v>
      </c>
    </row>
    <row r="75" customFormat="false" ht="15" hidden="false" customHeight="false" outlineLevel="0" collapsed="false">
      <c r="A75" s="36" t="s">
        <v>2199</v>
      </c>
    </row>
    <row r="76" customFormat="false" ht="15" hidden="false" customHeight="false" outlineLevel="0" collapsed="false">
      <c r="A76" s="36" t="s">
        <v>2174</v>
      </c>
    </row>
    <row r="77" customFormat="false" ht="15" hidden="false" customHeight="false" outlineLevel="0" collapsed="false">
      <c r="A77" s="36" t="s">
        <v>2200</v>
      </c>
    </row>
    <row r="78" customFormat="false" ht="15" hidden="false" customHeight="false" outlineLevel="0" collapsed="false">
      <c r="A78" s="36" t="s">
        <v>2201</v>
      </c>
    </row>
    <row r="79" customFormat="false" ht="15" hidden="false" customHeight="false" outlineLevel="0" collapsed="false">
      <c r="A79" s="36" t="s">
        <v>2202</v>
      </c>
    </row>
    <row r="80" customFormat="false" ht="15" hidden="false" customHeight="false" outlineLevel="0" collapsed="false">
      <c r="A80" s="36" t="s">
        <v>2177</v>
      </c>
    </row>
    <row r="81" customFormat="false" ht="15" hidden="false" customHeight="false" outlineLevel="0" collapsed="false">
      <c r="A81" s="36" t="s">
        <v>2203</v>
      </c>
    </row>
    <row r="82" customFormat="false" ht="15" hidden="false" customHeight="false" outlineLevel="0" collapsed="false">
      <c r="A82" s="36" t="s">
        <v>2204</v>
      </c>
    </row>
    <row r="83" customFormat="false" ht="15" hidden="false" customHeight="false" outlineLevel="0" collapsed="false">
      <c r="A83" s="36" t="s">
        <v>2178</v>
      </c>
    </row>
    <row r="84" customFormat="false" ht="15" hidden="false" customHeight="false" outlineLevel="0" collapsed="false">
      <c r="A84" s="36" t="s">
        <v>2179</v>
      </c>
    </row>
    <row r="85" customFormat="false" ht="15" hidden="false" customHeight="false" outlineLevel="0" collapsed="false">
      <c r="A85" s="36" t="s">
        <v>2205</v>
      </c>
    </row>
    <row r="86" customFormat="false" ht="15" hidden="false" customHeight="false" outlineLevel="0" collapsed="false">
      <c r="A86" s="36" t="s">
        <v>2150</v>
      </c>
    </row>
    <row r="87" customFormat="false" ht="15" hidden="false" customHeight="false" outlineLevel="0" collapsed="false">
      <c r="A87" s="36" t="s">
        <v>2151</v>
      </c>
    </row>
    <row r="88" customFormat="false" ht="15" hidden="false" customHeight="false" outlineLevel="0" collapsed="false">
      <c r="A88" s="36" t="s">
        <v>2152</v>
      </c>
    </row>
    <row r="89" customFormat="false" ht="15" hidden="false" customHeight="false" outlineLevel="0" collapsed="false">
      <c r="A89" s="36" t="s">
        <v>2153</v>
      </c>
    </row>
    <row r="90" customFormat="false" ht="15" hidden="false" customHeight="false" outlineLevel="0" collapsed="false">
      <c r="A90" s="36" t="s">
        <v>2154</v>
      </c>
    </row>
    <row r="91" customFormat="false" ht="15" hidden="false" customHeight="false" outlineLevel="0" collapsed="false">
      <c r="A91" s="36" t="s">
        <v>2155</v>
      </c>
    </row>
    <row r="92" customFormat="false" ht="15" hidden="false" customHeight="false" outlineLevel="0" collapsed="false">
      <c r="A92" s="36" t="s">
        <v>2156</v>
      </c>
    </row>
    <row r="93" customFormat="false" ht="15" hidden="false" customHeight="false" outlineLevel="0" collapsed="false">
      <c r="A93" s="36" t="s">
        <v>2206</v>
      </c>
    </row>
    <row r="94" customFormat="false" ht="15" hidden="false" customHeight="false" outlineLevel="0" collapsed="false">
      <c r="A94" s="36" t="s">
        <v>2207</v>
      </c>
    </row>
    <row r="95" customFormat="false" ht="15" hidden="false" customHeight="false" outlineLevel="0" collapsed="false">
      <c r="A95" s="36" t="s">
        <v>2208</v>
      </c>
    </row>
    <row r="96" customFormat="false" ht="15" hidden="false" customHeight="false" outlineLevel="0" collapsed="false">
      <c r="A96" s="36" t="s">
        <v>2209</v>
      </c>
    </row>
    <row r="97" customFormat="false" ht="15" hidden="false" customHeight="false" outlineLevel="0" collapsed="false">
      <c r="A97" s="36" t="s">
        <v>2210</v>
      </c>
    </row>
    <row r="98" customFormat="false" ht="15" hidden="false" customHeight="false" outlineLevel="0" collapsed="false">
      <c r="A98" s="36" t="s">
        <v>2211</v>
      </c>
    </row>
    <row r="99" customFormat="false" ht="15" hidden="false" customHeight="false" outlineLevel="0" collapsed="false">
      <c r="A99" s="36" t="s">
        <v>2212</v>
      </c>
    </row>
    <row r="100" customFormat="false" ht="15" hidden="false" customHeight="false" outlineLevel="0" collapsed="false">
      <c r="A100" s="36" t="s">
        <v>2213</v>
      </c>
    </row>
    <row r="101" customFormat="false" ht="15" hidden="false" customHeight="false" outlineLevel="0" collapsed="false">
      <c r="A101" s="36" t="s">
        <v>2214</v>
      </c>
    </row>
    <row r="102" customFormat="false" ht="15" hidden="false" customHeight="false" outlineLevel="0" collapsed="false">
      <c r="A102" s="36" t="s">
        <v>2215</v>
      </c>
    </row>
    <row r="103" customFormat="false" ht="15" hidden="false" customHeight="false" outlineLevel="0" collapsed="false">
      <c r="A103" s="36" t="s">
        <v>2216</v>
      </c>
    </row>
    <row r="104" customFormat="false" ht="15" hidden="false" customHeight="false" outlineLevel="0" collapsed="false">
      <c r="A104" s="36" t="s">
        <v>2217</v>
      </c>
    </row>
    <row r="105" customFormat="false" ht="15" hidden="false" customHeight="false" outlineLevel="0" collapsed="false">
      <c r="A105" s="36" t="s">
        <v>2218</v>
      </c>
    </row>
    <row r="106" customFormat="false" ht="15" hidden="false" customHeight="false" outlineLevel="0" collapsed="false">
      <c r="A106" s="36" t="s">
        <v>2219</v>
      </c>
    </row>
    <row r="107" customFormat="false" ht="15" hidden="false" customHeight="false" outlineLevel="0" collapsed="false">
      <c r="A107" s="36" t="s">
        <v>2220</v>
      </c>
    </row>
    <row r="108" customFormat="false" ht="15" hidden="false" customHeight="false" outlineLevel="0" collapsed="false">
      <c r="A108" s="36" t="s">
        <v>2221</v>
      </c>
    </row>
    <row r="109" customFormat="false" ht="15" hidden="false" customHeight="false" outlineLevel="0" collapsed="false">
      <c r="A109" s="36" t="s">
        <v>2222</v>
      </c>
    </row>
    <row r="110" customFormat="false" ht="15" hidden="false" customHeight="false" outlineLevel="0" collapsed="false">
      <c r="A110" s="36" t="s">
        <v>2223</v>
      </c>
    </row>
    <row r="111" customFormat="false" ht="15" hidden="false" customHeight="false" outlineLevel="0" collapsed="false">
      <c r="A111" s="36" t="s">
        <v>2224</v>
      </c>
    </row>
    <row r="112" customFormat="false" ht="15" hidden="false" customHeight="false" outlineLevel="0" collapsed="false">
      <c r="A112" s="36"/>
    </row>
    <row r="113" customFormat="false" ht="15" hidden="false" customHeight="false" outlineLevel="0" collapsed="false">
      <c r="A113" s="36" t="s">
        <v>2225</v>
      </c>
    </row>
    <row r="114" customFormat="false" ht="15" hidden="false" customHeight="false" outlineLevel="0" collapsed="false">
      <c r="A114" s="36" t="s">
        <v>2226</v>
      </c>
    </row>
    <row r="115" customFormat="false" ht="15" hidden="false" customHeight="false" outlineLevel="0" collapsed="false">
      <c r="A115" s="36" t="s">
        <v>2143</v>
      </c>
    </row>
    <row r="116" customFormat="false" ht="15" hidden="false" customHeight="false" outlineLevel="0" collapsed="false">
      <c r="A116" s="36" t="s">
        <v>2227</v>
      </c>
    </row>
    <row r="117" customFormat="false" ht="15" hidden="false" customHeight="false" outlineLevel="0" collapsed="false">
      <c r="A117" s="36" t="s">
        <v>2145</v>
      </c>
    </row>
    <row r="118" customFormat="false" ht="15" hidden="false" customHeight="false" outlineLevel="0" collapsed="false">
      <c r="A118" s="36" t="s">
        <v>2228</v>
      </c>
    </row>
    <row r="119" customFormat="false" ht="15" hidden="false" customHeight="false" outlineLevel="0" collapsed="false">
      <c r="A119" s="36" t="s">
        <v>2229</v>
      </c>
    </row>
    <row r="120" customFormat="false" ht="15" hidden="false" customHeight="false" outlineLevel="0" collapsed="false">
      <c r="A120" s="36" t="s">
        <v>2230</v>
      </c>
    </row>
    <row r="121" customFormat="false" ht="15" hidden="false" customHeight="false" outlineLevel="0" collapsed="false">
      <c r="A121" s="36" t="s">
        <v>2231</v>
      </c>
    </row>
    <row r="122" customFormat="false" ht="15" hidden="false" customHeight="false" outlineLevel="0" collapsed="false">
      <c r="A122" s="36" t="s">
        <v>2150</v>
      </c>
    </row>
    <row r="123" customFormat="false" ht="15" hidden="false" customHeight="false" outlineLevel="0" collapsed="false">
      <c r="A123" s="36" t="s">
        <v>2151</v>
      </c>
    </row>
    <row r="124" customFormat="false" ht="15" hidden="false" customHeight="false" outlineLevel="0" collapsed="false">
      <c r="A124" s="36" t="s">
        <v>2152</v>
      </c>
    </row>
    <row r="125" customFormat="false" ht="15" hidden="false" customHeight="false" outlineLevel="0" collapsed="false">
      <c r="A125" s="36" t="s">
        <v>2153</v>
      </c>
    </row>
    <row r="126" customFormat="false" ht="15" hidden="false" customHeight="false" outlineLevel="0" collapsed="false">
      <c r="A126" s="36" t="s">
        <v>2154</v>
      </c>
    </row>
    <row r="127" customFormat="false" ht="15" hidden="false" customHeight="false" outlineLevel="0" collapsed="false">
      <c r="A127" s="36" t="s">
        <v>2155</v>
      </c>
    </row>
    <row r="128" customFormat="false" ht="15" hidden="false" customHeight="false" outlineLevel="0" collapsed="false">
      <c r="A128" s="36" t="s">
        <v>2156</v>
      </c>
    </row>
    <row r="129" customFormat="false" ht="15" hidden="false" customHeight="false" outlineLevel="0" collapsed="false">
      <c r="A129" s="36" t="s">
        <v>2232</v>
      </c>
    </row>
    <row r="130" customFormat="false" ht="15" hidden="false" customHeight="false" outlineLevel="0" collapsed="false">
      <c r="A130" s="36" t="s">
        <v>2233</v>
      </c>
    </row>
    <row r="131" customFormat="false" ht="15" hidden="false" customHeight="false" outlineLevel="0" collapsed="false">
      <c r="A131" s="36" t="s">
        <v>2234</v>
      </c>
    </row>
    <row r="132" customFormat="false" ht="15" hidden="false" customHeight="false" outlineLevel="0" collapsed="false">
      <c r="A132" s="36" t="s">
        <v>2235</v>
      </c>
    </row>
    <row r="133" customFormat="false" ht="15" hidden="false" customHeight="false" outlineLevel="0" collapsed="false">
      <c r="A133" s="36" t="s">
        <v>2236</v>
      </c>
    </row>
    <row r="134" customFormat="false" ht="15" hidden="false" customHeight="false" outlineLevel="0" collapsed="false">
      <c r="A134" s="36" t="s">
        <v>2237</v>
      </c>
    </row>
    <row r="135" customFormat="false" ht="15" hidden="false" customHeight="false" outlineLevel="0" collapsed="false">
      <c r="A135" s="36" t="s">
        <v>2238</v>
      </c>
    </row>
    <row r="136" customFormat="false" ht="15" hidden="false" customHeight="false" outlineLevel="0" collapsed="false">
      <c r="A136" s="36" t="s">
        <v>2239</v>
      </c>
    </row>
    <row r="137" customFormat="false" ht="15" hidden="false" customHeight="false" outlineLevel="0" collapsed="false">
      <c r="A137" s="36" t="s">
        <v>2240</v>
      </c>
    </row>
    <row r="138" customFormat="false" ht="15" hidden="false" customHeight="false" outlineLevel="0" collapsed="false">
      <c r="A138" s="36" t="s">
        <v>2241</v>
      </c>
    </row>
    <row r="139" customFormat="false" ht="15" hidden="false" customHeight="false" outlineLevel="0" collapsed="false">
      <c r="A139" s="36" t="s">
        <v>2242</v>
      </c>
    </row>
    <row r="140" customFormat="false" ht="15" hidden="false" customHeight="false" outlineLevel="0" collapsed="false">
      <c r="A140" s="36" t="s">
        <v>2243</v>
      </c>
    </row>
    <row r="141" customFormat="false" ht="15" hidden="false" customHeight="false" outlineLevel="0" collapsed="false">
      <c r="A141" s="36" t="s">
        <v>2244</v>
      </c>
    </row>
    <row r="142" customFormat="false" ht="15" hidden="false" customHeight="false" outlineLevel="0" collapsed="false">
      <c r="A142" s="36" t="s">
        <v>2245</v>
      </c>
    </row>
    <row r="143" customFormat="false" ht="15" hidden="false" customHeight="false" outlineLevel="0" collapsed="false">
      <c r="A143" s="36"/>
    </row>
    <row r="144" customFormat="false" ht="15" hidden="false" customHeight="false" outlineLevel="0" collapsed="false">
      <c r="A144" s="36" t="s">
        <v>2246</v>
      </c>
    </row>
    <row r="145" customFormat="false" ht="15" hidden="false" customHeight="false" outlineLevel="0" collapsed="false">
      <c r="A145" s="36" t="s">
        <v>2247</v>
      </c>
    </row>
    <row r="146" customFormat="false" ht="15" hidden="false" customHeight="false" outlineLevel="0" collapsed="false">
      <c r="A146" s="36" t="s">
        <v>2143</v>
      </c>
    </row>
    <row r="147" customFormat="false" ht="15" hidden="false" customHeight="false" outlineLevel="0" collapsed="false">
      <c r="A147" s="36" t="s">
        <v>2248</v>
      </c>
    </row>
    <row r="148" customFormat="false" ht="15" hidden="false" customHeight="false" outlineLevel="0" collapsed="false">
      <c r="A148" s="36" t="s">
        <v>2200</v>
      </c>
    </row>
    <row r="149" customFormat="false" ht="15" hidden="false" customHeight="false" outlineLevel="0" collapsed="false">
      <c r="A149" s="36" t="s">
        <v>2249</v>
      </c>
    </row>
    <row r="150" customFormat="false" ht="15" hidden="false" customHeight="false" outlineLevel="0" collapsed="false">
      <c r="A150" s="36" t="s">
        <v>2151</v>
      </c>
    </row>
    <row r="151" customFormat="false" ht="15" hidden="false" customHeight="false" outlineLevel="0" collapsed="false">
      <c r="A151" s="36" t="s">
        <v>2152</v>
      </c>
    </row>
    <row r="152" customFormat="false" ht="15" hidden="false" customHeight="false" outlineLevel="0" collapsed="false">
      <c r="A152" s="36" t="s">
        <v>2153</v>
      </c>
    </row>
    <row r="153" customFormat="false" ht="15" hidden="false" customHeight="false" outlineLevel="0" collapsed="false">
      <c r="A153" s="36" t="s">
        <v>2154</v>
      </c>
    </row>
    <row r="154" customFormat="false" ht="15" hidden="false" customHeight="false" outlineLevel="0" collapsed="false">
      <c r="A154" s="36" t="s">
        <v>2155</v>
      </c>
    </row>
    <row r="155" customFormat="false" ht="15" hidden="false" customHeight="false" outlineLevel="0" collapsed="false">
      <c r="A155" s="36" t="s">
        <v>2156</v>
      </c>
    </row>
    <row r="156" customFormat="false" ht="15" hidden="false" customHeight="false" outlineLevel="0" collapsed="false">
      <c r="A156" s="36" t="s">
        <v>2250</v>
      </c>
    </row>
    <row r="157" customFormat="false" ht="15" hidden="false" customHeight="false" outlineLevel="0" collapsed="false">
      <c r="A157" s="36" t="s">
        <v>2251</v>
      </c>
    </row>
    <row r="158" customFormat="false" ht="15" hidden="false" customHeight="false" outlineLevel="0" collapsed="false">
      <c r="A158" s="36" t="s">
        <v>2252</v>
      </c>
    </row>
    <row r="159" customFormat="false" ht="15" hidden="false" customHeight="false" outlineLevel="0" collapsed="false">
      <c r="A159" s="36" t="s">
        <v>2253</v>
      </c>
    </row>
    <row r="160" customFormat="false" ht="15" hidden="false" customHeight="false" outlineLevel="0" collapsed="false">
      <c r="A160" s="36" t="s">
        <v>2254</v>
      </c>
    </row>
    <row r="161" customFormat="false" ht="15" hidden="false" customHeight="false" outlineLevel="0" collapsed="false">
      <c r="A161" s="36" t="s">
        <v>2255</v>
      </c>
    </row>
    <row r="162" customFormat="false" ht="15" hidden="false" customHeight="false" outlineLevel="0" collapsed="false">
      <c r="A162" s="36" t="s">
        <v>2256</v>
      </c>
    </row>
    <row r="163" customFormat="false" ht="15" hidden="false" customHeight="false" outlineLevel="0" collapsed="false">
      <c r="A163" s="36" t="s">
        <v>2257</v>
      </c>
    </row>
    <row r="164" customFormat="false" ht="15" hidden="false" customHeight="false" outlineLevel="0" collapsed="false">
      <c r="A164" s="36" t="s">
        <v>2258</v>
      </c>
    </row>
    <row r="165" customFormat="false" ht="15" hidden="false" customHeight="false" outlineLevel="0" collapsed="false">
      <c r="A165" s="36" t="s">
        <v>2259</v>
      </c>
    </row>
    <row r="166" customFormat="false" ht="15" hidden="false" customHeight="false" outlineLevel="0" collapsed="false">
      <c r="A166" s="36"/>
    </row>
    <row r="167" customFormat="false" ht="15" hidden="false" customHeight="false" outlineLevel="0" collapsed="false">
      <c r="A167" s="36" t="s">
        <v>2260</v>
      </c>
    </row>
    <row r="168" customFormat="false" ht="15" hidden="false" customHeight="false" outlineLevel="0" collapsed="false">
      <c r="A168" s="36" t="s">
        <v>2261</v>
      </c>
    </row>
    <row r="169" customFormat="false" ht="15" hidden="false" customHeight="false" outlineLevel="0" collapsed="false">
      <c r="A169" s="36" t="s">
        <v>2143</v>
      </c>
    </row>
    <row r="170" customFormat="false" ht="15" hidden="false" customHeight="false" outlineLevel="0" collapsed="false">
      <c r="A170" s="36" t="s">
        <v>2262</v>
      </c>
    </row>
    <row r="171" customFormat="false" ht="15" hidden="false" customHeight="false" outlineLevel="0" collapsed="false">
      <c r="A171" s="36" t="s">
        <v>2263</v>
      </c>
    </row>
    <row r="172" customFormat="false" ht="15" hidden="false" customHeight="false" outlineLevel="0" collapsed="false">
      <c r="A172" s="36" t="s">
        <v>2264</v>
      </c>
    </row>
    <row r="173" customFormat="false" ht="15" hidden="false" customHeight="false" outlineLevel="0" collapsed="false">
      <c r="A173" s="36" t="s">
        <v>2265</v>
      </c>
    </row>
    <row r="174" customFormat="false" ht="15" hidden="false" customHeight="false" outlineLevel="0" collapsed="false">
      <c r="A174" s="36" t="s">
        <v>2266</v>
      </c>
    </row>
    <row r="175" customFormat="false" ht="15" hidden="false" customHeight="false" outlineLevel="0" collapsed="false">
      <c r="A175" s="36" t="s">
        <v>2267</v>
      </c>
    </row>
    <row r="176" customFormat="false" ht="15" hidden="false" customHeight="false" outlineLevel="0" collapsed="false">
      <c r="A176" s="36" t="s">
        <v>2268</v>
      </c>
    </row>
    <row r="177" customFormat="false" ht="15" hidden="false" customHeight="false" outlineLevel="0" collapsed="false">
      <c r="A177" s="36" t="s">
        <v>2151</v>
      </c>
    </row>
    <row r="178" customFormat="false" ht="15" hidden="false" customHeight="false" outlineLevel="0" collapsed="false">
      <c r="A178" s="36" t="s">
        <v>2152</v>
      </c>
    </row>
    <row r="179" customFormat="false" ht="15" hidden="false" customHeight="false" outlineLevel="0" collapsed="false">
      <c r="A179" s="36" t="s">
        <v>2153</v>
      </c>
    </row>
    <row r="180" customFormat="false" ht="15" hidden="false" customHeight="false" outlineLevel="0" collapsed="false">
      <c r="A180" s="36" t="s">
        <v>2154</v>
      </c>
    </row>
    <row r="181" customFormat="false" ht="15" hidden="false" customHeight="false" outlineLevel="0" collapsed="false">
      <c r="A181" s="36" t="s">
        <v>2155</v>
      </c>
    </row>
    <row r="182" customFormat="false" ht="15" hidden="false" customHeight="false" outlineLevel="0" collapsed="false">
      <c r="A182" s="36" t="s">
        <v>2156</v>
      </c>
    </row>
    <row r="183" customFormat="false" ht="15" hidden="false" customHeight="false" outlineLevel="0" collapsed="false">
      <c r="A183" s="36" t="s">
        <v>2269</v>
      </c>
    </row>
    <row r="184" customFormat="false" ht="15" hidden="false" customHeight="false" outlineLevel="0" collapsed="false">
      <c r="A184" s="36" t="s">
        <v>2270</v>
      </c>
    </row>
    <row r="185" customFormat="false" ht="15" hidden="false" customHeight="false" outlineLevel="0" collapsed="false">
      <c r="A185" s="36" t="s">
        <v>2271</v>
      </c>
    </row>
    <row r="186" customFormat="false" ht="15" hidden="false" customHeight="false" outlineLevel="0" collapsed="false">
      <c r="A186" s="36" t="s">
        <v>2272</v>
      </c>
    </row>
    <row r="187" customFormat="false" ht="15" hidden="false" customHeight="false" outlineLevel="0" collapsed="false">
      <c r="A187" s="36" t="s">
        <v>2273</v>
      </c>
    </row>
    <row r="188" customFormat="false" ht="15" hidden="false" customHeight="false" outlineLevel="0" collapsed="false">
      <c r="A188" s="36" t="s">
        <v>2274</v>
      </c>
    </row>
    <row r="189" customFormat="false" ht="15" hidden="false" customHeight="false" outlineLevel="0" collapsed="false">
      <c r="A189" s="36" t="s">
        <v>2275</v>
      </c>
    </row>
    <row r="190" customFormat="false" ht="15" hidden="false" customHeight="false" outlineLevel="0" collapsed="false">
      <c r="A190" s="36" t="s">
        <v>2276</v>
      </c>
    </row>
    <row r="191" customFormat="false" ht="15" hidden="false" customHeight="false" outlineLevel="0" collapsed="false">
      <c r="A191" s="36" t="s">
        <v>2277</v>
      </c>
    </row>
    <row r="192" customFormat="false" ht="15" hidden="false" customHeight="false" outlineLevel="0" collapsed="false">
      <c r="A192" s="36" t="s">
        <v>2278</v>
      </c>
    </row>
    <row r="193" customFormat="false" ht="15" hidden="false" customHeight="false" outlineLevel="0" collapsed="false">
      <c r="A193" s="36" t="s">
        <v>2279</v>
      </c>
    </row>
    <row r="194" customFormat="false" ht="15" hidden="false" customHeight="false" outlineLevel="0" collapsed="false">
      <c r="A194" s="36" t="s">
        <v>2280</v>
      </c>
    </row>
    <row r="195" customFormat="false" ht="15" hidden="false" customHeight="false" outlineLevel="0" collapsed="false">
      <c r="A195" s="36" t="s">
        <v>2281</v>
      </c>
    </row>
    <row r="196" customFormat="false" ht="15" hidden="false" customHeight="false" outlineLevel="0" collapsed="false">
      <c r="A196" s="36" t="s">
        <v>2282</v>
      </c>
    </row>
    <row r="197" customFormat="false" ht="15" hidden="false" customHeight="false" outlineLevel="0" collapsed="false">
      <c r="A197" s="36"/>
    </row>
    <row r="198" customFormat="false" ht="15" hidden="false" customHeight="false" outlineLevel="0" collapsed="false">
      <c r="A198" s="36" t="s">
        <v>2283</v>
      </c>
    </row>
    <row r="199" customFormat="false" ht="15" hidden="false" customHeight="false" outlineLevel="0" collapsed="false">
      <c r="A199" s="36" t="s">
        <v>2284</v>
      </c>
    </row>
    <row r="200" customFormat="false" ht="15" hidden="false" customHeight="false" outlineLevel="0" collapsed="false">
      <c r="A200" s="36" t="s">
        <v>2143</v>
      </c>
    </row>
    <row r="201" customFormat="false" ht="15" hidden="false" customHeight="false" outlineLevel="0" collapsed="false">
      <c r="A201" s="36" t="s">
        <v>2285</v>
      </c>
    </row>
    <row r="202" customFormat="false" ht="15" hidden="false" customHeight="false" outlineLevel="0" collapsed="false">
      <c r="A202" s="36" t="s">
        <v>2286</v>
      </c>
    </row>
    <row r="203" customFormat="false" ht="15" hidden="false" customHeight="false" outlineLevel="0" collapsed="false">
      <c r="A203" s="36" t="s">
        <v>2287</v>
      </c>
    </row>
    <row r="204" customFormat="false" ht="15" hidden="false" customHeight="false" outlineLevel="0" collapsed="false">
      <c r="A204" s="36" t="s">
        <v>2288</v>
      </c>
    </row>
    <row r="205" customFormat="false" ht="15" hidden="false" customHeight="false" outlineLevel="0" collapsed="false">
      <c r="A205" s="36" t="s">
        <v>2289</v>
      </c>
    </row>
    <row r="206" customFormat="false" ht="15" hidden="false" customHeight="false" outlineLevel="0" collapsed="false">
      <c r="A206" s="36" t="s">
        <v>2290</v>
      </c>
    </row>
    <row r="207" customFormat="false" ht="15" hidden="false" customHeight="false" outlineLevel="0" collapsed="false">
      <c r="A207" s="36" t="s">
        <v>2151</v>
      </c>
    </row>
    <row r="208" customFormat="false" ht="15" hidden="false" customHeight="false" outlineLevel="0" collapsed="false">
      <c r="A208" s="36" t="s">
        <v>2152</v>
      </c>
    </row>
    <row r="209" customFormat="false" ht="15" hidden="false" customHeight="false" outlineLevel="0" collapsed="false">
      <c r="A209" s="36" t="s">
        <v>2153</v>
      </c>
    </row>
    <row r="210" customFormat="false" ht="15" hidden="false" customHeight="false" outlineLevel="0" collapsed="false">
      <c r="A210" s="36" t="s">
        <v>2154</v>
      </c>
    </row>
    <row r="211" customFormat="false" ht="15" hidden="false" customHeight="false" outlineLevel="0" collapsed="false">
      <c r="A211" s="36" t="s">
        <v>2155</v>
      </c>
    </row>
    <row r="212" customFormat="false" ht="15" hidden="false" customHeight="false" outlineLevel="0" collapsed="false">
      <c r="A212" s="36" t="s">
        <v>2156</v>
      </c>
    </row>
    <row r="213" customFormat="false" ht="15" hidden="false" customHeight="false" outlineLevel="0" collapsed="false">
      <c r="A213" s="36" t="s">
        <v>2291</v>
      </c>
    </row>
    <row r="214" customFormat="false" ht="15" hidden="false" customHeight="false" outlineLevel="0" collapsed="false">
      <c r="A214" s="36" t="s">
        <v>2292</v>
      </c>
    </row>
    <row r="215" customFormat="false" ht="15" hidden="false" customHeight="false" outlineLevel="0" collapsed="false">
      <c r="A215" s="36" t="s">
        <v>2293</v>
      </c>
    </row>
    <row r="216" customFormat="false" ht="15" hidden="false" customHeight="false" outlineLevel="0" collapsed="false">
      <c r="A216" s="36" t="s">
        <v>2294</v>
      </c>
    </row>
    <row r="217" customFormat="false" ht="15" hidden="false" customHeight="false" outlineLevel="0" collapsed="false">
      <c r="A217" s="36" t="s">
        <v>2295</v>
      </c>
    </row>
    <row r="218" customFormat="false" ht="15" hidden="false" customHeight="false" outlineLevel="0" collapsed="false">
      <c r="A218" s="36" t="s">
        <v>2296</v>
      </c>
    </row>
    <row r="219" customFormat="false" ht="15" hidden="false" customHeight="false" outlineLevel="0" collapsed="false">
      <c r="A219" s="36" t="s">
        <v>2297</v>
      </c>
    </row>
    <row r="220" customFormat="false" ht="15" hidden="false" customHeight="false" outlineLevel="0" collapsed="false">
      <c r="A220" s="36" t="s">
        <v>2298</v>
      </c>
    </row>
    <row r="221" customFormat="false" ht="15" hidden="false" customHeight="false" outlineLevel="0" collapsed="false">
      <c r="A221" s="36" t="s">
        <v>2299</v>
      </c>
    </row>
    <row r="222" customFormat="false" ht="15" hidden="false" customHeight="false" outlineLevel="0" collapsed="false">
      <c r="A222" s="36" t="s">
        <v>2300</v>
      </c>
    </row>
    <row r="223" customFormat="false" ht="15" hidden="false" customHeight="false" outlineLevel="0" collapsed="false">
      <c r="A223" s="36" t="s">
        <v>2301</v>
      </c>
    </row>
    <row r="224" customFormat="false" ht="15" hidden="false" customHeight="false" outlineLevel="0" collapsed="false">
      <c r="A224" s="36" t="s">
        <v>2302</v>
      </c>
    </row>
    <row r="225" customFormat="false" ht="15" hidden="false" customHeight="false" outlineLevel="0" collapsed="false">
      <c r="A225" s="36" t="s">
        <v>2303</v>
      </c>
    </row>
    <row r="226" customFormat="false" ht="15" hidden="false" customHeight="false" outlineLevel="0" collapsed="false">
      <c r="A226" s="36"/>
    </row>
    <row r="227" customFormat="false" ht="15" hidden="false" customHeight="false" outlineLevel="0" collapsed="false">
      <c r="A227" s="36" t="s">
        <v>2304</v>
      </c>
    </row>
    <row r="228" customFormat="false" ht="15" hidden="false" customHeight="false" outlineLevel="0" collapsed="false">
      <c r="A228" s="36" t="s">
        <v>2305</v>
      </c>
    </row>
    <row r="229" customFormat="false" ht="15" hidden="false" customHeight="false" outlineLevel="0" collapsed="false">
      <c r="A229" s="36" t="s">
        <v>2143</v>
      </c>
    </row>
    <row r="230" customFormat="false" ht="15" hidden="false" customHeight="false" outlineLevel="0" collapsed="false">
      <c r="A230" s="36" t="s">
        <v>2306</v>
      </c>
    </row>
    <row r="231" customFormat="false" ht="15" hidden="false" customHeight="false" outlineLevel="0" collapsed="false">
      <c r="A231" s="36" t="s">
        <v>2307</v>
      </c>
    </row>
    <row r="232" customFormat="false" ht="15" hidden="false" customHeight="false" outlineLevel="0" collapsed="false">
      <c r="A232" s="36" t="s">
        <v>2308</v>
      </c>
    </row>
    <row r="233" customFormat="false" ht="15" hidden="false" customHeight="false" outlineLevel="0" collapsed="false">
      <c r="A233" s="36" t="s">
        <v>2309</v>
      </c>
    </row>
    <row r="234" customFormat="false" ht="15" hidden="false" customHeight="false" outlineLevel="0" collapsed="false">
      <c r="A234" s="36" t="s">
        <v>2310</v>
      </c>
    </row>
    <row r="235" customFormat="false" ht="15" hidden="false" customHeight="false" outlineLevel="0" collapsed="false">
      <c r="A235" s="36" t="s">
        <v>2311</v>
      </c>
    </row>
    <row r="236" customFormat="false" ht="15" hidden="false" customHeight="false" outlineLevel="0" collapsed="false">
      <c r="A236" s="36" t="s">
        <v>2312</v>
      </c>
    </row>
    <row r="237" customFormat="false" ht="15" hidden="false" customHeight="false" outlineLevel="0" collapsed="false">
      <c r="A237" s="36" t="s">
        <v>2313</v>
      </c>
    </row>
    <row r="238" customFormat="false" ht="15" hidden="false" customHeight="false" outlineLevel="0" collapsed="false">
      <c r="A238" s="36" t="s">
        <v>2151</v>
      </c>
    </row>
    <row r="239" customFormat="false" ht="15" hidden="false" customHeight="false" outlineLevel="0" collapsed="false">
      <c r="A239" s="36" t="s">
        <v>2314</v>
      </c>
    </row>
    <row r="240" customFormat="false" ht="15" hidden="false" customHeight="false" outlineLevel="0" collapsed="false">
      <c r="A240" s="36" t="s">
        <v>2156</v>
      </c>
    </row>
    <row r="241" customFormat="false" ht="15" hidden="false" customHeight="false" outlineLevel="0" collapsed="false">
      <c r="A241" s="36" t="s">
        <v>2315</v>
      </c>
    </row>
    <row r="242" customFormat="false" ht="15" hidden="false" customHeight="false" outlineLevel="0" collapsed="false">
      <c r="A242" s="36" t="s">
        <v>2316</v>
      </c>
    </row>
    <row r="243" customFormat="false" ht="15" hidden="false" customHeight="false" outlineLevel="0" collapsed="false">
      <c r="A243" s="36" t="s">
        <v>2317</v>
      </c>
    </row>
    <row r="244" customFormat="false" ht="15" hidden="false" customHeight="false" outlineLevel="0" collapsed="false">
      <c r="A244" s="36" t="s">
        <v>2318</v>
      </c>
    </row>
    <row r="245" customFormat="false" ht="15" hidden="false" customHeight="false" outlineLevel="0" collapsed="false">
      <c r="A245" s="36" t="s">
        <v>2319</v>
      </c>
    </row>
    <row r="246" customFormat="false" ht="15" hidden="false" customHeight="false" outlineLevel="0" collapsed="false">
      <c r="A246" s="36" t="s">
        <v>2320</v>
      </c>
    </row>
    <row r="247" customFormat="false" ht="15" hidden="false" customHeight="false" outlineLevel="0" collapsed="false">
      <c r="A247" s="36" t="s">
        <v>2321</v>
      </c>
    </row>
    <row r="248" customFormat="false" ht="15" hidden="false" customHeight="false" outlineLevel="0" collapsed="false">
      <c r="A248" s="36" t="s">
        <v>2322</v>
      </c>
    </row>
    <row r="249" customFormat="false" ht="15" hidden="false" customHeight="false" outlineLevel="0" collapsed="false">
      <c r="A249" s="36" t="s">
        <v>2323</v>
      </c>
    </row>
    <row r="250" customFormat="false" ht="15" hidden="false" customHeight="false" outlineLevel="0" collapsed="false">
      <c r="A250" s="36" t="s">
        <v>2324</v>
      </c>
    </row>
    <row r="251" customFormat="false" ht="15" hidden="false" customHeight="false" outlineLevel="0" collapsed="false">
      <c r="A251" s="36" t="s">
        <v>2325</v>
      </c>
    </row>
    <row r="252" customFormat="false" ht="15" hidden="false" customHeight="false" outlineLevel="0" collapsed="false">
      <c r="A252" s="36" t="s">
        <v>2326</v>
      </c>
    </row>
    <row r="253" customFormat="false" ht="15" hidden="false" customHeight="false" outlineLevel="0" collapsed="false">
      <c r="A253" s="36"/>
    </row>
    <row r="254" customFormat="false" ht="15" hidden="false" customHeight="false" outlineLevel="0" collapsed="false">
      <c r="A254" s="36" t="s">
        <v>2327</v>
      </c>
    </row>
    <row r="255" customFormat="false" ht="15" hidden="false" customHeight="false" outlineLevel="0" collapsed="false">
      <c r="A255" s="36" t="s">
        <v>2328</v>
      </c>
    </row>
    <row r="256" customFormat="false" ht="15" hidden="false" customHeight="false" outlineLevel="0" collapsed="false">
      <c r="A256" s="36" t="s">
        <v>2143</v>
      </c>
    </row>
    <row r="257" customFormat="false" ht="15" hidden="false" customHeight="false" outlineLevel="0" collapsed="false">
      <c r="A257" s="36" t="s">
        <v>2329</v>
      </c>
    </row>
    <row r="258" customFormat="false" ht="15" hidden="false" customHeight="false" outlineLevel="0" collapsed="false">
      <c r="A258" s="36" t="s">
        <v>2174</v>
      </c>
    </row>
    <row r="259" customFormat="false" ht="15" hidden="false" customHeight="false" outlineLevel="0" collapsed="false">
      <c r="A259" s="36" t="s">
        <v>2330</v>
      </c>
    </row>
    <row r="260" customFormat="false" ht="15" hidden="false" customHeight="false" outlineLevel="0" collapsed="false">
      <c r="A260" s="36" t="s">
        <v>2331</v>
      </c>
    </row>
    <row r="261" customFormat="false" ht="15" hidden="false" customHeight="false" outlineLevel="0" collapsed="false">
      <c r="A261" s="36" t="s">
        <v>2332</v>
      </c>
    </row>
    <row r="262" customFormat="false" ht="15" hidden="false" customHeight="false" outlineLevel="0" collapsed="false">
      <c r="A262" s="36" t="s">
        <v>2333</v>
      </c>
    </row>
    <row r="263" customFormat="false" ht="15" hidden="false" customHeight="false" outlineLevel="0" collapsed="false">
      <c r="A263" s="36" t="s">
        <v>2334</v>
      </c>
    </row>
    <row r="264" customFormat="false" ht="15" hidden="false" customHeight="false" outlineLevel="0" collapsed="false">
      <c r="A264" s="36" t="s">
        <v>2335</v>
      </c>
    </row>
    <row r="265" customFormat="false" ht="15" hidden="false" customHeight="false" outlineLevel="0" collapsed="false">
      <c r="A265" s="36" t="s">
        <v>2228</v>
      </c>
    </row>
    <row r="266" customFormat="false" ht="15" hidden="false" customHeight="false" outlineLevel="0" collapsed="false">
      <c r="A266" s="36" t="s">
        <v>2336</v>
      </c>
    </row>
    <row r="267" customFormat="false" ht="15" hidden="false" customHeight="false" outlineLevel="0" collapsed="false">
      <c r="A267" s="36" t="s">
        <v>2337</v>
      </c>
    </row>
    <row r="268" customFormat="false" ht="15" hidden="false" customHeight="false" outlineLevel="0" collapsed="false">
      <c r="A268" s="36" t="s">
        <v>2248</v>
      </c>
    </row>
    <row r="269" customFormat="false" ht="15" hidden="false" customHeight="false" outlineLevel="0" collapsed="false">
      <c r="A269" s="36" t="s">
        <v>2338</v>
      </c>
    </row>
    <row r="270" customFormat="false" ht="15" hidden="false" customHeight="false" outlineLevel="0" collapsed="false">
      <c r="A270" s="36" t="s">
        <v>2339</v>
      </c>
    </row>
    <row r="271" customFormat="false" ht="15" hidden="false" customHeight="false" outlineLevel="0" collapsed="false">
      <c r="A271" s="36" t="s">
        <v>2340</v>
      </c>
    </row>
    <row r="272" customFormat="false" ht="15" hidden="false" customHeight="false" outlineLevel="0" collapsed="false">
      <c r="A272" s="36" t="s">
        <v>2150</v>
      </c>
    </row>
    <row r="273" customFormat="false" ht="15" hidden="false" customHeight="false" outlineLevel="0" collapsed="false">
      <c r="A273" s="36" t="s">
        <v>2151</v>
      </c>
    </row>
    <row r="274" customFormat="false" ht="15" hidden="false" customHeight="false" outlineLevel="0" collapsed="false">
      <c r="A274" s="36" t="s">
        <v>2152</v>
      </c>
    </row>
    <row r="275" customFormat="false" ht="15" hidden="false" customHeight="false" outlineLevel="0" collapsed="false">
      <c r="A275" s="36" t="s">
        <v>2153</v>
      </c>
    </row>
    <row r="276" customFormat="false" ht="15" hidden="false" customHeight="false" outlineLevel="0" collapsed="false">
      <c r="A276" s="36" t="s">
        <v>2154</v>
      </c>
    </row>
    <row r="277" customFormat="false" ht="15" hidden="false" customHeight="false" outlineLevel="0" collapsed="false">
      <c r="A277" s="36" t="s">
        <v>2155</v>
      </c>
    </row>
    <row r="278" customFormat="false" ht="15" hidden="false" customHeight="false" outlineLevel="0" collapsed="false">
      <c r="A278" s="36" t="s">
        <v>2156</v>
      </c>
    </row>
    <row r="279" customFormat="false" ht="15" hidden="false" customHeight="false" outlineLevel="0" collapsed="false">
      <c r="A279" s="36" t="s">
        <v>2341</v>
      </c>
    </row>
    <row r="280" customFormat="false" ht="15" hidden="false" customHeight="false" outlineLevel="0" collapsed="false">
      <c r="A280" s="36" t="s">
        <v>2342</v>
      </c>
    </row>
    <row r="281" customFormat="false" ht="15" hidden="false" customHeight="false" outlineLevel="0" collapsed="false">
      <c r="A281" s="36" t="s">
        <v>2343</v>
      </c>
    </row>
    <row r="282" customFormat="false" ht="15" hidden="false" customHeight="false" outlineLevel="0" collapsed="false">
      <c r="A282" s="36" t="s">
        <v>2344</v>
      </c>
    </row>
    <row r="283" customFormat="false" ht="15" hidden="false" customHeight="false" outlineLevel="0" collapsed="false">
      <c r="A283" s="36" t="s">
        <v>2345</v>
      </c>
    </row>
    <row r="284" customFormat="false" ht="15" hidden="false" customHeight="false" outlineLevel="0" collapsed="false">
      <c r="A284" s="36" t="s">
        <v>2346</v>
      </c>
    </row>
    <row r="285" customFormat="false" ht="15" hidden="false" customHeight="false" outlineLevel="0" collapsed="false">
      <c r="A285" s="36" t="s">
        <v>2347</v>
      </c>
    </row>
    <row r="286" customFormat="false" ht="15" hidden="false" customHeight="false" outlineLevel="0" collapsed="false">
      <c r="A286" s="36" t="s">
        <v>2348</v>
      </c>
    </row>
    <row r="287" customFormat="false" ht="15" hidden="false" customHeight="false" outlineLevel="0" collapsed="false">
      <c r="A287" s="36" t="s">
        <v>2349</v>
      </c>
    </row>
    <row r="288" customFormat="false" ht="15" hidden="false" customHeight="false" outlineLevel="0" collapsed="false">
      <c r="A288" s="36" t="s">
        <v>2350</v>
      </c>
    </row>
    <row r="289" customFormat="false" ht="15" hidden="false" customHeight="false" outlineLevel="0" collapsed="false">
      <c r="A289" s="36" t="s">
        <v>2351</v>
      </c>
    </row>
    <row r="290" customFormat="false" ht="15" hidden="false" customHeight="false" outlineLevel="0" collapsed="false">
      <c r="A290" s="36" t="s">
        <v>2352</v>
      </c>
    </row>
    <row r="291" customFormat="false" ht="15" hidden="false" customHeight="false" outlineLevel="0" collapsed="false">
      <c r="A291" s="36" t="s">
        <v>2353</v>
      </c>
    </row>
    <row r="292" customFormat="false" ht="15" hidden="false" customHeight="false" outlineLevel="0" collapsed="false">
      <c r="A292" s="36" t="s">
        <v>2354</v>
      </c>
    </row>
    <row r="293" customFormat="false" ht="15" hidden="false" customHeight="false" outlineLevel="0" collapsed="false">
      <c r="A293" s="36" t="s">
        <v>2355</v>
      </c>
    </row>
    <row r="294" customFormat="false" ht="15" hidden="false" customHeight="false" outlineLevel="0" collapsed="false">
      <c r="A294" s="36" t="s">
        <v>2356</v>
      </c>
    </row>
    <row r="295" customFormat="false" ht="15" hidden="false" customHeight="false" outlineLevel="0" collapsed="false">
      <c r="A295" s="36" t="s">
        <v>2357</v>
      </c>
    </row>
    <row r="296" customFormat="false" ht="15" hidden="false" customHeight="false" outlineLevel="0" collapsed="false">
      <c r="A296" s="36" t="s">
        <v>2358</v>
      </c>
    </row>
    <row r="297" customFormat="false" ht="15" hidden="false" customHeight="false" outlineLevel="0" collapsed="false">
      <c r="A297" s="36" t="s">
        <v>2359</v>
      </c>
    </row>
    <row r="298" customFormat="false" ht="15" hidden="false" customHeight="false" outlineLevel="0" collapsed="false">
      <c r="A298" s="36" t="s">
        <v>2360</v>
      </c>
    </row>
    <row r="299" customFormat="false" ht="15" hidden="false" customHeight="false" outlineLevel="0" collapsed="false">
      <c r="A299" s="36" t="s">
        <v>2361</v>
      </c>
    </row>
    <row r="300" customFormat="false" ht="15" hidden="false" customHeight="false" outlineLevel="0" collapsed="false">
      <c r="A300" s="36" t="s">
        <v>2362</v>
      </c>
    </row>
    <row r="301" customFormat="false" ht="15" hidden="false" customHeight="false" outlineLevel="0" collapsed="false">
      <c r="A301" s="36" t="s">
        <v>2363</v>
      </c>
    </row>
    <row r="302" customFormat="false" ht="15" hidden="false" customHeight="false" outlineLevel="0" collapsed="false">
      <c r="A302" s="36"/>
    </row>
    <row r="303" customFormat="false" ht="15" hidden="false" customHeight="false" outlineLevel="0" collapsed="false">
      <c r="A303" s="36" t="s">
        <v>2364</v>
      </c>
    </row>
    <row r="304" customFormat="false" ht="15" hidden="false" customHeight="false" outlineLevel="0" collapsed="false">
      <c r="A304" s="36" t="s">
        <v>2365</v>
      </c>
    </row>
    <row r="305" customFormat="false" ht="15" hidden="false" customHeight="false" outlineLevel="0" collapsed="false">
      <c r="A305" s="36" t="s">
        <v>2143</v>
      </c>
    </row>
    <row r="306" customFormat="false" ht="15" hidden="false" customHeight="false" outlineLevel="0" collapsed="false">
      <c r="A306" s="36" t="s">
        <v>2366</v>
      </c>
    </row>
    <row r="307" customFormat="false" ht="15" hidden="false" customHeight="false" outlineLevel="0" collapsed="false">
      <c r="A307" s="36" t="s">
        <v>2174</v>
      </c>
    </row>
    <row r="308" customFormat="false" ht="15" hidden="false" customHeight="false" outlineLevel="0" collapsed="false">
      <c r="A308" s="36" t="s">
        <v>2203</v>
      </c>
    </row>
    <row r="309" customFormat="false" ht="15" hidden="false" customHeight="false" outlineLevel="0" collapsed="false">
      <c r="A309" s="36" t="s">
        <v>2204</v>
      </c>
    </row>
    <row r="310" customFormat="false" ht="15" hidden="false" customHeight="false" outlineLevel="0" collapsed="false">
      <c r="A310" s="36" t="s">
        <v>2178</v>
      </c>
    </row>
    <row r="311" customFormat="false" ht="15" hidden="false" customHeight="false" outlineLevel="0" collapsed="false">
      <c r="A311" s="36" t="s">
        <v>2177</v>
      </c>
    </row>
    <row r="312" customFormat="false" ht="15" hidden="false" customHeight="false" outlineLevel="0" collapsed="false">
      <c r="A312" s="36" t="s">
        <v>2179</v>
      </c>
    </row>
    <row r="313" customFormat="false" ht="15" hidden="false" customHeight="false" outlineLevel="0" collapsed="false">
      <c r="A313" s="36" t="s">
        <v>2367</v>
      </c>
    </row>
    <row r="314" customFormat="false" ht="15" hidden="false" customHeight="false" outlineLevel="0" collapsed="false">
      <c r="A314" s="36" t="s">
        <v>2150</v>
      </c>
    </row>
    <row r="315" customFormat="false" ht="15" hidden="false" customHeight="false" outlineLevel="0" collapsed="false">
      <c r="A315" s="36" t="s">
        <v>2151</v>
      </c>
    </row>
    <row r="316" customFormat="false" ht="15" hidden="false" customHeight="false" outlineLevel="0" collapsed="false">
      <c r="A316" s="36" t="s">
        <v>2152</v>
      </c>
    </row>
    <row r="317" customFormat="false" ht="15" hidden="false" customHeight="false" outlineLevel="0" collapsed="false">
      <c r="A317" s="36" t="s">
        <v>2153</v>
      </c>
    </row>
    <row r="318" customFormat="false" ht="15" hidden="false" customHeight="false" outlineLevel="0" collapsed="false">
      <c r="A318" s="36" t="s">
        <v>2154</v>
      </c>
    </row>
    <row r="319" customFormat="false" ht="15" hidden="false" customHeight="false" outlineLevel="0" collapsed="false">
      <c r="A319" s="36" t="s">
        <v>2155</v>
      </c>
    </row>
    <row r="320" customFormat="false" ht="15" hidden="false" customHeight="false" outlineLevel="0" collapsed="false">
      <c r="A320" s="36" t="s">
        <v>2156</v>
      </c>
    </row>
    <row r="321" customFormat="false" ht="15" hidden="false" customHeight="false" outlineLevel="0" collapsed="false">
      <c r="A321" s="36" t="s">
        <v>2368</v>
      </c>
    </row>
    <row r="322" customFormat="false" ht="15" hidden="false" customHeight="false" outlineLevel="0" collapsed="false">
      <c r="A322" s="36" t="s">
        <v>2369</v>
      </c>
    </row>
    <row r="323" customFormat="false" ht="15" hidden="false" customHeight="false" outlineLevel="0" collapsed="false">
      <c r="A323" s="36" t="s">
        <v>2370</v>
      </c>
    </row>
    <row r="324" customFormat="false" ht="15" hidden="false" customHeight="false" outlineLevel="0" collapsed="false">
      <c r="A324" s="36" t="s">
        <v>2371</v>
      </c>
    </row>
    <row r="325" customFormat="false" ht="15" hidden="false" customHeight="false" outlineLevel="0" collapsed="false">
      <c r="A325" s="36" t="s">
        <v>2372</v>
      </c>
    </row>
    <row r="326" customFormat="false" ht="15" hidden="false" customHeight="false" outlineLevel="0" collapsed="false">
      <c r="A326" s="36" t="s">
        <v>2373</v>
      </c>
    </row>
    <row r="327" customFormat="false" ht="15" hidden="false" customHeight="false" outlineLevel="0" collapsed="false">
      <c r="A327" s="36" t="s">
        <v>2374</v>
      </c>
    </row>
    <row r="328" customFormat="false" ht="15" hidden="false" customHeight="false" outlineLevel="0" collapsed="false">
      <c r="A328" s="36" t="s">
        <v>2375</v>
      </c>
    </row>
    <row r="329" customFormat="false" ht="15" hidden="false" customHeight="false" outlineLevel="0" collapsed="false">
      <c r="A329" s="36" t="s">
        <v>2376</v>
      </c>
    </row>
    <row r="330" customFormat="false" ht="15" hidden="false" customHeight="false" outlineLevel="0" collapsed="false">
      <c r="A330" s="36" t="s">
        <v>2377</v>
      </c>
    </row>
    <row r="331" customFormat="false" ht="15" hidden="false" customHeight="false" outlineLevel="0" collapsed="false">
      <c r="A331" s="36" t="s">
        <v>2378</v>
      </c>
    </row>
    <row r="332" customFormat="false" ht="15" hidden="false" customHeight="false" outlineLevel="0" collapsed="false">
      <c r="A332" s="36" t="s">
        <v>2379</v>
      </c>
    </row>
    <row r="333" customFormat="false" ht="15" hidden="false" customHeight="false" outlineLevel="0" collapsed="false">
      <c r="A333" s="36" t="s">
        <v>2380</v>
      </c>
    </row>
    <row r="334" customFormat="false" ht="15" hidden="false" customHeight="false" outlineLevel="0" collapsed="false">
      <c r="A334" s="36" t="s">
        <v>2381</v>
      </c>
    </row>
    <row r="335" customFormat="false" ht="15" hidden="false" customHeight="false" outlineLevel="0" collapsed="false">
      <c r="A335" s="36" t="s">
        <v>2382</v>
      </c>
    </row>
    <row r="336" customFormat="false" ht="15" hidden="false" customHeight="false" outlineLevel="0" collapsed="false">
      <c r="A336" s="36" t="s">
        <v>2383</v>
      </c>
    </row>
    <row r="337" customFormat="false" ht="15" hidden="false" customHeight="false" outlineLevel="0" collapsed="false">
      <c r="A337" s="36"/>
    </row>
    <row r="338" customFormat="false" ht="15" hidden="false" customHeight="false" outlineLevel="0" collapsed="false">
      <c r="A338" s="36" t="s">
        <v>2384</v>
      </c>
    </row>
    <row r="339" customFormat="false" ht="15" hidden="false" customHeight="false" outlineLevel="0" collapsed="false">
      <c r="A339" s="36" t="s">
        <v>2385</v>
      </c>
    </row>
    <row r="340" customFormat="false" ht="15" hidden="false" customHeight="false" outlineLevel="0" collapsed="false">
      <c r="A340" s="36" t="s">
        <v>2143</v>
      </c>
    </row>
    <row r="341" customFormat="false" ht="15" hidden="false" customHeight="false" outlineLevel="0" collapsed="false">
      <c r="A341" s="36" t="s">
        <v>2386</v>
      </c>
    </row>
    <row r="342" customFormat="false" ht="15" hidden="false" customHeight="false" outlineLevel="0" collapsed="false">
      <c r="A342" s="36" t="s">
        <v>2387</v>
      </c>
    </row>
    <row r="343" customFormat="false" ht="15" hidden="false" customHeight="false" outlineLevel="0" collapsed="false">
      <c r="A343" s="36" t="s">
        <v>2388</v>
      </c>
    </row>
    <row r="344" customFormat="false" ht="15" hidden="false" customHeight="false" outlineLevel="0" collapsed="false">
      <c r="A344" s="36" t="s">
        <v>2389</v>
      </c>
    </row>
    <row r="345" customFormat="false" ht="15" hidden="false" customHeight="false" outlineLevel="0" collapsed="false">
      <c r="A345" s="36" t="s">
        <v>2390</v>
      </c>
    </row>
    <row r="346" customFormat="false" ht="15" hidden="false" customHeight="false" outlineLevel="0" collapsed="false">
      <c r="A346" s="36" t="s">
        <v>2391</v>
      </c>
    </row>
    <row r="347" customFormat="false" ht="15" hidden="false" customHeight="false" outlineLevel="0" collapsed="false">
      <c r="A347" s="36" t="s">
        <v>2392</v>
      </c>
    </row>
    <row r="348" customFormat="false" ht="15" hidden="false" customHeight="false" outlineLevel="0" collapsed="false">
      <c r="A348" s="36" t="s">
        <v>2393</v>
      </c>
    </row>
    <row r="349" customFormat="false" ht="15" hidden="false" customHeight="false" outlineLevel="0" collapsed="false">
      <c r="A349" s="36" t="s">
        <v>2151</v>
      </c>
    </row>
    <row r="350" customFormat="false" ht="15" hidden="false" customHeight="false" outlineLevel="0" collapsed="false">
      <c r="A350" s="36" t="s">
        <v>2152</v>
      </c>
    </row>
    <row r="351" customFormat="false" ht="15" hidden="false" customHeight="false" outlineLevel="0" collapsed="false">
      <c r="A351" s="36" t="s">
        <v>2153</v>
      </c>
    </row>
    <row r="352" customFormat="false" ht="15" hidden="false" customHeight="false" outlineLevel="0" collapsed="false">
      <c r="A352" s="36" t="s">
        <v>2154</v>
      </c>
    </row>
    <row r="353" customFormat="false" ht="15" hidden="false" customHeight="false" outlineLevel="0" collapsed="false">
      <c r="A353" s="36" t="s">
        <v>2155</v>
      </c>
    </row>
    <row r="354" customFormat="false" ht="15" hidden="false" customHeight="false" outlineLevel="0" collapsed="false">
      <c r="A354" s="36" t="s">
        <v>2156</v>
      </c>
    </row>
    <row r="355" customFormat="false" ht="15" hidden="false" customHeight="false" outlineLevel="0" collapsed="false">
      <c r="A355" s="36" t="s">
        <v>2394</v>
      </c>
    </row>
    <row r="356" customFormat="false" ht="15" hidden="false" customHeight="false" outlineLevel="0" collapsed="false">
      <c r="A356" s="36" t="s">
        <v>2395</v>
      </c>
    </row>
    <row r="357" customFormat="false" ht="15" hidden="false" customHeight="false" outlineLevel="0" collapsed="false">
      <c r="A357" s="36" t="s">
        <v>2396</v>
      </c>
    </row>
    <row r="358" customFormat="false" ht="15" hidden="false" customHeight="false" outlineLevel="0" collapsed="false">
      <c r="A358" s="36" t="s">
        <v>2397</v>
      </c>
    </row>
    <row r="359" customFormat="false" ht="15" hidden="false" customHeight="false" outlineLevel="0" collapsed="false">
      <c r="A359" s="36" t="s">
        <v>2398</v>
      </c>
    </row>
    <row r="360" customFormat="false" ht="15" hidden="false" customHeight="false" outlineLevel="0" collapsed="false">
      <c r="A360" s="36" t="s">
        <v>2399</v>
      </c>
    </row>
    <row r="361" customFormat="false" ht="15" hidden="false" customHeight="false" outlineLevel="0" collapsed="false">
      <c r="A361" s="36" t="s">
        <v>2400</v>
      </c>
    </row>
    <row r="362" customFormat="false" ht="15" hidden="false" customHeight="false" outlineLevel="0" collapsed="false">
      <c r="A362" s="36" t="s">
        <v>2401</v>
      </c>
    </row>
    <row r="363" customFormat="false" ht="15" hidden="false" customHeight="false" outlineLevel="0" collapsed="false">
      <c r="A363" s="36" t="s">
        <v>2402</v>
      </c>
    </row>
    <row r="364" customFormat="false" ht="15" hidden="false" customHeight="false" outlineLevel="0" collapsed="false">
      <c r="A364" s="36" t="s">
        <v>2403</v>
      </c>
    </row>
    <row r="365" customFormat="false" ht="15" hidden="false" customHeight="false" outlineLevel="0" collapsed="false">
      <c r="A365" s="36" t="s">
        <v>2404</v>
      </c>
    </row>
    <row r="366" customFormat="false" ht="15" hidden="false" customHeight="false" outlineLevel="0" collapsed="false">
      <c r="A366" s="36" t="s">
        <v>2405</v>
      </c>
    </row>
    <row r="367" customFormat="false" ht="15" hidden="false" customHeight="false" outlineLevel="0" collapsed="false">
      <c r="A367" s="36" t="s">
        <v>2406</v>
      </c>
    </row>
    <row r="368" customFormat="false" ht="15" hidden="false" customHeight="false" outlineLevel="0" collapsed="false">
      <c r="A368" s="36" t="s">
        <v>2407</v>
      </c>
    </row>
    <row r="369" customFormat="false" ht="15" hidden="false" customHeight="false" outlineLevel="0" collapsed="false">
      <c r="A369" s="36" t="s">
        <v>2408</v>
      </c>
    </row>
    <row r="370" customFormat="false" ht="15" hidden="false" customHeight="false" outlineLevel="0" collapsed="false">
      <c r="A370" s="36"/>
    </row>
    <row r="371" customFormat="false" ht="15" hidden="false" customHeight="false" outlineLevel="0" collapsed="false">
      <c r="A371" s="36" t="s">
        <v>2409</v>
      </c>
    </row>
    <row r="372" customFormat="false" ht="15" hidden="false" customHeight="false" outlineLevel="0" collapsed="false">
      <c r="A372" s="36" t="s">
        <v>2410</v>
      </c>
    </row>
    <row r="373" customFormat="false" ht="15" hidden="false" customHeight="false" outlineLevel="0" collapsed="false">
      <c r="A373" s="36" t="s">
        <v>2143</v>
      </c>
    </row>
    <row r="374" customFormat="false" ht="15" hidden="false" customHeight="false" outlineLevel="0" collapsed="false">
      <c r="A374" s="36" t="s">
        <v>2411</v>
      </c>
    </row>
    <row r="375" customFormat="false" ht="15" hidden="false" customHeight="false" outlineLevel="0" collapsed="false">
      <c r="A375" s="36" t="s">
        <v>2412</v>
      </c>
    </row>
    <row r="376" customFormat="false" ht="15" hidden="false" customHeight="false" outlineLevel="0" collapsed="false">
      <c r="A376" s="36" t="s">
        <v>2413</v>
      </c>
    </row>
    <row r="377" customFormat="false" ht="15" hidden="false" customHeight="false" outlineLevel="0" collapsed="false">
      <c r="A377" s="36" t="s">
        <v>2414</v>
      </c>
    </row>
    <row r="378" customFormat="false" ht="15" hidden="false" customHeight="false" outlineLevel="0" collapsed="false">
      <c r="A378" s="36" t="s">
        <v>2415</v>
      </c>
    </row>
    <row r="379" customFormat="false" ht="15" hidden="false" customHeight="false" outlineLevel="0" collapsed="false">
      <c r="A379" s="36" t="s">
        <v>2151</v>
      </c>
    </row>
    <row r="380" customFormat="false" ht="15" hidden="false" customHeight="false" outlineLevel="0" collapsed="false">
      <c r="A380" s="36" t="s">
        <v>2314</v>
      </c>
    </row>
    <row r="381" customFormat="false" ht="15" hidden="false" customHeight="false" outlineLevel="0" collapsed="false">
      <c r="A381" s="36" t="s">
        <v>2156</v>
      </c>
    </row>
    <row r="382" customFormat="false" ht="15" hidden="false" customHeight="false" outlineLevel="0" collapsed="false">
      <c r="A382" s="36" t="s">
        <v>2416</v>
      </c>
    </row>
    <row r="383" customFormat="false" ht="15" hidden="false" customHeight="false" outlineLevel="0" collapsed="false">
      <c r="A383" s="36" t="s">
        <v>2417</v>
      </c>
    </row>
    <row r="384" customFormat="false" ht="15" hidden="false" customHeight="false" outlineLevel="0" collapsed="false">
      <c r="A384" s="36" t="s">
        <v>2418</v>
      </c>
    </row>
    <row r="385" customFormat="false" ht="15" hidden="false" customHeight="false" outlineLevel="0" collapsed="false">
      <c r="A385" s="36" t="s">
        <v>2419</v>
      </c>
    </row>
    <row r="386" customFormat="false" ht="15" hidden="false" customHeight="false" outlineLevel="0" collapsed="false">
      <c r="A386" s="36" t="s">
        <v>2420</v>
      </c>
    </row>
    <row r="387" customFormat="false" ht="15" hidden="false" customHeight="false" outlineLevel="0" collapsed="false">
      <c r="A387" s="36" t="s">
        <v>2421</v>
      </c>
    </row>
    <row r="388" customFormat="false" ht="15" hidden="false" customHeight="false" outlineLevel="0" collapsed="false">
      <c r="A388" s="36" t="s">
        <v>2422</v>
      </c>
    </row>
    <row r="389" customFormat="false" ht="15" hidden="false" customHeight="false" outlineLevel="0" collapsed="false">
      <c r="A389" s="36" t="s">
        <v>2423</v>
      </c>
    </row>
    <row r="390" customFormat="false" ht="15" hidden="false" customHeight="false" outlineLevel="0" collapsed="false">
      <c r="A390" s="36" t="s">
        <v>2424</v>
      </c>
    </row>
    <row r="391" customFormat="false" ht="15" hidden="false" customHeight="false" outlineLevel="0" collapsed="false">
      <c r="A391" s="36"/>
    </row>
    <row r="392" customFormat="false" ht="15" hidden="false" customHeight="false" outlineLevel="0" collapsed="false">
      <c r="A392" s="36" t="s">
        <v>2425</v>
      </c>
    </row>
    <row r="393" customFormat="false" ht="15" hidden="false" customHeight="false" outlineLevel="0" collapsed="false">
      <c r="A393" s="36" t="s">
        <v>2426</v>
      </c>
    </row>
    <row r="394" customFormat="false" ht="15" hidden="false" customHeight="false" outlineLevel="0" collapsed="false">
      <c r="A394" s="36" t="s">
        <v>2143</v>
      </c>
    </row>
    <row r="395" customFormat="false" ht="15" hidden="false" customHeight="false" outlineLevel="0" collapsed="false">
      <c r="A395" s="36" t="s">
        <v>2427</v>
      </c>
    </row>
    <row r="396" customFormat="false" ht="15" hidden="false" customHeight="false" outlineLevel="0" collapsed="false">
      <c r="A396" s="36" t="s">
        <v>2428</v>
      </c>
    </row>
    <row r="397" customFormat="false" ht="15" hidden="false" customHeight="false" outlineLevel="0" collapsed="false">
      <c r="A397" s="36" t="s">
        <v>2429</v>
      </c>
    </row>
    <row r="398" customFormat="false" ht="15" hidden="false" customHeight="false" outlineLevel="0" collapsed="false">
      <c r="A398" s="36" t="s">
        <v>2430</v>
      </c>
    </row>
    <row r="399" customFormat="false" ht="15" hidden="false" customHeight="false" outlineLevel="0" collapsed="false">
      <c r="A399" s="36" t="s">
        <v>2431</v>
      </c>
    </row>
    <row r="400" customFormat="false" ht="15" hidden="false" customHeight="false" outlineLevel="0" collapsed="false">
      <c r="A400" s="36" t="s">
        <v>2432</v>
      </c>
    </row>
    <row r="401" customFormat="false" ht="15" hidden="false" customHeight="false" outlineLevel="0" collapsed="false">
      <c r="A401" s="36" t="s">
        <v>2151</v>
      </c>
    </row>
    <row r="402" customFormat="false" ht="15" hidden="false" customHeight="false" outlineLevel="0" collapsed="false">
      <c r="A402" s="36" t="s">
        <v>2152</v>
      </c>
    </row>
    <row r="403" customFormat="false" ht="15" hidden="false" customHeight="false" outlineLevel="0" collapsed="false">
      <c r="A403" s="36" t="s">
        <v>2153</v>
      </c>
    </row>
    <row r="404" customFormat="false" ht="15" hidden="false" customHeight="false" outlineLevel="0" collapsed="false">
      <c r="A404" s="36" t="s">
        <v>2154</v>
      </c>
    </row>
    <row r="405" customFormat="false" ht="15" hidden="false" customHeight="false" outlineLevel="0" collapsed="false">
      <c r="A405" s="36" t="s">
        <v>2155</v>
      </c>
    </row>
    <row r="406" customFormat="false" ht="15" hidden="false" customHeight="false" outlineLevel="0" collapsed="false">
      <c r="A406" s="36" t="s">
        <v>2156</v>
      </c>
    </row>
    <row r="407" customFormat="false" ht="15" hidden="false" customHeight="false" outlineLevel="0" collapsed="false">
      <c r="A407" s="36" t="s">
        <v>2433</v>
      </c>
    </row>
    <row r="408" customFormat="false" ht="15" hidden="false" customHeight="false" outlineLevel="0" collapsed="false">
      <c r="A408" s="36" t="s">
        <v>2434</v>
      </c>
    </row>
    <row r="409" customFormat="false" ht="15" hidden="false" customHeight="false" outlineLevel="0" collapsed="false">
      <c r="A409" s="36" t="s">
        <v>2435</v>
      </c>
    </row>
    <row r="410" customFormat="false" ht="15" hidden="false" customHeight="false" outlineLevel="0" collapsed="false">
      <c r="A410" s="36" t="s">
        <v>2436</v>
      </c>
    </row>
    <row r="411" customFormat="false" ht="15" hidden="false" customHeight="false" outlineLevel="0" collapsed="false">
      <c r="A411" s="36" t="s">
        <v>2437</v>
      </c>
    </row>
    <row r="412" customFormat="false" ht="15" hidden="false" customHeight="false" outlineLevel="0" collapsed="false">
      <c r="A412" s="36" t="s">
        <v>2438</v>
      </c>
    </row>
    <row r="413" customFormat="false" ht="15" hidden="false" customHeight="false" outlineLevel="0" collapsed="false">
      <c r="A413" s="36" t="s">
        <v>2439</v>
      </c>
    </row>
    <row r="414" customFormat="false" ht="15" hidden="false" customHeight="false" outlineLevel="0" collapsed="false">
      <c r="A414" s="36" t="s">
        <v>2440</v>
      </c>
    </row>
    <row r="415" customFormat="false" ht="15" hidden="false" customHeight="false" outlineLevel="0" collapsed="false">
      <c r="A415" s="36" t="s">
        <v>2441</v>
      </c>
    </row>
    <row r="416" customFormat="false" ht="15" hidden="false" customHeight="false" outlineLevel="0" collapsed="false">
      <c r="A416" s="36" t="s">
        <v>2442</v>
      </c>
    </row>
    <row r="417" customFormat="false" ht="15" hidden="false" customHeight="false" outlineLevel="0" collapsed="false">
      <c r="A417" s="36" t="s">
        <v>2443</v>
      </c>
    </row>
    <row r="418" customFormat="false" ht="15" hidden="false" customHeight="false" outlineLevel="0" collapsed="false">
      <c r="A418" s="36" t="s">
        <v>2444</v>
      </c>
    </row>
    <row r="419" customFormat="false" ht="15" hidden="false" customHeight="false" outlineLevel="0" collapsed="false">
      <c r="A419" s="36" t="s">
        <v>2445</v>
      </c>
    </row>
    <row r="420" customFormat="false" ht="15" hidden="false" customHeight="false" outlineLevel="0" collapsed="false">
      <c r="A420" s="36"/>
    </row>
    <row r="421" customFormat="false" ht="15" hidden="false" customHeight="false" outlineLevel="0" collapsed="false">
      <c r="A421" s="36" t="s">
        <v>2446</v>
      </c>
    </row>
    <row r="422" customFormat="false" ht="15" hidden="false" customHeight="false" outlineLevel="0" collapsed="false">
      <c r="A422" s="36" t="s">
        <v>2447</v>
      </c>
    </row>
    <row r="423" customFormat="false" ht="15" hidden="false" customHeight="false" outlineLevel="0" collapsed="false">
      <c r="A423" s="36" t="s">
        <v>2143</v>
      </c>
    </row>
    <row r="424" customFormat="false" ht="15" hidden="false" customHeight="false" outlineLevel="0" collapsed="false">
      <c r="A424" s="36" t="s">
        <v>2448</v>
      </c>
    </row>
    <row r="425" customFormat="false" ht="15" hidden="false" customHeight="false" outlineLevel="0" collapsed="false">
      <c r="A425" s="36" t="s">
        <v>2387</v>
      </c>
    </row>
    <row r="426" customFormat="false" ht="15" hidden="false" customHeight="false" outlineLevel="0" collapsed="false">
      <c r="A426" s="36" t="s">
        <v>2449</v>
      </c>
    </row>
    <row r="427" customFormat="false" ht="15" hidden="false" customHeight="false" outlineLevel="0" collapsed="false">
      <c r="A427" s="36" t="s">
        <v>2450</v>
      </c>
    </row>
    <row r="428" customFormat="false" ht="15" hidden="false" customHeight="false" outlineLevel="0" collapsed="false">
      <c r="A428" s="36" t="s">
        <v>2390</v>
      </c>
    </row>
    <row r="429" customFormat="false" ht="15" hidden="false" customHeight="false" outlineLevel="0" collapsed="false">
      <c r="A429" s="36" t="s">
        <v>2393</v>
      </c>
    </row>
    <row r="430" customFormat="false" ht="15" hidden="false" customHeight="false" outlineLevel="0" collapsed="false">
      <c r="A430" s="36" t="s">
        <v>2151</v>
      </c>
    </row>
    <row r="431" customFormat="false" ht="15" hidden="false" customHeight="false" outlineLevel="0" collapsed="false">
      <c r="A431" s="36" t="s">
        <v>2152</v>
      </c>
    </row>
    <row r="432" customFormat="false" ht="15" hidden="false" customHeight="false" outlineLevel="0" collapsed="false">
      <c r="A432" s="36" t="s">
        <v>2153</v>
      </c>
    </row>
    <row r="433" customFormat="false" ht="15" hidden="false" customHeight="false" outlineLevel="0" collapsed="false">
      <c r="A433" s="36" t="s">
        <v>2154</v>
      </c>
    </row>
    <row r="434" customFormat="false" ht="15" hidden="false" customHeight="false" outlineLevel="0" collapsed="false">
      <c r="A434" s="36" t="s">
        <v>2155</v>
      </c>
    </row>
    <row r="435" customFormat="false" ht="15" hidden="false" customHeight="false" outlineLevel="0" collapsed="false">
      <c r="A435" s="36" t="s">
        <v>2156</v>
      </c>
    </row>
    <row r="436" customFormat="false" ht="15" hidden="false" customHeight="false" outlineLevel="0" collapsed="false">
      <c r="A436" s="36" t="s">
        <v>2451</v>
      </c>
    </row>
    <row r="437" customFormat="false" ht="15" hidden="false" customHeight="false" outlineLevel="0" collapsed="false">
      <c r="A437" s="36" t="s">
        <v>2452</v>
      </c>
    </row>
    <row r="438" customFormat="false" ht="15" hidden="false" customHeight="false" outlineLevel="0" collapsed="false">
      <c r="A438" s="36" t="s">
        <v>2453</v>
      </c>
    </row>
    <row r="439" customFormat="false" ht="15" hidden="false" customHeight="false" outlineLevel="0" collapsed="false">
      <c r="A439" s="36" t="s">
        <v>2454</v>
      </c>
    </row>
    <row r="440" customFormat="false" ht="15" hidden="false" customHeight="false" outlineLevel="0" collapsed="false">
      <c r="A440" s="36" t="s">
        <v>2455</v>
      </c>
    </row>
    <row r="441" customFormat="false" ht="15" hidden="false" customHeight="false" outlineLevel="0" collapsed="false">
      <c r="A441" s="36" t="s">
        <v>2456</v>
      </c>
    </row>
    <row r="442" customFormat="false" ht="15" hidden="false" customHeight="false" outlineLevel="0" collapsed="false">
      <c r="A442" s="36" t="s">
        <v>2457</v>
      </c>
    </row>
    <row r="443" customFormat="false" ht="15" hidden="false" customHeight="false" outlineLevel="0" collapsed="false">
      <c r="A443" s="36" t="s">
        <v>2458</v>
      </c>
    </row>
    <row r="444" customFormat="false" ht="15" hidden="false" customHeight="false" outlineLevel="0" collapsed="false">
      <c r="A444" s="36" t="s">
        <v>2459</v>
      </c>
    </row>
    <row r="445" customFormat="false" ht="15" hidden="false" customHeight="false" outlineLevel="0" collapsed="false">
      <c r="A445" s="36" t="s">
        <v>2460</v>
      </c>
    </row>
    <row r="446" customFormat="false" ht="15" hidden="false" customHeight="false" outlineLevel="0" collapsed="false">
      <c r="A446" s="36" t="s">
        <v>2461</v>
      </c>
    </row>
    <row r="447" customFormat="false" ht="15" hidden="false" customHeight="false" outlineLevel="0" collapsed="false">
      <c r="A447" s="36" t="s">
        <v>2462</v>
      </c>
    </row>
    <row r="448" customFormat="false" ht="15" hidden="false" customHeight="false" outlineLevel="0" collapsed="false">
      <c r="A448" s="36" t="s">
        <v>2463</v>
      </c>
    </row>
    <row r="449" customFormat="false" ht="15" hidden="false" customHeight="false" outlineLevel="0" collapsed="false">
      <c r="A449" s="36"/>
    </row>
    <row r="450" customFormat="false" ht="15" hidden="false" customHeight="false" outlineLevel="0" collapsed="false">
      <c r="A450" s="36" t="s">
        <v>2464</v>
      </c>
    </row>
    <row r="451" customFormat="false" ht="15" hidden="false" customHeight="false" outlineLevel="0" collapsed="false">
      <c r="A451" s="36" t="s">
        <v>2465</v>
      </c>
    </row>
    <row r="452" customFormat="false" ht="15" hidden="false" customHeight="false" outlineLevel="0" collapsed="false">
      <c r="A452" s="36" t="s">
        <v>2143</v>
      </c>
    </row>
    <row r="453" customFormat="false" ht="15" hidden="false" customHeight="false" outlineLevel="0" collapsed="false">
      <c r="A453" s="36" t="s">
        <v>2466</v>
      </c>
    </row>
    <row r="454" customFormat="false" ht="15" hidden="false" customHeight="false" outlineLevel="0" collapsed="false">
      <c r="A454" s="36" t="s">
        <v>2429</v>
      </c>
    </row>
    <row r="455" customFormat="false" ht="15" hidden="false" customHeight="false" outlineLevel="0" collapsed="false">
      <c r="A455" s="36" t="s">
        <v>2387</v>
      </c>
    </row>
    <row r="456" customFormat="false" ht="15" hidden="false" customHeight="false" outlineLevel="0" collapsed="false">
      <c r="A456" s="36" t="s">
        <v>2467</v>
      </c>
    </row>
    <row r="457" customFormat="false" ht="15" hidden="false" customHeight="false" outlineLevel="0" collapsed="false">
      <c r="A457" s="36" t="s">
        <v>2468</v>
      </c>
    </row>
    <row r="458" customFormat="false" ht="15" hidden="false" customHeight="false" outlineLevel="0" collapsed="false">
      <c r="A458" s="36" t="s">
        <v>2469</v>
      </c>
    </row>
    <row r="459" customFormat="false" ht="15" hidden="false" customHeight="false" outlineLevel="0" collapsed="false">
      <c r="A459" s="36" t="s">
        <v>2470</v>
      </c>
    </row>
    <row r="460" customFormat="false" ht="15" hidden="false" customHeight="false" outlineLevel="0" collapsed="false">
      <c r="A460" s="36" t="s">
        <v>2471</v>
      </c>
    </row>
    <row r="461" customFormat="false" ht="15" hidden="false" customHeight="false" outlineLevel="0" collapsed="false">
      <c r="A461" s="36" t="s">
        <v>2472</v>
      </c>
    </row>
    <row r="462" customFormat="false" ht="15" hidden="false" customHeight="false" outlineLevel="0" collapsed="false">
      <c r="A462" s="36" t="s">
        <v>2473</v>
      </c>
    </row>
    <row r="463" customFormat="false" ht="15" hidden="false" customHeight="false" outlineLevel="0" collapsed="false">
      <c r="A463" s="36" t="s">
        <v>2474</v>
      </c>
    </row>
    <row r="464" customFormat="false" ht="15" hidden="false" customHeight="false" outlineLevel="0" collapsed="false">
      <c r="A464" s="36" t="s">
        <v>2475</v>
      </c>
    </row>
    <row r="465" customFormat="false" ht="15" hidden="false" customHeight="false" outlineLevel="0" collapsed="false">
      <c r="A465" s="36" t="s">
        <v>2476</v>
      </c>
    </row>
    <row r="466" customFormat="false" ht="15" hidden="false" customHeight="false" outlineLevel="0" collapsed="false">
      <c r="A466" s="36" t="s">
        <v>2151</v>
      </c>
    </row>
    <row r="467" customFormat="false" ht="15" hidden="false" customHeight="false" outlineLevel="0" collapsed="false">
      <c r="A467" s="36" t="s">
        <v>2152</v>
      </c>
    </row>
    <row r="468" customFormat="false" ht="15" hidden="false" customHeight="false" outlineLevel="0" collapsed="false">
      <c r="A468" s="36" t="s">
        <v>2153</v>
      </c>
    </row>
    <row r="469" customFormat="false" ht="15" hidden="false" customHeight="false" outlineLevel="0" collapsed="false">
      <c r="A469" s="36" t="s">
        <v>2154</v>
      </c>
    </row>
    <row r="470" customFormat="false" ht="15" hidden="false" customHeight="false" outlineLevel="0" collapsed="false">
      <c r="A470" s="36" t="s">
        <v>2155</v>
      </c>
    </row>
    <row r="471" customFormat="false" ht="15" hidden="false" customHeight="false" outlineLevel="0" collapsed="false">
      <c r="A471" s="36" t="s">
        <v>2156</v>
      </c>
    </row>
    <row r="472" customFormat="false" ht="15" hidden="false" customHeight="false" outlineLevel="0" collapsed="false">
      <c r="A472" s="36" t="s">
        <v>2477</v>
      </c>
    </row>
    <row r="473" customFormat="false" ht="15" hidden="false" customHeight="false" outlineLevel="0" collapsed="false">
      <c r="A473" s="36" t="s">
        <v>2478</v>
      </c>
    </row>
    <row r="474" customFormat="false" ht="15" hidden="false" customHeight="false" outlineLevel="0" collapsed="false">
      <c r="A474" s="36" t="s">
        <v>2479</v>
      </c>
    </row>
    <row r="475" customFormat="false" ht="15" hidden="false" customHeight="false" outlineLevel="0" collapsed="false">
      <c r="A475" s="36" t="s">
        <v>2480</v>
      </c>
    </row>
    <row r="476" customFormat="false" ht="15" hidden="false" customHeight="false" outlineLevel="0" collapsed="false">
      <c r="A476" s="36" t="s">
        <v>2481</v>
      </c>
    </row>
    <row r="477" customFormat="false" ht="15" hidden="false" customHeight="false" outlineLevel="0" collapsed="false">
      <c r="A477" s="36" t="s">
        <v>2482</v>
      </c>
    </row>
    <row r="478" customFormat="false" ht="15" hidden="false" customHeight="false" outlineLevel="0" collapsed="false">
      <c r="A478" s="36" t="s">
        <v>2483</v>
      </c>
    </row>
    <row r="479" customFormat="false" ht="15" hidden="false" customHeight="false" outlineLevel="0" collapsed="false">
      <c r="A479" s="36" t="s">
        <v>2484</v>
      </c>
    </row>
    <row r="480" customFormat="false" ht="15" hidden="false" customHeight="false" outlineLevel="0" collapsed="false">
      <c r="A480" s="36" t="s">
        <v>2485</v>
      </c>
    </row>
    <row r="481" customFormat="false" ht="15" hidden="false" customHeight="false" outlineLevel="0" collapsed="false">
      <c r="A481" s="36" t="s">
        <v>2486</v>
      </c>
    </row>
    <row r="482" customFormat="false" ht="15" hidden="false" customHeight="false" outlineLevel="0" collapsed="false">
      <c r="A482" s="36" t="s">
        <v>2487</v>
      </c>
    </row>
    <row r="483" customFormat="false" ht="15" hidden="false" customHeight="false" outlineLevel="0" collapsed="false">
      <c r="A483" s="36" t="s">
        <v>2488</v>
      </c>
    </row>
    <row r="484" customFormat="false" ht="15" hidden="false" customHeight="false" outlineLevel="0" collapsed="false">
      <c r="A484" s="36" t="s">
        <v>2489</v>
      </c>
    </row>
    <row r="485" customFormat="false" ht="15" hidden="false" customHeight="false" outlineLevel="0" collapsed="false">
      <c r="A485" s="36" t="s">
        <v>2490</v>
      </c>
    </row>
    <row r="486" customFormat="false" ht="15" hidden="false" customHeight="false" outlineLevel="0" collapsed="false">
      <c r="A486" s="36" t="s">
        <v>2491</v>
      </c>
    </row>
    <row r="487" customFormat="false" ht="15" hidden="false" customHeight="false" outlineLevel="0" collapsed="false">
      <c r="A487" s="36" t="s">
        <v>2492</v>
      </c>
    </row>
    <row r="488" customFormat="false" ht="15" hidden="false" customHeight="false" outlineLevel="0" collapsed="false">
      <c r="A488" s="36" t="s">
        <v>2493</v>
      </c>
    </row>
    <row r="489" customFormat="false" ht="15" hidden="false" customHeight="false" outlineLevel="0" collapsed="false">
      <c r="A489" s="36" t="s">
        <v>2494</v>
      </c>
    </row>
    <row r="490" customFormat="false" ht="15" hidden="false" customHeight="false" outlineLevel="0" collapsed="false">
      <c r="A490" s="36" t="s">
        <v>2495</v>
      </c>
    </row>
    <row r="491" customFormat="false" ht="15" hidden="false" customHeight="false" outlineLevel="0" collapsed="false">
      <c r="A491" s="36" t="s">
        <v>2496</v>
      </c>
    </row>
    <row r="492" customFormat="false" ht="15" hidden="false" customHeight="false" outlineLevel="0" collapsed="false">
      <c r="A492" s="36"/>
    </row>
    <row r="493" customFormat="false" ht="15" hidden="false" customHeight="false" outlineLevel="0" collapsed="false">
      <c r="A493" s="36" t="s">
        <v>2497</v>
      </c>
    </row>
    <row r="494" customFormat="false" ht="15" hidden="false" customHeight="false" outlineLevel="0" collapsed="false">
      <c r="A494" s="36" t="s">
        <v>2498</v>
      </c>
    </row>
    <row r="495" customFormat="false" ht="15" hidden="false" customHeight="false" outlineLevel="0" collapsed="false">
      <c r="A495" s="36" t="s">
        <v>2143</v>
      </c>
    </row>
    <row r="496" customFormat="false" ht="15" hidden="false" customHeight="false" outlineLevel="0" collapsed="false">
      <c r="A496" s="36" t="s">
        <v>2499</v>
      </c>
    </row>
    <row r="497" customFormat="false" ht="15" hidden="false" customHeight="false" outlineLevel="0" collapsed="false">
      <c r="A497" s="36" t="s">
        <v>2366</v>
      </c>
    </row>
    <row r="498" customFormat="false" ht="15" hidden="false" customHeight="false" outlineLevel="0" collapsed="false">
      <c r="A498" s="36" t="s">
        <v>2500</v>
      </c>
    </row>
    <row r="499" customFormat="false" ht="15" hidden="false" customHeight="false" outlineLevel="0" collapsed="false">
      <c r="A499" s="36" t="s">
        <v>2388</v>
      </c>
    </row>
    <row r="500" customFormat="false" ht="15" hidden="false" customHeight="false" outlineLevel="0" collapsed="false">
      <c r="A500" s="36" t="s">
        <v>2501</v>
      </c>
    </row>
    <row r="501" customFormat="false" ht="15" hidden="false" customHeight="false" outlineLevel="0" collapsed="false">
      <c r="A501" s="36" t="s">
        <v>2502</v>
      </c>
    </row>
    <row r="502" customFormat="false" ht="15" hidden="false" customHeight="false" outlineLevel="0" collapsed="false">
      <c r="A502" s="36" t="s">
        <v>2503</v>
      </c>
    </row>
    <row r="503" customFormat="false" ht="15" hidden="false" customHeight="false" outlineLevel="0" collapsed="false">
      <c r="A503" s="36" t="s">
        <v>2504</v>
      </c>
    </row>
    <row r="504" customFormat="false" ht="15" hidden="false" customHeight="false" outlineLevel="0" collapsed="false">
      <c r="A504" s="36" t="s">
        <v>2268</v>
      </c>
    </row>
    <row r="505" customFormat="false" ht="15" hidden="false" customHeight="false" outlineLevel="0" collapsed="false">
      <c r="A505" s="36" t="s">
        <v>2393</v>
      </c>
    </row>
    <row r="506" customFormat="false" ht="15" hidden="false" customHeight="false" outlineLevel="0" collapsed="false">
      <c r="A506" s="36" t="s">
        <v>2151</v>
      </c>
    </row>
    <row r="507" customFormat="false" ht="15" hidden="false" customHeight="false" outlineLevel="0" collapsed="false">
      <c r="A507" s="36" t="s">
        <v>2152</v>
      </c>
    </row>
    <row r="508" customFormat="false" ht="15" hidden="false" customHeight="false" outlineLevel="0" collapsed="false">
      <c r="A508" s="36" t="s">
        <v>2153</v>
      </c>
    </row>
    <row r="509" customFormat="false" ht="15" hidden="false" customHeight="false" outlineLevel="0" collapsed="false">
      <c r="A509" s="36" t="s">
        <v>2154</v>
      </c>
    </row>
    <row r="510" customFormat="false" ht="15" hidden="false" customHeight="false" outlineLevel="0" collapsed="false">
      <c r="A510" s="36" t="s">
        <v>2155</v>
      </c>
    </row>
    <row r="511" customFormat="false" ht="15" hidden="false" customHeight="false" outlineLevel="0" collapsed="false">
      <c r="A511" s="36" t="s">
        <v>2156</v>
      </c>
    </row>
    <row r="512" customFormat="false" ht="15" hidden="false" customHeight="false" outlineLevel="0" collapsed="false">
      <c r="A512" s="36" t="s">
        <v>2505</v>
      </c>
    </row>
    <row r="513" customFormat="false" ht="15" hidden="false" customHeight="false" outlineLevel="0" collapsed="false">
      <c r="A513" s="36" t="s">
        <v>2506</v>
      </c>
    </row>
    <row r="514" customFormat="false" ht="15" hidden="false" customHeight="false" outlineLevel="0" collapsed="false">
      <c r="A514" s="36" t="s">
        <v>2507</v>
      </c>
    </row>
    <row r="515" customFormat="false" ht="15" hidden="false" customHeight="false" outlineLevel="0" collapsed="false">
      <c r="A515" s="36" t="s">
        <v>2508</v>
      </c>
    </row>
    <row r="516" customFormat="false" ht="15" hidden="false" customHeight="false" outlineLevel="0" collapsed="false">
      <c r="A516" s="36" t="s">
        <v>2509</v>
      </c>
    </row>
    <row r="517" customFormat="false" ht="15" hidden="false" customHeight="false" outlineLevel="0" collapsed="false">
      <c r="A517" s="36" t="s">
        <v>2510</v>
      </c>
    </row>
    <row r="518" customFormat="false" ht="15" hidden="false" customHeight="false" outlineLevel="0" collapsed="false">
      <c r="A518" s="36" t="s">
        <v>2511</v>
      </c>
    </row>
    <row r="519" customFormat="false" ht="15" hidden="false" customHeight="false" outlineLevel="0" collapsed="false">
      <c r="A519" s="36" t="s">
        <v>2512</v>
      </c>
    </row>
    <row r="520" customFormat="false" ht="15" hidden="false" customHeight="false" outlineLevel="0" collapsed="false">
      <c r="A520" s="36" t="s">
        <v>2513</v>
      </c>
    </row>
    <row r="521" customFormat="false" ht="15" hidden="false" customHeight="false" outlineLevel="0" collapsed="false">
      <c r="A521" s="36" t="s">
        <v>2514</v>
      </c>
    </row>
    <row r="522" customFormat="false" ht="15" hidden="false" customHeight="false" outlineLevel="0" collapsed="false">
      <c r="A522" s="36" t="s">
        <v>2515</v>
      </c>
    </row>
    <row r="523" customFormat="false" ht="15" hidden="false" customHeight="false" outlineLevel="0" collapsed="false">
      <c r="A523" s="36" t="s">
        <v>2516</v>
      </c>
    </row>
    <row r="524" customFormat="false" ht="15" hidden="false" customHeight="false" outlineLevel="0" collapsed="false">
      <c r="A524" s="36" t="s">
        <v>2517</v>
      </c>
    </row>
    <row r="525" customFormat="false" ht="15" hidden="false" customHeight="false" outlineLevel="0" collapsed="false">
      <c r="A525" s="36" t="s">
        <v>2518</v>
      </c>
    </row>
    <row r="526" customFormat="false" ht="15" hidden="false" customHeight="false" outlineLevel="0" collapsed="false">
      <c r="A526" s="36" t="s">
        <v>2519</v>
      </c>
    </row>
    <row r="527" customFormat="false" ht="15" hidden="false" customHeight="false" outlineLevel="0" collapsed="false">
      <c r="A527" s="36" t="s">
        <v>2520</v>
      </c>
    </row>
    <row r="528" customFormat="false" ht="15" hidden="false" customHeight="false" outlineLevel="0" collapsed="false">
      <c r="A528" s="36" t="s">
        <v>2521</v>
      </c>
    </row>
    <row r="529" customFormat="false" ht="15" hidden="false" customHeight="false" outlineLevel="0" collapsed="false">
      <c r="A529" s="36"/>
    </row>
    <row r="530" customFormat="false" ht="15" hidden="false" customHeight="false" outlineLevel="0" collapsed="false">
      <c r="A530" s="36" t="s">
        <v>2522</v>
      </c>
    </row>
    <row r="531" customFormat="false" ht="15" hidden="false" customHeight="false" outlineLevel="0" collapsed="false">
      <c r="A531" s="36" t="s">
        <v>2523</v>
      </c>
    </row>
    <row r="532" customFormat="false" ht="15" hidden="false" customHeight="false" outlineLevel="0" collapsed="false">
      <c r="A532" s="36" t="s">
        <v>2143</v>
      </c>
    </row>
    <row r="533" customFormat="false" ht="15" hidden="false" customHeight="false" outlineLevel="0" collapsed="false">
      <c r="A533" s="36" t="s">
        <v>2524</v>
      </c>
    </row>
    <row r="534" customFormat="false" ht="15" hidden="false" customHeight="false" outlineLevel="0" collapsed="false">
      <c r="A534" s="36" t="s">
        <v>2525</v>
      </c>
    </row>
    <row r="535" customFormat="false" ht="15" hidden="false" customHeight="false" outlineLevel="0" collapsed="false">
      <c r="A535" s="36" t="s">
        <v>2429</v>
      </c>
    </row>
    <row r="536" customFormat="false" ht="15" hidden="false" customHeight="false" outlineLevel="0" collapsed="false">
      <c r="A536" s="36" t="s">
        <v>2467</v>
      </c>
    </row>
    <row r="537" customFormat="false" ht="15" hidden="false" customHeight="false" outlineLevel="0" collapsed="false">
      <c r="A537" s="36" t="s">
        <v>2468</v>
      </c>
    </row>
    <row r="538" customFormat="false" ht="15" hidden="false" customHeight="false" outlineLevel="0" collapsed="false">
      <c r="A538" s="36" t="s">
        <v>2469</v>
      </c>
    </row>
    <row r="539" customFormat="false" ht="15" hidden="false" customHeight="false" outlineLevel="0" collapsed="false">
      <c r="A539" s="36" t="s">
        <v>2526</v>
      </c>
    </row>
    <row r="540" customFormat="false" ht="15" hidden="false" customHeight="false" outlineLevel="0" collapsed="false">
      <c r="A540" s="36" t="s">
        <v>2527</v>
      </c>
    </row>
    <row r="541" customFormat="false" ht="15" hidden="false" customHeight="false" outlineLevel="0" collapsed="false">
      <c r="A541" s="36" t="s">
        <v>2528</v>
      </c>
    </row>
    <row r="542" customFormat="false" ht="15" hidden="false" customHeight="false" outlineLevel="0" collapsed="false">
      <c r="A542" s="36" t="s">
        <v>2411</v>
      </c>
    </row>
    <row r="543" customFormat="false" ht="15" hidden="false" customHeight="false" outlineLevel="0" collapsed="false">
      <c r="A543" s="36" t="s">
        <v>2430</v>
      </c>
    </row>
    <row r="544" customFormat="false" ht="15" hidden="false" customHeight="false" outlineLevel="0" collapsed="false">
      <c r="A544" s="36" t="s">
        <v>2431</v>
      </c>
    </row>
    <row r="545" customFormat="false" ht="15" hidden="false" customHeight="false" outlineLevel="0" collapsed="false">
      <c r="A545" s="36" t="s">
        <v>2151</v>
      </c>
    </row>
    <row r="546" customFormat="false" ht="15" hidden="false" customHeight="false" outlineLevel="0" collapsed="false">
      <c r="A546" s="36" t="s">
        <v>2152</v>
      </c>
    </row>
    <row r="547" customFormat="false" ht="15" hidden="false" customHeight="false" outlineLevel="0" collapsed="false">
      <c r="A547" s="36" t="s">
        <v>2153</v>
      </c>
    </row>
    <row r="548" customFormat="false" ht="15" hidden="false" customHeight="false" outlineLevel="0" collapsed="false">
      <c r="A548" s="36" t="s">
        <v>2154</v>
      </c>
    </row>
    <row r="549" customFormat="false" ht="15" hidden="false" customHeight="false" outlineLevel="0" collapsed="false">
      <c r="A549" s="36" t="s">
        <v>2155</v>
      </c>
    </row>
    <row r="550" customFormat="false" ht="15" hidden="false" customHeight="false" outlineLevel="0" collapsed="false">
      <c r="A550" s="36" t="s">
        <v>2156</v>
      </c>
    </row>
    <row r="551" customFormat="false" ht="15" hidden="false" customHeight="false" outlineLevel="0" collapsed="false">
      <c r="A551" s="36" t="s">
        <v>2529</v>
      </c>
    </row>
    <row r="552" customFormat="false" ht="15" hidden="false" customHeight="false" outlineLevel="0" collapsed="false">
      <c r="A552" s="36" t="s">
        <v>2530</v>
      </c>
    </row>
    <row r="553" customFormat="false" ht="15" hidden="false" customHeight="false" outlineLevel="0" collapsed="false">
      <c r="A553" s="36" t="s">
        <v>2531</v>
      </c>
    </row>
    <row r="554" customFormat="false" ht="15" hidden="false" customHeight="false" outlineLevel="0" collapsed="false">
      <c r="A554" s="36" t="s">
        <v>2532</v>
      </c>
    </row>
    <row r="555" customFormat="false" ht="15" hidden="false" customHeight="false" outlineLevel="0" collapsed="false">
      <c r="A555" s="36" t="s">
        <v>2533</v>
      </c>
    </row>
    <row r="556" customFormat="false" ht="15" hidden="false" customHeight="false" outlineLevel="0" collapsed="false">
      <c r="A556" s="36" t="s">
        <v>2534</v>
      </c>
    </row>
    <row r="557" customFormat="false" ht="15" hidden="false" customHeight="false" outlineLevel="0" collapsed="false">
      <c r="A557" s="36" t="s">
        <v>2535</v>
      </c>
    </row>
    <row r="558" customFormat="false" ht="15" hidden="false" customHeight="false" outlineLevel="0" collapsed="false">
      <c r="A558" s="36" t="s">
        <v>2536</v>
      </c>
    </row>
    <row r="559" customFormat="false" ht="15" hidden="false" customHeight="false" outlineLevel="0" collapsed="false">
      <c r="A559" s="36" t="s">
        <v>2537</v>
      </c>
    </row>
    <row r="560" customFormat="false" ht="15" hidden="false" customHeight="false" outlineLevel="0" collapsed="false">
      <c r="A560" s="36" t="s">
        <v>2538</v>
      </c>
    </row>
    <row r="561" customFormat="false" ht="15" hidden="false" customHeight="false" outlineLevel="0" collapsed="false">
      <c r="A561" s="36" t="s">
        <v>2539</v>
      </c>
    </row>
    <row r="562" customFormat="false" ht="15" hidden="false" customHeight="false" outlineLevel="0" collapsed="false">
      <c r="A562" s="36" t="s">
        <v>2540</v>
      </c>
    </row>
    <row r="563" customFormat="false" ht="15" hidden="false" customHeight="false" outlineLevel="0" collapsed="false">
      <c r="A563" s="36" t="s">
        <v>2541</v>
      </c>
    </row>
    <row r="564" customFormat="false" ht="15" hidden="false" customHeight="false" outlineLevel="0" collapsed="false">
      <c r="A564" s="36" t="s">
        <v>2542</v>
      </c>
    </row>
    <row r="565" customFormat="false" ht="15" hidden="false" customHeight="false" outlineLevel="0" collapsed="false">
      <c r="A565" s="36" t="s">
        <v>2543</v>
      </c>
    </row>
    <row r="566" customFormat="false" ht="15" hidden="false" customHeight="false" outlineLevel="0" collapsed="false">
      <c r="A566" s="36" t="s">
        <v>2544</v>
      </c>
    </row>
    <row r="567" customFormat="false" ht="15" hidden="false" customHeight="false" outlineLevel="0" collapsed="false">
      <c r="A567" s="36" t="s">
        <v>2545</v>
      </c>
    </row>
    <row r="568" customFormat="false" ht="15" hidden="false" customHeight="false" outlineLevel="0" collapsed="false">
      <c r="A568" s="36" t="s">
        <v>2546</v>
      </c>
    </row>
    <row r="569" customFormat="false" ht="15" hidden="false" customHeight="false" outlineLevel="0" collapsed="false">
      <c r="A569" s="36" t="s">
        <v>2547</v>
      </c>
    </row>
    <row r="570" customFormat="false" ht="15" hidden="false" customHeight="false" outlineLevel="0" collapsed="false">
      <c r="A570" s="36"/>
    </row>
    <row r="571" customFormat="false" ht="15" hidden="false" customHeight="false" outlineLevel="0" collapsed="false">
      <c r="A571" s="36" t="s">
        <v>2548</v>
      </c>
    </row>
    <row r="572" customFormat="false" ht="15" hidden="false" customHeight="false" outlineLevel="0" collapsed="false">
      <c r="A572" s="36" t="s">
        <v>2549</v>
      </c>
    </row>
    <row r="573" customFormat="false" ht="15" hidden="false" customHeight="false" outlineLevel="0" collapsed="false">
      <c r="A573" s="36" t="s">
        <v>2143</v>
      </c>
    </row>
    <row r="574" customFormat="false" ht="15" hidden="false" customHeight="false" outlineLevel="0" collapsed="false">
      <c r="A574" s="36" t="s">
        <v>2550</v>
      </c>
    </row>
    <row r="575" customFormat="false" ht="15" hidden="false" customHeight="false" outlineLevel="0" collapsed="false">
      <c r="A575" s="36" t="s">
        <v>2551</v>
      </c>
    </row>
    <row r="576" customFormat="false" ht="15" hidden="false" customHeight="false" outlineLevel="0" collapsed="false">
      <c r="A576" s="36" t="s">
        <v>2552</v>
      </c>
    </row>
    <row r="577" customFormat="false" ht="15" hidden="false" customHeight="false" outlineLevel="0" collapsed="false">
      <c r="A577" s="36" t="s">
        <v>2553</v>
      </c>
    </row>
    <row r="578" customFormat="false" ht="15" hidden="false" customHeight="false" outlineLevel="0" collapsed="false">
      <c r="A578" s="36" t="s">
        <v>2554</v>
      </c>
    </row>
    <row r="579" customFormat="false" ht="15" hidden="false" customHeight="false" outlineLevel="0" collapsed="false">
      <c r="A579" s="36" t="s">
        <v>2555</v>
      </c>
    </row>
    <row r="580" customFormat="false" ht="15" hidden="false" customHeight="false" outlineLevel="0" collapsed="false">
      <c r="A580" s="36" t="s">
        <v>2556</v>
      </c>
    </row>
    <row r="581" customFormat="false" ht="15" hidden="false" customHeight="false" outlineLevel="0" collapsed="false">
      <c r="A581" s="36" t="s">
        <v>2151</v>
      </c>
    </row>
    <row r="582" customFormat="false" ht="15" hidden="false" customHeight="false" outlineLevel="0" collapsed="false">
      <c r="A582" s="36" t="s">
        <v>2314</v>
      </c>
    </row>
    <row r="583" customFormat="false" ht="15" hidden="false" customHeight="false" outlineLevel="0" collapsed="false">
      <c r="A583" s="36" t="s">
        <v>2156</v>
      </c>
    </row>
    <row r="584" customFormat="false" ht="15" hidden="false" customHeight="false" outlineLevel="0" collapsed="false">
      <c r="A584" s="36" t="s">
        <v>2557</v>
      </c>
    </row>
    <row r="585" customFormat="false" ht="15" hidden="false" customHeight="false" outlineLevel="0" collapsed="false">
      <c r="A585" s="36" t="s">
        <v>2558</v>
      </c>
    </row>
    <row r="586" customFormat="false" ht="15" hidden="false" customHeight="false" outlineLevel="0" collapsed="false">
      <c r="A586" s="36" t="s">
        <v>2559</v>
      </c>
    </row>
    <row r="587" customFormat="false" ht="15" hidden="false" customHeight="false" outlineLevel="0" collapsed="false">
      <c r="A587" s="36" t="s">
        <v>2560</v>
      </c>
    </row>
    <row r="588" customFormat="false" ht="15" hidden="false" customHeight="false" outlineLevel="0" collapsed="false">
      <c r="A588" s="36" t="s">
        <v>2561</v>
      </c>
    </row>
    <row r="589" customFormat="false" ht="15" hidden="false" customHeight="false" outlineLevel="0" collapsed="false">
      <c r="A589" s="36" t="s">
        <v>2562</v>
      </c>
    </row>
    <row r="590" customFormat="false" ht="15" hidden="false" customHeight="false" outlineLevel="0" collapsed="false">
      <c r="A590" s="36" t="s">
        <v>2563</v>
      </c>
    </row>
    <row r="591" customFormat="false" ht="15" hidden="false" customHeight="false" outlineLevel="0" collapsed="false">
      <c r="A591" s="36" t="s">
        <v>2564</v>
      </c>
    </row>
    <row r="592" customFormat="false" ht="15" hidden="false" customHeight="false" outlineLevel="0" collapsed="false">
      <c r="A592" s="36" t="s">
        <v>2565</v>
      </c>
    </row>
    <row r="593" customFormat="false" ht="15" hidden="false" customHeight="false" outlineLevel="0" collapsed="false">
      <c r="A593" s="36" t="s">
        <v>2566</v>
      </c>
    </row>
    <row r="594" customFormat="false" ht="15" hidden="false" customHeight="false" outlineLevel="0" collapsed="false">
      <c r="A594" s="36" t="s">
        <v>2567</v>
      </c>
    </row>
    <row r="595" customFormat="false" ht="15" hidden="false" customHeight="false" outlineLevel="0" collapsed="false">
      <c r="A595" s="36"/>
    </row>
    <row r="596" customFormat="false" ht="15" hidden="false" customHeight="false" outlineLevel="0" collapsed="false">
      <c r="A596" s="36" t="s">
        <v>2568</v>
      </c>
    </row>
    <row r="597" customFormat="false" ht="15" hidden="false" customHeight="false" outlineLevel="0" collapsed="false">
      <c r="A597" s="36" t="s">
        <v>2569</v>
      </c>
    </row>
    <row r="598" customFormat="false" ht="15" hidden="false" customHeight="false" outlineLevel="0" collapsed="false">
      <c r="A598" s="36" t="s">
        <v>2143</v>
      </c>
    </row>
    <row r="599" customFormat="false" ht="15" hidden="false" customHeight="false" outlineLevel="0" collapsed="false">
      <c r="A599" s="36" t="s">
        <v>2550</v>
      </c>
    </row>
    <row r="600" customFormat="false" ht="15" hidden="false" customHeight="false" outlineLevel="0" collapsed="false">
      <c r="A600" s="36" t="s">
        <v>2411</v>
      </c>
    </row>
    <row r="601" customFormat="false" ht="15" hidden="false" customHeight="false" outlineLevel="0" collapsed="false">
      <c r="A601" s="36" t="s">
        <v>2570</v>
      </c>
    </row>
    <row r="602" customFormat="false" ht="15" hidden="false" customHeight="false" outlineLevel="0" collapsed="false">
      <c r="A602" s="36" t="s">
        <v>2571</v>
      </c>
    </row>
    <row r="603" customFormat="false" ht="15" hidden="false" customHeight="false" outlineLevel="0" collapsed="false">
      <c r="A603" s="36" t="s">
        <v>2151</v>
      </c>
    </row>
    <row r="604" customFormat="false" ht="15" hidden="false" customHeight="false" outlineLevel="0" collapsed="false">
      <c r="A604" s="36" t="s">
        <v>2152</v>
      </c>
    </row>
    <row r="605" customFormat="false" ht="15" hidden="false" customHeight="false" outlineLevel="0" collapsed="false">
      <c r="A605" s="36" t="s">
        <v>2153</v>
      </c>
    </row>
    <row r="606" customFormat="false" ht="15" hidden="false" customHeight="false" outlineLevel="0" collapsed="false">
      <c r="A606" s="36" t="s">
        <v>2154</v>
      </c>
    </row>
    <row r="607" customFormat="false" ht="15" hidden="false" customHeight="false" outlineLevel="0" collapsed="false">
      <c r="A607" s="36" t="s">
        <v>2155</v>
      </c>
    </row>
    <row r="608" customFormat="false" ht="15" hidden="false" customHeight="false" outlineLevel="0" collapsed="false">
      <c r="A608" s="36" t="s">
        <v>2156</v>
      </c>
    </row>
    <row r="609" customFormat="false" ht="15" hidden="false" customHeight="false" outlineLevel="0" collapsed="false">
      <c r="A609" s="36" t="s">
        <v>2572</v>
      </c>
    </row>
    <row r="610" customFormat="false" ht="15" hidden="false" customHeight="false" outlineLevel="0" collapsed="false">
      <c r="A610" s="36" t="s">
        <v>2573</v>
      </c>
    </row>
    <row r="611" customFormat="false" ht="15" hidden="false" customHeight="false" outlineLevel="0" collapsed="false">
      <c r="A611" s="36" t="s">
        <v>2574</v>
      </c>
    </row>
    <row r="612" customFormat="false" ht="15" hidden="false" customHeight="false" outlineLevel="0" collapsed="false">
      <c r="A612" s="36" t="s">
        <v>2575</v>
      </c>
    </row>
    <row r="613" customFormat="false" ht="15" hidden="false" customHeight="false" outlineLevel="0" collapsed="false">
      <c r="A613" s="36" t="s">
        <v>2576</v>
      </c>
    </row>
    <row r="614" customFormat="false" ht="15" hidden="false" customHeight="false" outlineLevel="0" collapsed="false">
      <c r="A614" s="36" t="s">
        <v>2577</v>
      </c>
    </row>
    <row r="615" customFormat="false" ht="15" hidden="false" customHeight="false" outlineLevel="0" collapsed="false">
      <c r="A615" s="36" t="s">
        <v>2578</v>
      </c>
    </row>
    <row r="616" customFormat="false" ht="15" hidden="false" customHeight="false" outlineLevel="0" collapsed="false">
      <c r="A616" s="36" t="s">
        <v>2579</v>
      </c>
    </row>
    <row r="617" customFormat="false" ht="15" hidden="false" customHeight="false" outlineLevel="0" collapsed="false">
      <c r="A617" s="36" t="s">
        <v>2580</v>
      </c>
    </row>
    <row r="618" customFormat="false" ht="15" hidden="false" customHeight="false" outlineLevel="0" collapsed="false">
      <c r="A618" s="36" t="s">
        <v>2581</v>
      </c>
    </row>
    <row r="619" customFormat="false" ht="15" hidden="false" customHeight="false" outlineLevel="0" collapsed="false">
      <c r="A619" s="36" t="s">
        <v>2582</v>
      </c>
    </row>
    <row r="620" customFormat="false" ht="15" hidden="false" customHeight="false" outlineLevel="0" collapsed="false">
      <c r="A620" s="36"/>
    </row>
    <row r="621" customFormat="false" ht="15" hidden="false" customHeight="false" outlineLevel="0" collapsed="false">
      <c r="A621" s="36" t="s">
        <v>2583</v>
      </c>
    </row>
    <row r="622" customFormat="false" ht="15" hidden="false" customHeight="false" outlineLevel="0" collapsed="false">
      <c r="A622" s="36" t="s">
        <v>2584</v>
      </c>
    </row>
    <row r="623" customFormat="false" ht="15" hidden="false" customHeight="false" outlineLevel="0" collapsed="false">
      <c r="A623" s="36" t="s">
        <v>2143</v>
      </c>
    </row>
    <row r="624" customFormat="false" ht="15" hidden="false" customHeight="false" outlineLevel="0" collapsed="false">
      <c r="A624" s="36" t="s">
        <v>2585</v>
      </c>
    </row>
    <row r="625" customFormat="false" ht="15" hidden="false" customHeight="false" outlineLevel="0" collapsed="false">
      <c r="A625" s="36" t="s">
        <v>2586</v>
      </c>
    </row>
    <row r="626" customFormat="false" ht="15" hidden="false" customHeight="false" outlineLevel="0" collapsed="false">
      <c r="A626" s="36" t="s">
        <v>2550</v>
      </c>
    </row>
    <row r="627" customFormat="false" ht="15" hidden="false" customHeight="false" outlineLevel="0" collapsed="false">
      <c r="A627" s="36" t="s">
        <v>2411</v>
      </c>
    </row>
    <row r="628" customFormat="false" ht="15" hidden="false" customHeight="false" outlineLevel="0" collapsed="false">
      <c r="A628" s="36" t="s">
        <v>2430</v>
      </c>
    </row>
    <row r="629" customFormat="false" ht="15" hidden="false" customHeight="false" outlineLevel="0" collapsed="false">
      <c r="A629" s="36" t="s">
        <v>2587</v>
      </c>
    </row>
    <row r="630" customFormat="false" ht="15" hidden="false" customHeight="false" outlineLevel="0" collapsed="false">
      <c r="A630" s="36" t="s">
        <v>2588</v>
      </c>
    </row>
    <row r="631" customFormat="false" ht="15" hidden="false" customHeight="false" outlineLevel="0" collapsed="false">
      <c r="A631" s="36" t="s">
        <v>2553</v>
      </c>
    </row>
    <row r="632" customFormat="false" ht="15" hidden="false" customHeight="false" outlineLevel="0" collapsed="false">
      <c r="A632" s="36" t="s">
        <v>2151</v>
      </c>
    </row>
    <row r="633" customFormat="false" ht="15" hidden="false" customHeight="false" outlineLevel="0" collapsed="false">
      <c r="A633" s="36" t="s">
        <v>2314</v>
      </c>
    </row>
    <row r="634" customFormat="false" ht="15" hidden="false" customHeight="false" outlineLevel="0" collapsed="false">
      <c r="A634" s="36" t="s">
        <v>2156</v>
      </c>
    </row>
    <row r="635" customFormat="false" ht="15" hidden="false" customHeight="false" outlineLevel="0" collapsed="false">
      <c r="A635" s="36" t="s">
        <v>2589</v>
      </c>
    </row>
    <row r="636" customFormat="false" ht="15" hidden="false" customHeight="false" outlineLevel="0" collapsed="false">
      <c r="A636" s="36" t="s">
        <v>2590</v>
      </c>
    </row>
    <row r="637" customFormat="false" ht="15" hidden="false" customHeight="false" outlineLevel="0" collapsed="false">
      <c r="A637" s="36" t="s">
        <v>2591</v>
      </c>
    </row>
    <row r="638" customFormat="false" ht="15" hidden="false" customHeight="false" outlineLevel="0" collapsed="false">
      <c r="A638" s="36" t="s">
        <v>2592</v>
      </c>
    </row>
    <row r="639" customFormat="false" ht="15" hidden="false" customHeight="false" outlineLevel="0" collapsed="false">
      <c r="A639" s="36" t="s">
        <v>2593</v>
      </c>
    </row>
    <row r="640" customFormat="false" ht="15" hidden="false" customHeight="false" outlineLevel="0" collapsed="false">
      <c r="A640" s="36" t="s">
        <v>2594</v>
      </c>
    </row>
    <row r="641" customFormat="false" ht="15" hidden="false" customHeight="false" outlineLevel="0" collapsed="false">
      <c r="A641" s="36" t="s">
        <v>2595</v>
      </c>
    </row>
    <row r="642" customFormat="false" ht="15" hidden="false" customHeight="false" outlineLevel="0" collapsed="false">
      <c r="A642" s="36" t="s">
        <v>2596</v>
      </c>
    </row>
    <row r="643" customFormat="false" ht="15" hidden="false" customHeight="false" outlineLevel="0" collapsed="false">
      <c r="A643" s="36" t="s">
        <v>2597</v>
      </c>
    </row>
    <row r="644" customFormat="false" ht="15" hidden="false" customHeight="false" outlineLevel="0" collapsed="false">
      <c r="A644" s="36" t="s">
        <v>2598</v>
      </c>
    </row>
    <row r="645" customFormat="false" ht="15" hidden="false" customHeight="false" outlineLevel="0" collapsed="false">
      <c r="A645" s="36" t="s">
        <v>2599</v>
      </c>
    </row>
    <row r="646" customFormat="false" ht="15" hidden="false" customHeight="false" outlineLevel="0" collapsed="false">
      <c r="A646" s="36" t="s">
        <v>2600</v>
      </c>
    </row>
    <row r="647" customFormat="false" ht="15" hidden="false" customHeight="false" outlineLevel="0" collapsed="false">
      <c r="A647" s="36"/>
    </row>
    <row r="648" customFormat="false" ht="15" hidden="false" customHeight="false" outlineLevel="0" collapsed="false">
      <c r="A648" s="36" t="s">
        <v>2601</v>
      </c>
    </row>
    <row r="649" customFormat="false" ht="15" hidden="false" customHeight="false" outlineLevel="0" collapsed="false">
      <c r="A649" s="36" t="s">
        <v>2602</v>
      </c>
    </row>
    <row r="650" customFormat="false" ht="15" hidden="false" customHeight="false" outlineLevel="0" collapsed="false">
      <c r="A650" s="36" t="s">
        <v>2143</v>
      </c>
    </row>
    <row r="651" customFormat="false" ht="15" hidden="false" customHeight="false" outlineLevel="0" collapsed="false">
      <c r="A651" s="36" t="s">
        <v>2603</v>
      </c>
    </row>
    <row r="652" customFormat="false" ht="15" hidden="false" customHeight="false" outlineLevel="0" collapsed="false">
      <c r="A652" s="36" t="s">
        <v>2428</v>
      </c>
    </row>
    <row r="653" customFormat="false" ht="15" hidden="false" customHeight="false" outlineLevel="0" collapsed="false">
      <c r="A653" s="36" t="s">
        <v>2429</v>
      </c>
    </row>
    <row r="654" customFormat="false" ht="15" hidden="false" customHeight="false" outlineLevel="0" collapsed="false">
      <c r="A654" s="36" t="s">
        <v>2430</v>
      </c>
    </row>
    <row r="655" customFormat="false" ht="15" hidden="false" customHeight="false" outlineLevel="0" collapsed="false">
      <c r="A655" s="36" t="s">
        <v>2431</v>
      </c>
    </row>
    <row r="656" customFormat="false" ht="15" hidden="false" customHeight="false" outlineLevel="0" collapsed="false">
      <c r="A656" s="36" t="s">
        <v>2604</v>
      </c>
    </row>
    <row r="657" customFormat="false" ht="15" hidden="false" customHeight="false" outlineLevel="0" collapsed="false">
      <c r="A657" s="36" t="s">
        <v>2151</v>
      </c>
    </row>
    <row r="658" customFormat="false" ht="15" hidden="false" customHeight="false" outlineLevel="0" collapsed="false">
      <c r="A658" s="36" t="s">
        <v>2152</v>
      </c>
    </row>
    <row r="659" customFormat="false" ht="15" hidden="false" customHeight="false" outlineLevel="0" collapsed="false">
      <c r="A659" s="36" t="s">
        <v>2153</v>
      </c>
    </row>
    <row r="660" customFormat="false" ht="15" hidden="false" customHeight="false" outlineLevel="0" collapsed="false">
      <c r="A660" s="36" t="s">
        <v>2154</v>
      </c>
    </row>
    <row r="661" customFormat="false" ht="15" hidden="false" customHeight="false" outlineLevel="0" collapsed="false">
      <c r="A661" s="36" t="s">
        <v>2155</v>
      </c>
    </row>
    <row r="662" customFormat="false" ht="15" hidden="false" customHeight="false" outlineLevel="0" collapsed="false">
      <c r="A662" s="36" t="s">
        <v>2156</v>
      </c>
    </row>
    <row r="663" customFormat="false" ht="15" hidden="false" customHeight="false" outlineLevel="0" collapsed="false">
      <c r="A663" s="36" t="s">
        <v>2605</v>
      </c>
    </row>
    <row r="664" customFormat="false" ht="15" hidden="false" customHeight="false" outlineLevel="0" collapsed="false">
      <c r="A664" s="36" t="s">
        <v>2606</v>
      </c>
    </row>
    <row r="665" customFormat="false" ht="15" hidden="false" customHeight="false" outlineLevel="0" collapsed="false">
      <c r="A665" s="36" t="s">
        <v>2607</v>
      </c>
    </row>
    <row r="666" customFormat="false" ht="15" hidden="false" customHeight="false" outlineLevel="0" collapsed="false">
      <c r="A666" s="36" t="s">
        <v>2608</v>
      </c>
    </row>
    <row r="667" customFormat="false" ht="15" hidden="false" customHeight="false" outlineLevel="0" collapsed="false">
      <c r="A667" s="36" t="s">
        <v>2609</v>
      </c>
    </row>
    <row r="668" customFormat="false" ht="15" hidden="false" customHeight="false" outlineLevel="0" collapsed="false">
      <c r="A668" s="36" t="s">
        <v>2610</v>
      </c>
    </row>
    <row r="669" customFormat="false" ht="15" hidden="false" customHeight="false" outlineLevel="0" collapsed="false">
      <c r="A669" s="36" t="s">
        <v>2611</v>
      </c>
    </row>
    <row r="670" customFormat="false" ht="15" hidden="false" customHeight="false" outlineLevel="0" collapsed="false">
      <c r="A670" s="36" t="s">
        <v>2612</v>
      </c>
    </row>
    <row r="671" customFormat="false" ht="15" hidden="false" customHeight="false" outlineLevel="0" collapsed="false">
      <c r="A671" s="36" t="s">
        <v>2613</v>
      </c>
    </row>
    <row r="672" customFormat="false" ht="15" hidden="false" customHeight="false" outlineLevel="0" collapsed="false">
      <c r="A672" s="36" t="s">
        <v>2614</v>
      </c>
    </row>
    <row r="673" customFormat="false" ht="15" hidden="false" customHeight="false" outlineLevel="0" collapsed="false">
      <c r="A673" s="36" t="s">
        <v>2615</v>
      </c>
    </row>
    <row r="674" customFormat="false" ht="15" hidden="false" customHeight="false" outlineLevel="0" collapsed="false">
      <c r="A674" s="36" t="s">
        <v>2616</v>
      </c>
    </row>
    <row r="675" customFormat="false" ht="15" hidden="false" customHeight="false" outlineLevel="0" collapsed="false">
      <c r="A675" s="36" t="s">
        <v>2617</v>
      </c>
    </row>
    <row r="676" customFormat="false" ht="15" hidden="false" customHeight="false" outlineLevel="0" collapsed="false">
      <c r="A676" s="36"/>
    </row>
    <row r="677" customFormat="false" ht="15" hidden="false" customHeight="false" outlineLevel="0" collapsed="false">
      <c r="A677" s="36" t="s">
        <v>2618</v>
      </c>
    </row>
    <row r="678" customFormat="false" ht="15" hidden="false" customHeight="false" outlineLevel="0" collapsed="false">
      <c r="A678" s="36" t="s">
        <v>2619</v>
      </c>
    </row>
    <row r="679" customFormat="false" ht="15" hidden="false" customHeight="false" outlineLevel="0" collapsed="false">
      <c r="A679" s="36" t="s">
        <v>2143</v>
      </c>
    </row>
    <row r="680" customFormat="false" ht="15" hidden="false" customHeight="false" outlineLevel="0" collapsed="false">
      <c r="A680" s="36" t="s">
        <v>2620</v>
      </c>
    </row>
    <row r="681" customFormat="false" ht="15" hidden="false" customHeight="false" outlineLevel="0" collapsed="false">
      <c r="A681" s="36" t="s">
        <v>2603</v>
      </c>
    </row>
    <row r="682" customFormat="false" ht="15" hidden="false" customHeight="false" outlineLevel="0" collapsed="false">
      <c r="A682" s="36" t="s">
        <v>2366</v>
      </c>
    </row>
    <row r="683" customFormat="false" ht="15" hidden="false" customHeight="false" outlineLevel="0" collapsed="false">
      <c r="A683" s="36" t="s">
        <v>2500</v>
      </c>
    </row>
    <row r="684" customFormat="false" ht="15" hidden="false" customHeight="false" outlineLevel="0" collapsed="false">
      <c r="A684" s="36" t="s">
        <v>2621</v>
      </c>
    </row>
    <row r="685" customFormat="false" ht="15" hidden="false" customHeight="false" outlineLevel="0" collapsed="false">
      <c r="A685" s="36" t="s">
        <v>2622</v>
      </c>
    </row>
    <row r="686" customFormat="false" ht="15" hidden="false" customHeight="false" outlineLevel="0" collapsed="false">
      <c r="A686" s="36" t="s">
        <v>2623</v>
      </c>
    </row>
    <row r="687" customFormat="false" ht="15" hidden="false" customHeight="false" outlineLevel="0" collapsed="false">
      <c r="A687" s="36" t="s">
        <v>2624</v>
      </c>
    </row>
    <row r="688" customFormat="false" ht="15" hidden="false" customHeight="false" outlineLevel="0" collapsed="false">
      <c r="A688" s="36" t="s">
        <v>2151</v>
      </c>
    </row>
    <row r="689" customFormat="false" ht="15" hidden="false" customHeight="false" outlineLevel="0" collapsed="false">
      <c r="A689" s="36" t="s">
        <v>2152</v>
      </c>
    </row>
    <row r="690" customFormat="false" ht="15" hidden="false" customHeight="false" outlineLevel="0" collapsed="false">
      <c r="A690" s="36" t="s">
        <v>2153</v>
      </c>
    </row>
    <row r="691" customFormat="false" ht="15" hidden="false" customHeight="false" outlineLevel="0" collapsed="false">
      <c r="A691" s="36" t="s">
        <v>2154</v>
      </c>
    </row>
    <row r="692" customFormat="false" ht="15" hidden="false" customHeight="false" outlineLevel="0" collapsed="false">
      <c r="A692" s="36" t="s">
        <v>2155</v>
      </c>
    </row>
    <row r="693" customFormat="false" ht="15" hidden="false" customHeight="false" outlineLevel="0" collapsed="false">
      <c r="A693" s="36" t="s">
        <v>2156</v>
      </c>
    </row>
    <row r="694" customFormat="false" ht="15" hidden="false" customHeight="false" outlineLevel="0" collapsed="false">
      <c r="A694" s="36" t="s">
        <v>2625</v>
      </c>
    </row>
    <row r="695" customFormat="false" ht="15" hidden="false" customHeight="false" outlineLevel="0" collapsed="false">
      <c r="A695" s="36" t="s">
        <v>2626</v>
      </c>
    </row>
    <row r="696" customFormat="false" ht="15" hidden="false" customHeight="false" outlineLevel="0" collapsed="false">
      <c r="A696" s="36" t="s">
        <v>2627</v>
      </c>
    </row>
    <row r="697" customFormat="false" ht="15" hidden="false" customHeight="false" outlineLevel="0" collapsed="false">
      <c r="A697" s="36" t="s">
        <v>2628</v>
      </c>
    </row>
    <row r="698" customFormat="false" ht="15" hidden="false" customHeight="false" outlineLevel="0" collapsed="false">
      <c r="A698" s="36" t="s">
        <v>2629</v>
      </c>
    </row>
    <row r="699" customFormat="false" ht="15" hidden="false" customHeight="false" outlineLevel="0" collapsed="false">
      <c r="A699" s="36" t="s">
        <v>2630</v>
      </c>
    </row>
    <row r="700" customFormat="false" ht="15" hidden="false" customHeight="false" outlineLevel="0" collapsed="false">
      <c r="A700" s="36" t="s">
        <v>2631</v>
      </c>
    </row>
    <row r="701" customFormat="false" ht="15" hidden="false" customHeight="false" outlineLevel="0" collapsed="false">
      <c r="A701" s="36" t="s">
        <v>2632</v>
      </c>
    </row>
    <row r="702" customFormat="false" ht="15" hidden="false" customHeight="false" outlineLevel="0" collapsed="false">
      <c r="A702" s="36" t="s">
        <v>2633</v>
      </c>
    </row>
    <row r="703" customFormat="false" ht="15" hidden="false" customHeight="false" outlineLevel="0" collapsed="false">
      <c r="A703" s="36" t="s">
        <v>2634</v>
      </c>
    </row>
    <row r="704" customFormat="false" ht="15" hidden="false" customHeight="false" outlineLevel="0" collapsed="false">
      <c r="A704" s="36" t="s">
        <v>2635</v>
      </c>
    </row>
    <row r="705" customFormat="false" ht="15" hidden="false" customHeight="false" outlineLevel="0" collapsed="false">
      <c r="A705" s="36" t="s">
        <v>2636</v>
      </c>
    </row>
    <row r="706" customFormat="false" ht="15" hidden="false" customHeight="false" outlineLevel="0" collapsed="false">
      <c r="A706" s="36" t="s">
        <v>2637</v>
      </c>
    </row>
    <row r="707" customFormat="false" ht="15" hidden="false" customHeight="false" outlineLevel="0" collapsed="false">
      <c r="A707" s="36" t="s">
        <v>2638</v>
      </c>
    </row>
    <row r="708" customFormat="false" ht="15" hidden="false" customHeight="false" outlineLevel="0" collapsed="false">
      <c r="A708" s="36" t="s">
        <v>2639</v>
      </c>
    </row>
    <row r="709" customFormat="false" ht="15" hidden="false" customHeight="false" outlineLevel="0" collapsed="false">
      <c r="A709" s="36"/>
    </row>
    <row r="710" customFormat="false" ht="15" hidden="false" customHeight="false" outlineLevel="0" collapsed="false">
      <c r="A710" s="36" t="s">
        <v>2640</v>
      </c>
    </row>
    <row r="711" customFormat="false" ht="15" hidden="false" customHeight="false" outlineLevel="0" collapsed="false">
      <c r="A711" s="36" t="s">
        <v>2641</v>
      </c>
    </row>
    <row r="712" customFormat="false" ht="15" hidden="false" customHeight="false" outlineLevel="0" collapsed="false">
      <c r="A712" s="36" t="s">
        <v>2143</v>
      </c>
    </row>
    <row r="713" customFormat="false" ht="15" hidden="false" customHeight="false" outlineLevel="0" collapsed="false">
      <c r="A713" s="36" t="s">
        <v>2642</v>
      </c>
    </row>
    <row r="714" customFormat="false" ht="15" hidden="false" customHeight="false" outlineLevel="0" collapsed="false">
      <c r="A714" s="36" t="s">
        <v>2550</v>
      </c>
    </row>
    <row r="715" customFormat="false" ht="15" hidden="false" customHeight="false" outlineLevel="0" collapsed="false">
      <c r="A715" s="36" t="s">
        <v>2151</v>
      </c>
    </row>
    <row r="716" customFormat="false" ht="15" hidden="false" customHeight="false" outlineLevel="0" collapsed="false">
      <c r="A716" s="36" t="s">
        <v>2152</v>
      </c>
    </row>
    <row r="717" customFormat="false" ht="15" hidden="false" customHeight="false" outlineLevel="0" collapsed="false">
      <c r="A717" s="36" t="s">
        <v>2153</v>
      </c>
    </row>
    <row r="718" customFormat="false" ht="15" hidden="false" customHeight="false" outlineLevel="0" collapsed="false">
      <c r="A718" s="36" t="s">
        <v>2154</v>
      </c>
    </row>
    <row r="719" customFormat="false" ht="15" hidden="false" customHeight="false" outlineLevel="0" collapsed="false">
      <c r="A719" s="36" t="s">
        <v>2155</v>
      </c>
    </row>
    <row r="720" customFormat="false" ht="15" hidden="false" customHeight="false" outlineLevel="0" collapsed="false">
      <c r="A720" s="36" t="s">
        <v>2156</v>
      </c>
    </row>
    <row r="721" customFormat="false" ht="15" hidden="false" customHeight="false" outlineLevel="0" collapsed="false">
      <c r="A721" s="36" t="s">
        <v>2643</v>
      </c>
    </row>
    <row r="722" customFormat="false" ht="15" hidden="false" customHeight="false" outlineLevel="0" collapsed="false">
      <c r="A722" s="36" t="s">
        <v>2644</v>
      </c>
    </row>
    <row r="723" customFormat="false" ht="15" hidden="false" customHeight="false" outlineLevel="0" collapsed="false">
      <c r="A723" s="36" t="s">
        <v>2645</v>
      </c>
    </row>
    <row r="724" customFormat="false" ht="15" hidden="false" customHeight="false" outlineLevel="0" collapsed="false">
      <c r="A724" s="36" t="s">
        <v>2646</v>
      </c>
    </row>
    <row r="725" customFormat="false" ht="15" hidden="false" customHeight="false" outlineLevel="0" collapsed="false">
      <c r="A725" s="36" t="s">
        <v>2647</v>
      </c>
    </row>
    <row r="726" customFormat="false" ht="15" hidden="false" customHeight="false" outlineLevel="0" collapsed="false">
      <c r="A726" s="36" t="s">
        <v>2648</v>
      </c>
    </row>
    <row r="727" customFormat="false" ht="15" hidden="false" customHeight="false" outlineLevel="0" collapsed="false">
      <c r="A727" s="36" t="s">
        <v>2649</v>
      </c>
    </row>
    <row r="728" customFormat="false" ht="15" hidden="false" customHeight="false" outlineLevel="0" collapsed="false">
      <c r="A728" s="36" t="s">
        <v>2650</v>
      </c>
    </row>
    <row r="729" customFormat="false" ht="15" hidden="false" customHeight="false" outlineLevel="0" collapsed="false">
      <c r="A729" s="36" t="s">
        <v>2651</v>
      </c>
    </row>
    <row r="730" customFormat="false" ht="15" hidden="false" customHeight="false" outlineLevel="0" collapsed="false">
      <c r="A730" s="36"/>
    </row>
    <row r="731" customFormat="false" ht="15" hidden="false" customHeight="false" outlineLevel="0" collapsed="false">
      <c r="A731" s="36" t="s">
        <v>2652</v>
      </c>
    </row>
    <row r="732" customFormat="false" ht="15" hidden="false" customHeight="false" outlineLevel="0" collapsed="false">
      <c r="A732" s="36" t="s">
        <v>2653</v>
      </c>
    </row>
    <row r="733" customFormat="false" ht="15" hidden="false" customHeight="false" outlineLevel="0" collapsed="false">
      <c r="A733" s="36" t="s">
        <v>2143</v>
      </c>
    </row>
    <row r="734" customFormat="false" ht="15" hidden="false" customHeight="false" outlineLevel="0" collapsed="false">
      <c r="A734" s="36" t="s">
        <v>2642</v>
      </c>
    </row>
    <row r="735" customFormat="false" ht="15" hidden="false" customHeight="false" outlineLevel="0" collapsed="false">
      <c r="A735" s="36" t="s">
        <v>2366</v>
      </c>
    </row>
    <row r="736" customFormat="false" ht="15" hidden="false" customHeight="false" outlineLevel="0" collapsed="false">
      <c r="A736" s="36" t="s">
        <v>2500</v>
      </c>
    </row>
    <row r="737" customFormat="false" ht="15" hidden="false" customHeight="false" outlineLevel="0" collapsed="false">
      <c r="A737" s="36" t="s">
        <v>2550</v>
      </c>
    </row>
    <row r="738" customFormat="false" ht="15" hidden="false" customHeight="false" outlineLevel="0" collapsed="false">
      <c r="A738" s="36" t="s">
        <v>2654</v>
      </c>
    </row>
    <row r="739" customFormat="false" ht="15" hidden="false" customHeight="false" outlineLevel="0" collapsed="false">
      <c r="A739" s="36" t="s">
        <v>2655</v>
      </c>
    </row>
    <row r="740" customFormat="false" ht="15" hidden="false" customHeight="false" outlineLevel="0" collapsed="false">
      <c r="A740" s="36" t="s">
        <v>2656</v>
      </c>
    </row>
    <row r="741" customFormat="false" ht="15" hidden="false" customHeight="false" outlineLevel="0" collapsed="false">
      <c r="A741" s="36" t="s">
        <v>2657</v>
      </c>
    </row>
    <row r="742" customFormat="false" ht="15" hidden="false" customHeight="false" outlineLevel="0" collapsed="false">
      <c r="A742" s="36" t="s">
        <v>2658</v>
      </c>
    </row>
    <row r="743" customFormat="false" ht="15" hidden="false" customHeight="false" outlineLevel="0" collapsed="false">
      <c r="A743" s="36" t="s">
        <v>2659</v>
      </c>
    </row>
    <row r="744" customFormat="false" ht="15" hidden="false" customHeight="false" outlineLevel="0" collapsed="false">
      <c r="A744" s="36" t="s">
        <v>2660</v>
      </c>
    </row>
    <row r="745" customFormat="false" ht="15" hidden="false" customHeight="false" outlineLevel="0" collapsed="false">
      <c r="A745" s="36" t="s">
        <v>2151</v>
      </c>
    </row>
    <row r="746" customFormat="false" ht="15" hidden="false" customHeight="false" outlineLevel="0" collapsed="false">
      <c r="A746" s="36" t="s">
        <v>2152</v>
      </c>
    </row>
    <row r="747" customFormat="false" ht="15" hidden="false" customHeight="false" outlineLevel="0" collapsed="false">
      <c r="A747" s="36" t="s">
        <v>2153</v>
      </c>
    </row>
    <row r="748" customFormat="false" ht="15" hidden="false" customHeight="false" outlineLevel="0" collapsed="false">
      <c r="A748" s="36" t="s">
        <v>2154</v>
      </c>
    </row>
    <row r="749" customFormat="false" ht="15" hidden="false" customHeight="false" outlineLevel="0" collapsed="false">
      <c r="A749" s="36" t="s">
        <v>2155</v>
      </c>
    </row>
    <row r="750" customFormat="false" ht="15" hidden="false" customHeight="false" outlineLevel="0" collapsed="false">
      <c r="A750" s="36" t="s">
        <v>2156</v>
      </c>
    </row>
    <row r="751" customFormat="false" ht="15" hidden="false" customHeight="false" outlineLevel="0" collapsed="false">
      <c r="A751" s="36" t="s">
        <v>2661</v>
      </c>
    </row>
    <row r="752" customFormat="false" ht="15" hidden="false" customHeight="false" outlineLevel="0" collapsed="false">
      <c r="A752" s="36" t="s">
        <v>2662</v>
      </c>
    </row>
    <row r="753" customFormat="false" ht="15" hidden="false" customHeight="false" outlineLevel="0" collapsed="false">
      <c r="A753" s="36" t="s">
        <v>2663</v>
      </c>
    </row>
    <row r="754" customFormat="false" ht="15" hidden="false" customHeight="false" outlineLevel="0" collapsed="false">
      <c r="A754" s="36" t="s">
        <v>2664</v>
      </c>
    </row>
    <row r="755" customFormat="false" ht="15" hidden="false" customHeight="false" outlineLevel="0" collapsed="false">
      <c r="A755" s="36" t="s">
        <v>2665</v>
      </c>
    </row>
    <row r="756" customFormat="false" ht="15" hidden="false" customHeight="false" outlineLevel="0" collapsed="false">
      <c r="A756" s="36" t="s">
        <v>2666</v>
      </c>
    </row>
    <row r="757" customFormat="false" ht="15" hidden="false" customHeight="false" outlineLevel="0" collapsed="false">
      <c r="A757" s="36" t="s">
        <v>2667</v>
      </c>
    </row>
    <row r="758" customFormat="false" ht="15" hidden="false" customHeight="false" outlineLevel="0" collapsed="false">
      <c r="A758" s="36" t="s">
        <v>2668</v>
      </c>
    </row>
    <row r="759" customFormat="false" ht="15" hidden="false" customHeight="false" outlineLevel="0" collapsed="false">
      <c r="A759" s="36" t="s">
        <v>2669</v>
      </c>
    </row>
    <row r="760" customFormat="false" ht="15" hidden="false" customHeight="false" outlineLevel="0" collapsed="false">
      <c r="A760" s="36" t="s">
        <v>2670</v>
      </c>
    </row>
    <row r="761" customFormat="false" ht="15" hidden="false" customHeight="false" outlineLevel="0" collapsed="false">
      <c r="A761" s="36" t="s">
        <v>2671</v>
      </c>
    </row>
    <row r="762" customFormat="false" ht="15" hidden="false" customHeight="false" outlineLevel="0" collapsed="false">
      <c r="A762" s="36" t="s">
        <v>2672</v>
      </c>
    </row>
    <row r="763" customFormat="false" ht="15" hidden="false" customHeight="false" outlineLevel="0" collapsed="false">
      <c r="A763" s="36" t="s">
        <v>2673</v>
      </c>
    </row>
    <row r="764" customFormat="false" ht="15" hidden="false" customHeight="false" outlineLevel="0" collapsed="false">
      <c r="A764" s="36" t="s">
        <v>2674</v>
      </c>
    </row>
    <row r="765" customFormat="false" ht="15" hidden="false" customHeight="false" outlineLevel="0" collapsed="false">
      <c r="A765" s="36" t="s">
        <v>2675</v>
      </c>
    </row>
    <row r="766" customFormat="false" ht="15" hidden="false" customHeight="false" outlineLevel="0" collapsed="false">
      <c r="A766" s="36" t="s">
        <v>2676</v>
      </c>
    </row>
    <row r="767" customFormat="false" ht="15" hidden="false" customHeight="false" outlineLevel="0" collapsed="false">
      <c r="A767" s="36" t="s">
        <v>2677</v>
      </c>
    </row>
    <row r="768" customFormat="false" ht="15" hidden="false" customHeight="false" outlineLevel="0" collapsed="false">
      <c r="A768" s="36" t="s">
        <v>2678</v>
      </c>
    </row>
    <row r="769" customFormat="false" ht="15" hidden="false" customHeight="false" outlineLevel="0" collapsed="false">
      <c r="A769" s="36"/>
    </row>
    <row r="770" customFormat="false" ht="15" hidden="false" customHeight="false" outlineLevel="0" collapsed="false">
      <c r="A770" s="36" t="s">
        <v>2679</v>
      </c>
    </row>
    <row r="771" customFormat="false" ht="15" hidden="false" customHeight="false" outlineLevel="0" collapsed="false">
      <c r="A771" s="36" t="s">
        <v>2680</v>
      </c>
    </row>
    <row r="772" customFormat="false" ht="15" hidden="false" customHeight="false" outlineLevel="0" collapsed="false">
      <c r="A772" s="36" t="s">
        <v>2143</v>
      </c>
    </row>
    <row r="773" customFormat="false" ht="15" hidden="false" customHeight="false" outlineLevel="0" collapsed="false">
      <c r="A773" s="36" t="s">
        <v>2681</v>
      </c>
    </row>
    <row r="774" customFormat="false" ht="15" hidden="false" customHeight="false" outlineLevel="0" collapsed="false">
      <c r="A774" s="36" t="s">
        <v>2682</v>
      </c>
    </row>
    <row r="775" customFormat="false" ht="15" hidden="false" customHeight="false" outlineLevel="0" collapsed="false">
      <c r="A775" s="36" t="s">
        <v>2429</v>
      </c>
    </row>
    <row r="776" customFormat="false" ht="15" hidden="false" customHeight="false" outlineLevel="0" collapsed="false">
      <c r="A776" s="36" t="s">
        <v>2550</v>
      </c>
    </row>
    <row r="777" customFormat="false" ht="15" hidden="false" customHeight="false" outlineLevel="0" collapsed="false">
      <c r="A777" s="36" t="s">
        <v>2411</v>
      </c>
    </row>
    <row r="778" customFormat="false" ht="15" hidden="false" customHeight="false" outlineLevel="0" collapsed="false">
      <c r="A778" s="36" t="s">
        <v>2430</v>
      </c>
    </row>
    <row r="779" customFormat="false" ht="15" hidden="false" customHeight="false" outlineLevel="0" collapsed="false">
      <c r="A779" s="36" t="s">
        <v>2431</v>
      </c>
    </row>
    <row r="780" customFormat="false" ht="15" hidden="false" customHeight="false" outlineLevel="0" collapsed="false">
      <c r="A780" s="36" t="s">
        <v>2683</v>
      </c>
    </row>
    <row r="781" customFormat="false" ht="15" hidden="false" customHeight="false" outlineLevel="0" collapsed="false">
      <c r="A781" s="36" t="s">
        <v>2624</v>
      </c>
    </row>
    <row r="782" customFormat="false" ht="15" hidden="false" customHeight="false" outlineLevel="0" collapsed="false">
      <c r="A782" s="36" t="s">
        <v>2151</v>
      </c>
    </row>
    <row r="783" customFormat="false" ht="15" hidden="false" customHeight="false" outlineLevel="0" collapsed="false">
      <c r="A783" s="36" t="s">
        <v>2152</v>
      </c>
    </row>
    <row r="784" customFormat="false" ht="15" hidden="false" customHeight="false" outlineLevel="0" collapsed="false">
      <c r="A784" s="36" t="s">
        <v>2153</v>
      </c>
    </row>
    <row r="785" customFormat="false" ht="15" hidden="false" customHeight="false" outlineLevel="0" collapsed="false">
      <c r="A785" s="36" t="s">
        <v>2154</v>
      </c>
    </row>
    <row r="786" customFormat="false" ht="15" hidden="false" customHeight="false" outlineLevel="0" collapsed="false">
      <c r="A786" s="36" t="s">
        <v>2155</v>
      </c>
    </row>
    <row r="787" customFormat="false" ht="15" hidden="false" customHeight="false" outlineLevel="0" collapsed="false">
      <c r="A787" s="36" t="s">
        <v>2156</v>
      </c>
    </row>
    <row r="788" customFormat="false" ht="15" hidden="false" customHeight="false" outlineLevel="0" collapsed="false">
      <c r="A788" s="36" t="s">
        <v>2684</v>
      </c>
    </row>
    <row r="789" customFormat="false" ht="15" hidden="false" customHeight="false" outlineLevel="0" collapsed="false">
      <c r="A789" s="36" t="s">
        <v>2685</v>
      </c>
    </row>
    <row r="790" customFormat="false" ht="15" hidden="false" customHeight="false" outlineLevel="0" collapsed="false">
      <c r="A790" s="36" t="s">
        <v>2686</v>
      </c>
    </row>
    <row r="791" customFormat="false" ht="15" hidden="false" customHeight="false" outlineLevel="0" collapsed="false">
      <c r="A791" s="36" t="s">
        <v>2687</v>
      </c>
    </row>
    <row r="792" customFormat="false" ht="15" hidden="false" customHeight="false" outlineLevel="0" collapsed="false">
      <c r="A792" s="36" t="s">
        <v>2688</v>
      </c>
    </row>
    <row r="793" customFormat="false" ht="15" hidden="false" customHeight="false" outlineLevel="0" collapsed="false">
      <c r="A793" s="36" t="s">
        <v>2689</v>
      </c>
    </row>
    <row r="794" customFormat="false" ht="15" hidden="false" customHeight="false" outlineLevel="0" collapsed="false">
      <c r="A794" s="36" t="s">
        <v>2690</v>
      </c>
    </row>
    <row r="795" customFormat="false" ht="15" hidden="false" customHeight="false" outlineLevel="0" collapsed="false">
      <c r="A795" s="36" t="s">
        <v>2691</v>
      </c>
    </row>
    <row r="796" customFormat="false" ht="15" hidden="false" customHeight="false" outlineLevel="0" collapsed="false">
      <c r="A796" s="36" t="s">
        <v>2692</v>
      </c>
    </row>
    <row r="797" customFormat="false" ht="15" hidden="false" customHeight="false" outlineLevel="0" collapsed="false">
      <c r="A797" s="36" t="s">
        <v>2693</v>
      </c>
    </row>
    <row r="798" customFormat="false" ht="15" hidden="false" customHeight="false" outlineLevel="0" collapsed="false">
      <c r="A798" s="36" t="s">
        <v>2694</v>
      </c>
    </row>
    <row r="799" customFormat="false" ht="15" hidden="false" customHeight="false" outlineLevel="0" collapsed="false">
      <c r="A799" s="36" t="s">
        <v>2695</v>
      </c>
    </row>
    <row r="800" customFormat="false" ht="15" hidden="false" customHeight="false" outlineLevel="0" collapsed="false">
      <c r="A800" s="36" t="s">
        <v>2696</v>
      </c>
    </row>
    <row r="801" customFormat="false" ht="15" hidden="false" customHeight="false" outlineLevel="0" collapsed="false">
      <c r="A801" s="36" t="s">
        <v>2697</v>
      </c>
    </row>
    <row r="802" customFormat="false" ht="15" hidden="false" customHeight="false" outlineLevel="0" collapsed="false">
      <c r="A802" s="36" t="s">
        <v>2698</v>
      </c>
    </row>
    <row r="803" customFormat="false" ht="15" hidden="false" customHeight="false" outlineLevel="0" collapsed="false">
      <c r="A803" s="36" t="s">
        <v>2699</v>
      </c>
    </row>
    <row r="804" customFormat="false" ht="15" hidden="false" customHeight="false" outlineLevel="0" collapsed="false">
      <c r="A804" s="36"/>
    </row>
    <row r="805" customFormat="false" ht="15" hidden="false" customHeight="false" outlineLevel="0" collapsed="false">
      <c r="A805" s="36" t="s">
        <v>2700</v>
      </c>
    </row>
    <row r="806" customFormat="false" ht="15" hidden="false" customHeight="false" outlineLevel="0" collapsed="false">
      <c r="A806" s="36" t="s">
        <v>2701</v>
      </c>
    </row>
    <row r="807" customFormat="false" ht="15" hidden="false" customHeight="false" outlineLevel="0" collapsed="false">
      <c r="A807" s="36" t="s">
        <v>2143</v>
      </c>
    </row>
    <row r="808" customFormat="false" ht="15" hidden="false" customHeight="false" outlineLevel="0" collapsed="false">
      <c r="A808" s="36" t="s">
        <v>2702</v>
      </c>
    </row>
    <row r="809" customFormat="false" ht="15" hidden="false" customHeight="false" outlineLevel="0" collapsed="false">
      <c r="A809" s="36" t="s">
        <v>2703</v>
      </c>
    </row>
    <row r="810" customFormat="false" ht="15" hidden="false" customHeight="false" outlineLevel="0" collapsed="false">
      <c r="A810" s="36" t="s">
        <v>2704</v>
      </c>
    </row>
    <row r="811" customFormat="false" ht="15" hidden="false" customHeight="false" outlineLevel="0" collapsed="false">
      <c r="A811" s="36" t="s">
        <v>2705</v>
      </c>
    </row>
    <row r="812" customFormat="false" ht="15" hidden="false" customHeight="false" outlineLevel="0" collapsed="false">
      <c r="A812" s="36" t="s">
        <v>2430</v>
      </c>
    </row>
    <row r="813" customFormat="false" ht="15" hidden="false" customHeight="false" outlineLevel="0" collapsed="false">
      <c r="A813" s="36" t="s">
        <v>2264</v>
      </c>
    </row>
    <row r="814" customFormat="false" ht="15" hidden="false" customHeight="false" outlineLevel="0" collapsed="false">
      <c r="A814" s="36" t="s">
        <v>2706</v>
      </c>
    </row>
    <row r="815" customFormat="false" ht="15" hidden="false" customHeight="false" outlineLevel="0" collapsed="false">
      <c r="A815" s="36" t="s">
        <v>2411</v>
      </c>
    </row>
    <row r="816" customFormat="false" ht="15" hidden="false" customHeight="false" outlineLevel="0" collapsed="false">
      <c r="A816" s="36" t="s">
        <v>2707</v>
      </c>
    </row>
    <row r="817" customFormat="false" ht="15" hidden="false" customHeight="false" outlineLevel="0" collapsed="false">
      <c r="A817" s="36" t="s">
        <v>2708</v>
      </c>
    </row>
    <row r="818" customFormat="false" ht="15" hidden="false" customHeight="false" outlineLevel="0" collapsed="false">
      <c r="A818" s="36" t="s">
        <v>2151</v>
      </c>
    </row>
    <row r="819" customFormat="false" ht="15" hidden="false" customHeight="false" outlineLevel="0" collapsed="false">
      <c r="A819" s="36" t="s">
        <v>2152</v>
      </c>
    </row>
    <row r="820" customFormat="false" ht="15" hidden="false" customHeight="false" outlineLevel="0" collapsed="false">
      <c r="A820" s="36" t="s">
        <v>2153</v>
      </c>
    </row>
    <row r="821" customFormat="false" ht="15" hidden="false" customHeight="false" outlineLevel="0" collapsed="false">
      <c r="A821" s="36" t="s">
        <v>2154</v>
      </c>
    </row>
    <row r="822" customFormat="false" ht="15" hidden="false" customHeight="false" outlineLevel="0" collapsed="false">
      <c r="A822" s="36" t="s">
        <v>2155</v>
      </c>
    </row>
    <row r="823" customFormat="false" ht="15" hidden="false" customHeight="false" outlineLevel="0" collapsed="false">
      <c r="A823" s="36" t="s">
        <v>2156</v>
      </c>
    </row>
    <row r="824" customFormat="false" ht="15" hidden="false" customHeight="false" outlineLevel="0" collapsed="false">
      <c r="A824" s="36" t="s">
        <v>2709</v>
      </c>
    </row>
    <row r="825" customFormat="false" ht="15" hidden="false" customHeight="false" outlineLevel="0" collapsed="false">
      <c r="A825" s="36" t="s">
        <v>2710</v>
      </c>
    </row>
    <row r="826" customFormat="false" ht="15" hidden="false" customHeight="false" outlineLevel="0" collapsed="false">
      <c r="A826" s="36" t="s">
        <v>2711</v>
      </c>
    </row>
    <row r="827" customFormat="false" ht="15" hidden="false" customHeight="false" outlineLevel="0" collapsed="false">
      <c r="A827" s="36" t="s">
        <v>2712</v>
      </c>
    </row>
    <row r="828" customFormat="false" ht="15" hidden="false" customHeight="false" outlineLevel="0" collapsed="false">
      <c r="A828" s="36" t="s">
        <v>2713</v>
      </c>
    </row>
    <row r="829" customFormat="false" ht="15" hidden="false" customHeight="false" outlineLevel="0" collapsed="false">
      <c r="A829" s="36" t="s">
        <v>2714</v>
      </c>
    </row>
    <row r="830" customFormat="false" ht="15" hidden="false" customHeight="false" outlineLevel="0" collapsed="false">
      <c r="A830" s="36" t="s">
        <v>2715</v>
      </c>
    </row>
    <row r="831" customFormat="false" ht="15" hidden="false" customHeight="false" outlineLevel="0" collapsed="false">
      <c r="A831" s="36" t="s">
        <v>2716</v>
      </c>
    </row>
    <row r="832" customFormat="false" ht="15" hidden="false" customHeight="false" outlineLevel="0" collapsed="false">
      <c r="A832" s="36" t="s">
        <v>2717</v>
      </c>
    </row>
    <row r="833" customFormat="false" ht="15" hidden="false" customHeight="false" outlineLevel="0" collapsed="false">
      <c r="A833" s="36" t="s">
        <v>2718</v>
      </c>
    </row>
    <row r="834" customFormat="false" ht="15" hidden="false" customHeight="false" outlineLevel="0" collapsed="false">
      <c r="A834" s="36" t="s">
        <v>2719</v>
      </c>
    </row>
    <row r="835" customFormat="false" ht="15" hidden="false" customHeight="false" outlineLevel="0" collapsed="false">
      <c r="A835" s="36" t="s">
        <v>2720</v>
      </c>
    </row>
    <row r="836" customFormat="false" ht="15" hidden="false" customHeight="false" outlineLevel="0" collapsed="false">
      <c r="A836" s="36" t="s">
        <v>2721</v>
      </c>
    </row>
    <row r="837" customFormat="false" ht="15" hidden="false" customHeight="false" outlineLevel="0" collapsed="false">
      <c r="A837" s="36" t="s">
        <v>2722</v>
      </c>
    </row>
    <row r="838" customFormat="false" ht="15" hidden="false" customHeight="false" outlineLevel="0" collapsed="false">
      <c r="A838" s="36" t="s">
        <v>2723</v>
      </c>
    </row>
    <row r="839" customFormat="false" ht="15" hidden="false" customHeight="false" outlineLevel="0" collapsed="false">
      <c r="A839" s="36" t="s">
        <v>2724</v>
      </c>
    </row>
    <row r="840" customFormat="false" ht="15" hidden="false" customHeight="false" outlineLevel="0" collapsed="false">
      <c r="A840" s="36" t="s">
        <v>2725</v>
      </c>
    </row>
    <row r="841" customFormat="false" ht="15" hidden="false" customHeight="false" outlineLevel="0" collapsed="false">
      <c r="A841" s="36"/>
    </row>
    <row r="842" customFormat="false" ht="15" hidden="false" customHeight="false" outlineLevel="0" collapsed="false">
      <c r="A842" s="36" t="s">
        <v>2726</v>
      </c>
    </row>
    <row r="843" customFormat="false" ht="15" hidden="false" customHeight="false" outlineLevel="0" collapsed="false">
      <c r="A843" s="36" t="s">
        <v>2727</v>
      </c>
    </row>
    <row r="844" customFormat="false" ht="15" hidden="false" customHeight="false" outlineLevel="0" collapsed="false">
      <c r="A844" s="36" t="s">
        <v>2728</v>
      </c>
    </row>
    <row r="845" customFormat="false" ht="15" hidden="false" customHeight="false" outlineLevel="0" collapsed="false">
      <c r="A845" s="36" t="s">
        <v>2729</v>
      </c>
    </row>
    <row r="846" customFormat="false" ht="15" hidden="false" customHeight="false" outlineLevel="0" collapsed="false">
      <c r="A846" s="36" t="s">
        <v>2730</v>
      </c>
    </row>
    <row r="847" customFormat="false" ht="15" hidden="false" customHeight="false" outlineLevel="0" collapsed="false">
      <c r="A847" s="36" t="s">
        <v>2731</v>
      </c>
    </row>
    <row r="848" customFormat="false" ht="15" hidden="false" customHeight="false" outlineLevel="0" collapsed="false">
      <c r="A848" s="36" t="s">
        <v>2732</v>
      </c>
    </row>
    <row r="849" customFormat="false" ht="15" hidden="false" customHeight="false" outlineLevel="0" collapsed="false">
      <c r="A849" s="36" t="s">
        <v>2733</v>
      </c>
    </row>
    <row r="850" customFormat="false" ht="15" hidden="false" customHeight="false" outlineLevel="0" collapsed="false">
      <c r="A850" s="36" t="s">
        <v>2734</v>
      </c>
    </row>
    <row r="851" customFormat="false" ht="15" hidden="false" customHeight="false" outlineLevel="0" collapsed="false">
      <c r="A851" s="36" t="s">
        <v>2735</v>
      </c>
    </row>
    <row r="852" customFormat="false" ht="15" hidden="false" customHeight="false" outlineLevel="0" collapsed="false">
      <c r="A852" s="36" t="s">
        <v>2736</v>
      </c>
    </row>
    <row r="853" customFormat="false" ht="15" hidden="false" customHeight="false" outlineLevel="0" collapsed="false">
      <c r="A853" s="36" t="s">
        <v>2737</v>
      </c>
    </row>
    <row r="854" customFormat="false" ht="15" hidden="false" customHeight="false" outlineLevel="0" collapsed="false">
      <c r="A854" s="36" t="s">
        <v>2738</v>
      </c>
    </row>
    <row r="855" customFormat="false" ht="15" hidden="false" customHeight="false" outlineLevel="0" collapsed="false">
      <c r="A855" s="36" t="s">
        <v>2739</v>
      </c>
    </row>
    <row r="856" customFormat="false" ht="15" hidden="false" customHeight="false" outlineLevel="0" collapsed="false">
      <c r="A856" s="36" t="s">
        <v>2740</v>
      </c>
    </row>
    <row r="857" customFormat="false" ht="15" hidden="false" customHeight="false" outlineLevel="0" collapsed="false">
      <c r="A857" s="36" t="s">
        <v>2741</v>
      </c>
    </row>
    <row r="858" customFormat="false" ht="15" hidden="false" customHeight="false" outlineLevel="0" collapsed="false">
      <c r="A858" s="36" t="s">
        <v>2742</v>
      </c>
    </row>
    <row r="859" customFormat="false" ht="15" hidden="false" customHeight="false" outlineLevel="0" collapsed="false">
      <c r="A859" s="36" t="s">
        <v>2743</v>
      </c>
    </row>
    <row r="860" customFormat="false" ht="15" hidden="false" customHeight="false" outlineLevel="0" collapsed="false">
      <c r="A860" s="36" t="s">
        <v>2744</v>
      </c>
    </row>
    <row r="861" customFormat="false" ht="15" hidden="false" customHeight="false" outlineLevel="0" collapsed="false">
      <c r="A861" s="36" t="s">
        <v>2745</v>
      </c>
    </row>
    <row r="862" customFormat="false" ht="15" hidden="false" customHeight="false" outlineLevel="0" collapsed="false">
      <c r="A862" s="36" t="s">
        <v>2746</v>
      </c>
    </row>
    <row r="863" customFormat="false" ht="15" hidden="false" customHeight="false" outlineLevel="0" collapsed="false">
      <c r="A863" s="36" t="s">
        <v>2747</v>
      </c>
    </row>
    <row r="864" customFormat="false" ht="15" hidden="false" customHeight="false" outlineLevel="0" collapsed="false">
      <c r="A864" s="36" t="s">
        <v>2748</v>
      </c>
    </row>
    <row r="865" customFormat="false" ht="15" hidden="false" customHeight="false" outlineLevel="0" collapsed="false">
      <c r="A865" s="36" t="s">
        <v>2749</v>
      </c>
    </row>
    <row r="866" customFormat="false" ht="15" hidden="false" customHeight="false" outlineLevel="0" collapsed="false">
      <c r="A866" s="36" t="s">
        <v>2750</v>
      </c>
    </row>
    <row r="867" customFormat="false" ht="15" hidden="false" customHeight="false" outlineLevel="0" collapsed="false">
      <c r="A867" s="36" t="s">
        <v>2751</v>
      </c>
    </row>
    <row r="868" customFormat="false" ht="15" hidden="false" customHeight="false" outlineLevel="0" collapsed="false">
      <c r="A868" s="36" t="s">
        <v>2752</v>
      </c>
    </row>
    <row r="869" customFormat="false" ht="15" hidden="false" customHeight="false" outlineLevel="0" collapsed="false">
      <c r="A869" s="36" t="s">
        <v>2753</v>
      </c>
    </row>
    <row r="870" customFormat="false" ht="15" hidden="false" customHeight="false" outlineLevel="0" collapsed="false">
      <c r="A870" s="36" t="s">
        <v>2754</v>
      </c>
    </row>
    <row r="871" customFormat="false" ht="15" hidden="false" customHeight="false" outlineLevel="0" collapsed="false">
      <c r="A871" s="36" t="s">
        <v>2755</v>
      </c>
    </row>
    <row r="872" customFormat="false" ht="15" hidden="false" customHeight="false" outlineLevel="0" collapsed="false">
      <c r="A872" s="36" t="s">
        <v>2756</v>
      </c>
    </row>
    <row r="873" customFormat="false" ht="15" hidden="false" customHeight="false" outlineLevel="0" collapsed="false">
      <c r="A873" s="36" t="s">
        <v>2757</v>
      </c>
    </row>
    <row r="874" customFormat="false" ht="15" hidden="false" customHeight="false" outlineLevel="0" collapsed="false">
      <c r="A874" s="36" t="s">
        <v>2758</v>
      </c>
    </row>
    <row r="875" customFormat="false" ht="15" hidden="false" customHeight="false" outlineLevel="0" collapsed="false">
      <c r="A875" s="36" t="s">
        <v>2759</v>
      </c>
    </row>
    <row r="876" customFormat="false" ht="15" hidden="false" customHeight="false" outlineLevel="0" collapsed="false">
      <c r="A876" s="36" t="s">
        <v>2760</v>
      </c>
    </row>
    <row r="877" customFormat="false" ht="15" hidden="false" customHeight="false" outlineLevel="0" collapsed="false">
      <c r="A877" s="36" t="s">
        <v>2761</v>
      </c>
    </row>
    <row r="878" customFormat="false" ht="15" hidden="false" customHeight="false" outlineLevel="0" collapsed="false">
      <c r="A878" s="36" t="s">
        <v>2762</v>
      </c>
    </row>
    <row r="879" customFormat="false" ht="15" hidden="false" customHeight="false" outlineLevel="0" collapsed="false">
      <c r="A879" s="36" t="s">
        <v>2763</v>
      </c>
    </row>
    <row r="880" customFormat="false" ht="15" hidden="false" customHeight="false" outlineLevel="0" collapsed="false">
      <c r="A880" s="36" t="s">
        <v>2764</v>
      </c>
    </row>
    <row r="881" customFormat="false" ht="15" hidden="false" customHeight="false" outlineLevel="0" collapsed="false">
      <c r="A881" s="36" t="s">
        <v>2765</v>
      </c>
    </row>
  </sheetData>
  <hyperlinks>
    <hyperlink ref="B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20"/>
  </cols>
  <sheetData>
    <row r="1" customFormat="false" ht="15" hidden="false" customHeight="false" outlineLevel="0" collapsed="false">
      <c r="A1" s="5" t="s">
        <v>2766</v>
      </c>
      <c r="C1" s="19" t="s">
        <v>78</v>
      </c>
    </row>
    <row r="3" customFormat="false" ht="15" hidden="false" customHeight="false" outlineLevel="0" collapsed="false">
      <c r="A3" s="9" t="s">
        <v>2767</v>
      </c>
      <c r="B3" s="10" t="s">
        <v>2768</v>
      </c>
      <c r="C3" s="9" t="s">
        <v>182</v>
      </c>
    </row>
    <row r="4" customFormat="false" ht="210" hidden="false" customHeight="true" outlineLevel="0" collapsed="false">
      <c r="A4" s="11" t="s">
        <v>2769</v>
      </c>
      <c r="B4" s="21" t="s">
        <v>2770</v>
      </c>
      <c r="C4" s="37" t="s">
        <v>2771</v>
      </c>
    </row>
    <row r="5" customFormat="false" ht="195" hidden="false" customHeight="true" outlineLevel="0" collapsed="false">
      <c r="A5" s="11" t="s">
        <v>2772</v>
      </c>
      <c r="B5" s="21" t="s">
        <v>2773</v>
      </c>
      <c r="C5" s="37" t="s">
        <v>2774</v>
      </c>
    </row>
    <row r="6" customFormat="false" ht="495" hidden="false" customHeight="true" outlineLevel="0" collapsed="false">
      <c r="A6" s="11" t="s">
        <v>2775</v>
      </c>
      <c r="B6" s="21" t="s">
        <v>2776</v>
      </c>
      <c r="C6" s="37" t="s">
        <v>2777</v>
      </c>
    </row>
    <row r="7" customFormat="false" ht="120" hidden="false" customHeight="true" outlineLevel="0" collapsed="false">
      <c r="A7" s="11" t="s">
        <v>2778</v>
      </c>
      <c r="B7" s="21" t="s">
        <v>2779</v>
      </c>
      <c r="C7" s="37" t="s">
        <v>2780</v>
      </c>
    </row>
    <row r="8" customFormat="false" ht="90" hidden="false" customHeight="true" outlineLevel="0" collapsed="false">
      <c r="A8" s="11" t="s">
        <v>2781</v>
      </c>
      <c r="B8" s="21" t="s">
        <v>2782</v>
      </c>
      <c r="C8" s="37" t="s">
        <v>2783</v>
      </c>
    </row>
  </sheetData>
  <autoFilter ref="A3:C8"/>
  <hyperlinks>
    <hyperlink ref="C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6"/>
    <col collapsed="false" customWidth="true" hidden="false" outlineLevel="0" max="3" min="3" style="0" width="22"/>
    <col collapsed="false" customWidth="true" hidden="false" outlineLevel="0" max="4" min="4" style="0" width="50"/>
  </cols>
  <sheetData>
    <row r="1" customFormat="false" ht="15" hidden="false" customHeight="false" outlineLevel="0" collapsed="false">
      <c r="A1" s="5" t="s">
        <v>59</v>
      </c>
      <c r="D1" s="19" t="s">
        <v>78</v>
      </c>
    </row>
    <row r="2" customFormat="false" ht="15" hidden="false" customHeight="false" outlineLevel="0" collapsed="false">
      <c r="A2" s="35" t="s">
        <v>2784</v>
      </c>
    </row>
    <row r="3" customFormat="false" ht="15" hidden="false" customHeight="false" outlineLevel="0" collapsed="false">
      <c r="A3" s="10" t="s">
        <v>2785</v>
      </c>
      <c r="B3" s="10" t="s">
        <v>2786</v>
      </c>
      <c r="C3" s="10" t="s">
        <v>2787</v>
      </c>
      <c r="D3" s="10" t="s">
        <v>1604</v>
      </c>
    </row>
    <row r="4" customFormat="false" ht="15" hidden="false" customHeight="false" outlineLevel="0" collapsed="false">
      <c r="A4" s="20" t="s">
        <v>1656</v>
      </c>
      <c r="B4" s="22" t="s">
        <v>2788</v>
      </c>
      <c r="C4" s="21" t="s">
        <v>2789</v>
      </c>
      <c r="D4" s="22"/>
    </row>
    <row r="5" customFormat="false" ht="15" hidden="false" customHeight="false" outlineLevel="0" collapsed="false">
      <c r="A5" s="20" t="s">
        <v>1656</v>
      </c>
      <c r="B5" s="22" t="s">
        <v>2790</v>
      </c>
      <c r="C5" s="21" t="s">
        <v>2791</v>
      </c>
      <c r="D5" s="22"/>
    </row>
    <row r="6" customFormat="false" ht="15" hidden="false" customHeight="false" outlineLevel="0" collapsed="false">
      <c r="A6" s="20" t="s">
        <v>1656</v>
      </c>
      <c r="B6" s="22" t="s">
        <v>2792</v>
      </c>
      <c r="C6" s="21" t="s">
        <v>2793</v>
      </c>
      <c r="D6" s="22"/>
    </row>
    <row r="7" customFormat="false" ht="15" hidden="false" customHeight="false" outlineLevel="0" collapsed="false">
      <c r="A7" s="20" t="s">
        <v>1656</v>
      </c>
      <c r="B7" s="22" t="s">
        <v>2794</v>
      </c>
      <c r="C7" s="21" t="s">
        <v>2795</v>
      </c>
      <c r="D7" s="22"/>
    </row>
    <row r="8" customFormat="false" ht="15" hidden="false" customHeight="false" outlineLevel="0" collapsed="false">
      <c r="A8" s="20" t="s">
        <v>1656</v>
      </c>
      <c r="B8" s="22" t="s">
        <v>2796</v>
      </c>
      <c r="C8" s="21" t="s">
        <v>2797</v>
      </c>
      <c r="D8" s="22"/>
    </row>
    <row r="9" customFormat="false" ht="15" hidden="false" customHeight="false" outlineLevel="0" collapsed="false">
      <c r="A9" s="20" t="s">
        <v>1656</v>
      </c>
      <c r="B9" s="22" t="s">
        <v>2798</v>
      </c>
      <c r="C9" s="21" t="s">
        <v>2799</v>
      </c>
      <c r="D9" s="22"/>
    </row>
    <row r="10" customFormat="false" ht="15" hidden="false" customHeight="false" outlineLevel="0" collapsed="false">
      <c r="A10" s="20" t="s">
        <v>1659</v>
      </c>
      <c r="B10" s="22" t="s">
        <v>2800</v>
      </c>
      <c r="C10" s="21" t="s">
        <v>2801</v>
      </c>
      <c r="D10" s="22"/>
    </row>
    <row r="11" customFormat="false" ht="15" hidden="false" customHeight="false" outlineLevel="0" collapsed="false">
      <c r="A11" s="20" t="s">
        <v>1659</v>
      </c>
      <c r="B11" s="22" t="s">
        <v>2802</v>
      </c>
      <c r="C11" s="21" t="s">
        <v>2803</v>
      </c>
      <c r="D11" s="22"/>
    </row>
    <row r="12" customFormat="false" ht="15" hidden="false" customHeight="false" outlineLevel="0" collapsed="false">
      <c r="A12" s="20" t="s">
        <v>1659</v>
      </c>
      <c r="B12" s="22" t="s">
        <v>2804</v>
      </c>
      <c r="C12" s="21" t="s">
        <v>2805</v>
      </c>
      <c r="D12" s="22"/>
    </row>
    <row r="13" customFormat="false" ht="15" hidden="false" customHeight="false" outlineLevel="0" collapsed="false">
      <c r="A13" s="20" t="s">
        <v>692</v>
      </c>
      <c r="B13" s="22" t="s">
        <v>1056</v>
      </c>
      <c r="C13" s="21" t="s">
        <v>2806</v>
      </c>
      <c r="D13" s="22"/>
    </row>
    <row r="14" customFormat="false" ht="15" hidden="false" customHeight="false" outlineLevel="0" collapsed="false">
      <c r="A14" s="20" t="s">
        <v>692</v>
      </c>
      <c r="B14" s="22" t="s">
        <v>1473</v>
      </c>
      <c r="C14" s="21" t="s">
        <v>314</v>
      </c>
      <c r="D14" s="22"/>
    </row>
    <row r="15" customFormat="false" ht="15" hidden="false" customHeight="false" outlineLevel="0" collapsed="false">
      <c r="A15" s="20" t="s">
        <v>692</v>
      </c>
      <c r="B15" s="22" t="s">
        <v>1418</v>
      </c>
      <c r="C15" s="21" t="s">
        <v>320</v>
      </c>
      <c r="D15" s="22"/>
    </row>
    <row r="16" customFormat="false" ht="15" hidden="false" customHeight="false" outlineLevel="0" collapsed="false">
      <c r="A16" s="20" t="s">
        <v>692</v>
      </c>
      <c r="B16" s="22" t="s">
        <v>1482</v>
      </c>
      <c r="C16" s="21" t="s">
        <v>338</v>
      </c>
      <c r="D16" s="22"/>
    </row>
    <row r="17" customFormat="false" ht="15" hidden="false" customHeight="false" outlineLevel="0" collapsed="false">
      <c r="A17" s="20" t="s">
        <v>692</v>
      </c>
      <c r="B17" s="22" t="s">
        <v>1112</v>
      </c>
      <c r="C17" s="21" t="s">
        <v>2807</v>
      </c>
      <c r="D17" s="22"/>
    </row>
    <row r="18" customFormat="false" ht="15" hidden="false" customHeight="false" outlineLevel="0" collapsed="false">
      <c r="A18" s="20" t="s">
        <v>692</v>
      </c>
      <c r="B18" s="22" t="s">
        <v>2808</v>
      </c>
      <c r="C18" s="21" t="s">
        <v>2809</v>
      </c>
      <c r="D18" s="22"/>
    </row>
    <row r="19" customFormat="false" ht="15" hidden="false" customHeight="false" outlineLevel="0" collapsed="false">
      <c r="A19" s="20" t="s">
        <v>649</v>
      </c>
      <c r="B19" s="22" t="s">
        <v>2810</v>
      </c>
      <c r="C19" s="21" t="s">
        <v>2811</v>
      </c>
      <c r="D19" s="21" t="s">
        <v>2812</v>
      </c>
    </row>
    <row r="20" customFormat="false" ht="15" hidden="false" customHeight="false" outlineLevel="0" collapsed="false">
      <c r="A20" s="20" t="s">
        <v>649</v>
      </c>
      <c r="B20" s="22" t="s">
        <v>2813</v>
      </c>
      <c r="C20" s="21" t="s">
        <v>2814</v>
      </c>
      <c r="D20" s="22"/>
    </row>
    <row r="21" customFormat="false" ht="15" hidden="false" customHeight="false" outlineLevel="0" collapsed="false">
      <c r="A21" s="20" t="s">
        <v>649</v>
      </c>
      <c r="B21" s="22" t="s">
        <v>2815</v>
      </c>
      <c r="C21" s="21" t="s">
        <v>2816</v>
      </c>
      <c r="D21" s="21" t="s">
        <v>2817</v>
      </c>
    </row>
    <row r="22" customFormat="false" ht="15" hidden="false" customHeight="false" outlineLevel="0" collapsed="false">
      <c r="A22" s="20" t="s">
        <v>649</v>
      </c>
      <c r="B22" s="22" t="s">
        <v>2818</v>
      </c>
      <c r="C22" s="21" t="s">
        <v>2819</v>
      </c>
      <c r="D22" s="22"/>
    </row>
    <row r="23" customFormat="false" ht="15" hidden="false" customHeight="false" outlineLevel="0" collapsed="false">
      <c r="A23" s="20" t="s">
        <v>649</v>
      </c>
      <c r="B23" s="22" t="s">
        <v>2798</v>
      </c>
      <c r="C23" s="21" t="s">
        <v>2799</v>
      </c>
      <c r="D23" s="22"/>
    </row>
    <row r="24" customFormat="false" ht="15" hidden="false" customHeight="false" outlineLevel="0" collapsed="false">
      <c r="A24" s="20" t="s">
        <v>638</v>
      </c>
      <c r="B24" s="22" t="s">
        <v>2820</v>
      </c>
      <c r="C24" s="21" t="s">
        <v>2821</v>
      </c>
      <c r="D24" s="22"/>
    </row>
    <row r="25" customFormat="false" ht="15" hidden="false" customHeight="false" outlineLevel="0" collapsed="false">
      <c r="A25" s="20" t="s">
        <v>638</v>
      </c>
      <c r="B25" s="22" t="s">
        <v>2822</v>
      </c>
      <c r="C25" s="21" t="s">
        <v>2823</v>
      </c>
      <c r="D25" s="21" t="s">
        <v>2824</v>
      </c>
    </row>
    <row r="26" customFormat="false" ht="15" hidden="false" customHeight="false" outlineLevel="0" collapsed="false">
      <c r="A26" s="20" t="s">
        <v>638</v>
      </c>
      <c r="B26" s="22" t="s">
        <v>2825</v>
      </c>
      <c r="C26" s="21" t="s">
        <v>2826</v>
      </c>
      <c r="D26" s="21" t="s">
        <v>2827</v>
      </c>
    </row>
    <row r="27" customFormat="false" ht="15" hidden="false" customHeight="false" outlineLevel="0" collapsed="false">
      <c r="A27" s="20" t="s">
        <v>638</v>
      </c>
      <c r="B27" s="22" t="s">
        <v>2798</v>
      </c>
      <c r="C27" s="21" t="s">
        <v>2799</v>
      </c>
      <c r="D27" s="22"/>
    </row>
    <row r="28" customFormat="false" ht="15" hidden="false" customHeight="false" outlineLevel="0" collapsed="false">
      <c r="A28" s="20" t="s">
        <v>626</v>
      </c>
      <c r="B28" s="22" t="s">
        <v>2828</v>
      </c>
      <c r="C28" s="22" t="s">
        <v>2829</v>
      </c>
      <c r="D28" s="21" t="s">
        <v>2830</v>
      </c>
    </row>
    <row r="29" customFormat="false" ht="15" hidden="false" customHeight="false" outlineLevel="0" collapsed="false">
      <c r="A29" s="20" t="s">
        <v>626</v>
      </c>
      <c r="B29" s="22" t="s">
        <v>2831</v>
      </c>
      <c r="C29" s="22" t="s">
        <v>2832</v>
      </c>
      <c r="D29" s="21" t="s">
        <v>2833</v>
      </c>
    </row>
    <row r="30" customFormat="false" ht="15" hidden="false" customHeight="false" outlineLevel="0" collapsed="false">
      <c r="A30" s="20" t="s">
        <v>626</v>
      </c>
      <c r="B30" s="22" t="s">
        <v>2834</v>
      </c>
      <c r="C30" s="22" t="s">
        <v>2835</v>
      </c>
      <c r="D30" s="21" t="s">
        <v>2836</v>
      </c>
    </row>
    <row r="31" customFormat="false" ht="15" hidden="false" customHeight="false" outlineLevel="0" collapsed="false">
      <c r="A31" s="20" t="s">
        <v>626</v>
      </c>
      <c r="B31" s="22" t="s">
        <v>2837</v>
      </c>
      <c r="C31" s="21" t="s">
        <v>2838</v>
      </c>
      <c r="D31" s="21" t="s">
        <v>2839</v>
      </c>
    </row>
    <row r="32" customFormat="false" ht="15" hidden="false" customHeight="false" outlineLevel="0" collapsed="false">
      <c r="A32" s="20" t="s">
        <v>1828</v>
      </c>
      <c r="B32" s="22" t="s">
        <v>1829</v>
      </c>
      <c r="C32" s="21" t="s">
        <v>2840</v>
      </c>
      <c r="D32" s="21" t="s">
        <v>2841</v>
      </c>
    </row>
    <row r="33" customFormat="false" ht="15" hidden="false" customHeight="false" outlineLevel="0" collapsed="false">
      <c r="A33" s="20" t="s">
        <v>1828</v>
      </c>
      <c r="B33" s="22" t="s">
        <v>2842</v>
      </c>
      <c r="C33" s="21" t="s">
        <v>2843</v>
      </c>
      <c r="D33" s="21" t="s">
        <v>2844</v>
      </c>
    </row>
    <row r="34" customFormat="false" ht="15" hidden="false" customHeight="false" outlineLevel="0" collapsed="false">
      <c r="A34" s="20" t="s">
        <v>1828</v>
      </c>
      <c r="B34" s="22" t="s">
        <v>2845</v>
      </c>
      <c r="C34" s="21" t="s">
        <v>1439</v>
      </c>
      <c r="D34" s="21" t="s">
        <v>2841</v>
      </c>
    </row>
    <row r="35" customFormat="false" ht="15" hidden="false" customHeight="false" outlineLevel="0" collapsed="false">
      <c r="A35" s="20" t="s">
        <v>1828</v>
      </c>
      <c r="B35" s="22" t="s">
        <v>2846</v>
      </c>
      <c r="C35" s="21" t="s">
        <v>2847</v>
      </c>
      <c r="D35" s="21" t="s">
        <v>2841</v>
      </c>
    </row>
    <row r="36" customFormat="false" ht="15" hidden="false" customHeight="false" outlineLevel="0" collapsed="false">
      <c r="A36" s="20" t="s">
        <v>1828</v>
      </c>
      <c r="B36" s="22" t="s">
        <v>2848</v>
      </c>
      <c r="C36" s="21" t="s">
        <v>235</v>
      </c>
      <c r="D36" s="21" t="s">
        <v>2849</v>
      </c>
    </row>
    <row r="37" customFormat="false" ht="15" hidden="false" customHeight="false" outlineLevel="0" collapsed="false">
      <c r="A37" s="20" t="s">
        <v>1828</v>
      </c>
      <c r="B37" s="22" t="s">
        <v>2850</v>
      </c>
      <c r="C37" s="21" t="s">
        <v>2851</v>
      </c>
      <c r="D37" s="21" t="s">
        <v>2841</v>
      </c>
    </row>
    <row r="38" customFormat="false" ht="15" hidden="false" customHeight="false" outlineLevel="0" collapsed="false">
      <c r="A38" s="20" t="s">
        <v>1828</v>
      </c>
      <c r="B38" s="22" t="s">
        <v>2852</v>
      </c>
      <c r="C38" s="21" t="s">
        <v>2853</v>
      </c>
      <c r="D38" s="21" t="s">
        <v>2854</v>
      </c>
    </row>
    <row r="39" customFormat="false" ht="15" hidden="false" customHeight="false" outlineLevel="0" collapsed="false">
      <c r="A39" s="20" t="s">
        <v>1869</v>
      </c>
      <c r="B39" s="22" t="s">
        <v>2855</v>
      </c>
      <c r="C39" s="21" t="s">
        <v>1551</v>
      </c>
      <c r="D39" s="21" t="s">
        <v>2856</v>
      </c>
    </row>
    <row r="40" customFormat="false" ht="15" hidden="false" customHeight="false" outlineLevel="0" collapsed="false">
      <c r="A40" s="20" t="s">
        <v>1869</v>
      </c>
      <c r="B40" s="22" t="s">
        <v>2857</v>
      </c>
      <c r="C40" s="21" t="s">
        <v>1498</v>
      </c>
      <c r="D40" s="22" t="s">
        <v>2858</v>
      </c>
    </row>
    <row r="41" customFormat="false" ht="15" hidden="false" customHeight="false" outlineLevel="0" collapsed="false">
      <c r="A41" s="20" t="s">
        <v>1869</v>
      </c>
      <c r="B41" s="22" t="s">
        <v>2859</v>
      </c>
      <c r="C41" s="21" t="s">
        <v>2860</v>
      </c>
      <c r="D41" s="22" t="s">
        <v>2858</v>
      </c>
    </row>
    <row r="42" customFormat="false" ht="15" hidden="false" customHeight="false" outlineLevel="0" collapsed="false">
      <c r="A42" s="20" t="s">
        <v>1869</v>
      </c>
      <c r="B42" s="22" t="s">
        <v>2861</v>
      </c>
      <c r="C42" s="21" t="s">
        <v>2862</v>
      </c>
      <c r="D42" s="21" t="s">
        <v>2856</v>
      </c>
    </row>
    <row r="43" customFormat="false" ht="15" hidden="false" customHeight="false" outlineLevel="0" collapsed="false">
      <c r="A43" s="20" t="s">
        <v>1869</v>
      </c>
      <c r="B43" s="22" t="s">
        <v>2863</v>
      </c>
      <c r="C43" s="21" t="s">
        <v>2864</v>
      </c>
      <c r="D43" s="22" t="s">
        <v>2865</v>
      </c>
    </row>
    <row r="44" customFormat="false" ht="15" hidden="false" customHeight="false" outlineLevel="0" collapsed="false">
      <c r="A44" s="20" t="s">
        <v>1869</v>
      </c>
      <c r="B44" s="22" t="s">
        <v>2866</v>
      </c>
      <c r="C44" s="21" t="s">
        <v>2867</v>
      </c>
      <c r="D44" s="21" t="s">
        <v>2868</v>
      </c>
    </row>
    <row r="45" customFormat="false" ht="15" hidden="false" customHeight="false" outlineLevel="0" collapsed="false">
      <c r="A45" s="20" t="s">
        <v>1869</v>
      </c>
      <c r="B45" s="22" t="s">
        <v>2869</v>
      </c>
      <c r="C45" s="21" t="s">
        <v>2870</v>
      </c>
      <c r="D45" s="21" t="s">
        <v>2856</v>
      </c>
    </row>
    <row r="46" customFormat="false" ht="15" hidden="false" customHeight="false" outlineLevel="0" collapsed="false">
      <c r="A46" s="20" t="s">
        <v>1869</v>
      </c>
      <c r="B46" s="22" t="s">
        <v>2871</v>
      </c>
      <c r="C46" s="21" t="s">
        <v>1141</v>
      </c>
      <c r="D46" s="21" t="s">
        <v>2868</v>
      </c>
    </row>
    <row r="47" customFormat="false" ht="15" hidden="false" customHeight="false" outlineLevel="0" collapsed="false">
      <c r="A47" s="20" t="s">
        <v>1869</v>
      </c>
      <c r="B47" s="22" t="s">
        <v>2872</v>
      </c>
      <c r="C47" s="21" t="s">
        <v>2873</v>
      </c>
      <c r="D47" s="21" t="s">
        <v>2874</v>
      </c>
    </row>
  </sheetData>
  <autoFilter ref="A3:D47"/>
  <hyperlinks>
    <hyperlink ref="D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8" min="3" style="0" width="11"/>
  </cols>
  <sheetData>
    <row r="1" customFormat="false" ht="15" hidden="false" customHeight="false" outlineLevel="0" collapsed="false">
      <c r="A1" s="5" t="s">
        <v>61</v>
      </c>
      <c r="H1" s="19" t="s">
        <v>78</v>
      </c>
    </row>
    <row r="2" customFormat="false" ht="15" hidden="false" customHeight="false" outlineLevel="0" collapsed="false">
      <c r="A2" s="35" t="s">
        <v>2875</v>
      </c>
    </row>
    <row r="3" customFormat="false" ht="30" hidden="false" customHeight="true" outlineLevel="0" collapsed="false">
      <c r="A3" s="10" t="s">
        <v>370</v>
      </c>
      <c r="B3" s="10" t="s">
        <v>372</v>
      </c>
      <c r="C3" s="10" t="s">
        <v>2876</v>
      </c>
      <c r="D3" s="10" t="s">
        <v>2877</v>
      </c>
      <c r="E3" s="10" t="s">
        <v>2878</v>
      </c>
      <c r="F3" s="10" t="s">
        <v>2879</v>
      </c>
      <c r="G3" s="10" t="s">
        <v>2880</v>
      </c>
      <c r="H3" s="10" t="s">
        <v>2881</v>
      </c>
    </row>
    <row r="4" customFormat="false" ht="15" hidden="false" customHeight="false" outlineLevel="0" collapsed="false">
      <c r="A4" s="11" t="s">
        <v>376</v>
      </c>
      <c r="B4" s="21" t="s">
        <v>378</v>
      </c>
      <c r="C4" s="38" t="s">
        <v>2882</v>
      </c>
      <c r="D4" s="11" t="s">
        <v>2883</v>
      </c>
      <c r="E4" s="11" t="s">
        <v>2883</v>
      </c>
      <c r="F4" s="11" t="s">
        <v>2883</v>
      </c>
      <c r="G4" s="11" t="s">
        <v>2883</v>
      </c>
      <c r="H4" s="11" t="s">
        <v>2883</v>
      </c>
    </row>
    <row r="5" customFormat="false" ht="15" hidden="false" customHeight="false" outlineLevel="0" collapsed="false">
      <c r="A5" s="11" t="s">
        <v>382</v>
      </c>
      <c r="B5" s="21" t="s">
        <v>383</v>
      </c>
      <c r="C5" s="38" t="s">
        <v>2882</v>
      </c>
      <c r="D5" s="38" t="s">
        <v>2882</v>
      </c>
      <c r="E5" s="11" t="s">
        <v>2883</v>
      </c>
      <c r="F5" s="11" t="s">
        <v>2883</v>
      </c>
      <c r="G5" s="11" t="s">
        <v>2883</v>
      </c>
      <c r="H5" s="11" t="s">
        <v>2883</v>
      </c>
    </row>
    <row r="6" customFormat="false" ht="15" hidden="false" customHeight="false" outlineLevel="0" collapsed="false">
      <c r="A6" s="11" t="s">
        <v>386</v>
      </c>
      <c r="B6" s="21" t="s">
        <v>387</v>
      </c>
      <c r="C6" s="38" t="s">
        <v>2882</v>
      </c>
      <c r="D6" s="11" t="s">
        <v>2883</v>
      </c>
      <c r="E6" s="11" t="s">
        <v>2883</v>
      </c>
      <c r="F6" s="38" t="s">
        <v>2882</v>
      </c>
      <c r="G6" s="11" t="s">
        <v>2883</v>
      </c>
      <c r="H6" s="11" t="s">
        <v>2883</v>
      </c>
    </row>
    <row r="7" customFormat="false" ht="15" hidden="false" customHeight="false" outlineLevel="0" collapsed="false">
      <c r="A7" s="11" t="s">
        <v>390</v>
      </c>
      <c r="B7" s="21" t="s">
        <v>391</v>
      </c>
      <c r="C7" s="38" t="s">
        <v>2882</v>
      </c>
      <c r="D7" s="11" t="s">
        <v>2883</v>
      </c>
      <c r="E7" s="38" t="s">
        <v>2882</v>
      </c>
      <c r="F7" s="11" t="s">
        <v>2883</v>
      </c>
      <c r="G7" s="11" t="s">
        <v>2883</v>
      </c>
      <c r="H7" s="11" t="s">
        <v>2883</v>
      </c>
    </row>
    <row r="8" customFormat="false" ht="15" hidden="false" customHeight="false" outlineLevel="0" collapsed="false">
      <c r="A8" s="11" t="s">
        <v>394</v>
      </c>
      <c r="B8" s="21" t="s">
        <v>395</v>
      </c>
      <c r="C8" s="38" t="s">
        <v>2882</v>
      </c>
      <c r="D8" s="39" t="s">
        <v>2884</v>
      </c>
      <c r="E8" s="39" t="s">
        <v>2884</v>
      </c>
      <c r="F8" s="39" t="s">
        <v>2884</v>
      </c>
      <c r="G8" s="39" t="s">
        <v>2884</v>
      </c>
      <c r="H8" s="39" t="s">
        <v>2884</v>
      </c>
    </row>
    <row r="9" customFormat="false" ht="15" hidden="false" customHeight="false" outlineLevel="0" collapsed="false">
      <c r="A9" s="11" t="s">
        <v>398</v>
      </c>
      <c r="B9" s="21" t="s">
        <v>399</v>
      </c>
      <c r="C9" s="38" t="s">
        <v>2882</v>
      </c>
      <c r="D9" s="11" t="s">
        <v>2883</v>
      </c>
      <c r="E9" s="11" t="s">
        <v>2883</v>
      </c>
      <c r="F9" s="11" t="s">
        <v>2883</v>
      </c>
      <c r="G9" s="38" t="s">
        <v>2885</v>
      </c>
      <c r="H9" s="39" t="s">
        <v>2884</v>
      </c>
    </row>
    <row r="10" customFormat="false" ht="15" hidden="false" customHeight="false" outlineLevel="0" collapsed="false">
      <c r="A10" s="11" t="s">
        <v>402</v>
      </c>
      <c r="B10" s="21" t="s">
        <v>403</v>
      </c>
      <c r="C10" s="38" t="s">
        <v>2882</v>
      </c>
      <c r="D10" s="38" t="s">
        <v>2882</v>
      </c>
      <c r="E10" s="11" t="s">
        <v>2883</v>
      </c>
      <c r="F10" s="39" t="s">
        <v>2884</v>
      </c>
      <c r="G10" s="11" t="s">
        <v>2883</v>
      </c>
      <c r="H10" s="39" t="s">
        <v>2884</v>
      </c>
    </row>
    <row r="11" customFormat="false" ht="15" hidden="false" customHeight="false" outlineLevel="0" collapsed="false">
      <c r="A11" s="11" t="s">
        <v>407</v>
      </c>
      <c r="B11" s="21" t="s">
        <v>408</v>
      </c>
      <c r="C11" s="38" t="s">
        <v>2885</v>
      </c>
      <c r="D11" s="11" t="s">
        <v>2883</v>
      </c>
      <c r="E11" s="39" t="s">
        <v>2884</v>
      </c>
      <c r="F11" s="39" t="s">
        <v>2884</v>
      </c>
      <c r="G11" s="11" t="s">
        <v>2883</v>
      </c>
      <c r="H11" s="39" t="s">
        <v>2884</v>
      </c>
    </row>
    <row r="12" customFormat="false" ht="15" hidden="false" customHeight="false" outlineLevel="0" collapsed="false">
      <c r="A12" s="11" t="s">
        <v>322</v>
      </c>
      <c r="B12" s="21" t="s">
        <v>319</v>
      </c>
      <c r="C12" s="38" t="s">
        <v>2882</v>
      </c>
      <c r="D12" s="11" t="s">
        <v>2883</v>
      </c>
      <c r="E12" s="38" t="s">
        <v>2882</v>
      </c>
      <c r="F12" s="39" t="s">
        <v>2884</v>
      </c>
      <c r="G12" s="11" t="s">
        <v>2883</v>
      </c>
      <c r="H12" s="11" t="s">
        <v>2883</v>
      </c>
    </row>
    <row r="13" customFormat="false" ht="15" hidden="false" customHeight="false" outlineLevel="0" collapsed="false">
      <c r="A13" s="11" t="s">
        <v>412</v>
      </c>
      <c r="B13" s="21" t="s">
        <v>325</v>
      </c>
      <c r="C13" s="11" t="s">
        <v>2883</v>
      </c>
      <c r="D13" s="11" t="s">
        <v>2883</v>
      </c>
      <c r="E13" s="11" t="s">
        <v>2883</v>
      </c>
      <c r="F13" s="39" t="s">
        <v>2884</v>
      </c>
      <c r="G13" s="38" t="s">
        <v>2885</v>
      </c>
      <c r="H13" s="39" t="s">
        <v>2884</v>
      </c>
    </row>
    <row r="14" customFormat="false" ht="15" hidden="false" customHeight="false" outlineLevel="0" collapsed="false">
      <c r="A14" s="11" t="s">
        <v>415</v>
      </c>
      <c r="B14" s="21" t="s">
        <v>417</v>
      </c>
      <c r="C14" s="11" t="s">
        <v>2883</v>
      </c>
      <c r="D14" s="11" t="s">
        <v>2883</v>
      </c>
      <c r="E14" s="11" t="s">
        <v>2883</v>
      </c>
      <c r="F14" s="11" t="s">
        <v>2883</v>
      </c>
      <c r="G14" s="11" t="s">
        <v>2883</v>
      </c>
      <c r="H14" s="11" t="s">
        <v>2883</v>
      </c>
    </row>
    <row r="15" customFormat="false" ht="15" hidden="false" customHeight="false" outlineLevel="0" collapsed="false">
      <c r="A15" s="11" t="s">
        <v>420</v>
      </c>
      <c r="B15" s="21" t="s">
        <v>421</v>
      </c>
      <c r="C15" s="11" t="s">
        <v>2883</v>
      </c>
      <c r="D15" s="11" t="s">
        <v>2883</v>
      </c>
      <c r="E15" s="11" t="s">
        <v>2883</v>
      </c>
      <c r="F15" s="39" t="s">
        <v>2884</v>
      </c>
      <c r="G15" s="38" t="s">
        <v>2885</v>
      </c>
      <c r="H15" s="39" t="s">
        <v>2884</v>
      </c>
    </row>
    <row r="16" customFormat="false" ht="15" hidden="false" customHeight="false" outlineLevel="0" collapsed="false">
      <c r="A16" s="11" t="s">
        <v>424</v>
      </c>
      <c r="B16" s="21" t="s">
        <v>425</v>
      </c>
      <c r="C16" s="11" t="s">
        <v>2883</v>
      </c>
      <c r="D16" s="11" t="s">
        <v>2883</v>
      </c>
      <c r="E16" s="11" t="s">
        <v>2883</v>
      </c>
      <c r="F16" s="11" t="s">
        <v>2883</v>
      </c>
      <c r="G16" s="11" t="s">
        <v>2883</v>
      </c>
      <c r="H16" s="11" t="s">
        <v>2883</v>
      </c>
    </row>
    <row r="17" customFormat="false" ht="15" hidden="false" customHeight="false" outlineLevel="0" collapsed="false">
      <c r="A17" s="11" t="s">
        <v>428</v>
      </c>
      <c r="B17" s="21" t="s">
        <v>429</v>
      </c>
      <c r="C17" s="38" t="s">
        <v>2882</v>
      </c>
      <c r="D17" s="39" t="s">
        <v>2884</v>
      </c>
      <c r="E17" s="38" t="s">
        <v>2882</v>
      </c>
      <c r="F17" s="39" t="s">
        <v>2884</v>
      </c>
      <c r="G17" s="11" t="s">
        <v>2883</v>
      </c>
      <c r="H17" s="39" t="s">
        <v>2884</v>
      </c>
    </row>
    <row r="18" customFormat="false" ht="15" hidden="false" customHeight="false" outlineLevel="0" collapsed="false">
      <c r="A18" s="11" t="s">
        <v>367</v>
      </c>
      <c r="B18" s="21" t="s">
        <v>432</v>
      </c>
      <c r="C18" s="38" t="s">
        <v>2882</v>
      </c>
      <c r="D18" s="39" t="s">
        <v>2884</v>
      </c>
      <c r="E18" s="38" t="s">
        <v>2882</v>
      </c>
      <c r="F18" s="39" t="s">
        <v>2884</v>
      </c>
      <c r="G18" s="11" t="s">
        <v>2883</v>
      </c>
      <c r="H18" s="39" t="s">
        <v>2884</v>
      </c>
    </row>
    <row r="19" customFormat="false" ht="15" hidden="false" customHeight="false" outlineLevel="0" collapsed="false">
      <c r="A19" s="11" t="s">
        <v>333</v>
      </c>
      <c r="B19" s="21" t="s">
        <v>434</v>
      </c>
      <c r="C19" s="38" t="s">
        <v>2882</v>
      </c>
      <c r="D19" s="39" t="s">
        <v>2884</v>
      </c>
      <c r="E19" s="38" t="s">
        <v>2882</v>
      </c>
      <c r="F19" s="39" t="s">
        <v>2884</v>
      </c>
      <c r="G19" s="38" t="s">
        <v>2882</v>
      </c>
      <c r="H19" s="11" t="s">
        <v>2883</v>
      </c>
    </row>
    <row r="20" customFormat="false" ht="15" hidden="false" customHeight="false" outlineLevel="0" collapsed="false">
      <c r="A20" s="11" t="s">
        <v>437</v>
      </c>
      <c r="B20" s="21" t="s">
        <v>438</v>
      </c>
      <c r="C20" s="11" t="s">
        <v>2883</v>
      </c>
      <c r="D20" s="11" t="s">
        <v>2883</v>
      </c>
      <c r="E20" s="11" t="s">
        <v>2883</v>
      </c>
      <c r="F20" s="11" t="s">
        <v>2883</v>
      </c>
      <c r="G20" s="11" t="s">
        <v>2883</v>
      </c>
      <c r="H20" s="11" t="s">
        <v>2883</v>
      </c>
    </row>
    <row r="21" customFormat="false" ht="15" hidden="false" customHeight="false" outlineLevel="0" collapsed="false">
      <c r="A21" s="11" t="s">
        <v>340</v>
      </c>
      <c r="B21" s="21" t="s">
        <v>441</v>
      </c>
      <c r="C21" s="38" t="s">
        <v>2882</v>
      </c>
      <c r="D21" s="39" t="s">
        <v>2884</v>
      </c>
      <c r="E21" s="39" t="s">
        <v>2884</v>
      </c>
      <c r="F21" s="38" t="s">
        <v>2882</v>
      </c>
      <c r="G21" s="11" t="s">
        <v>2883</v>
      </c>
      <c r="H21" s="11" t="s">
        <v>2883</v>
      </c>
    </row>
    <row r="22" customFormat="false" ht="15" hidden="false" customHeight="false" outlineLevel="0" collapsed="false">
      <c r="A22" s="11" t="s">
        <v>444</v>
      </c>
      <c r="B22" s="21" t="s">
        <v>445</v>
      </c>
      <c r="C22" s="38" t="s">
        <v>2882</v>
      </c>
      <c r="D22" s="39" t="s">
        <v>2884</v>
      </c>
      <c r="E22" s="38" t="s">
        <v>2882</v>
      </c>
      <c r="F22" s="11" t="s">
        <v>2883</v>
      </c>
      <c r="G22" s="11" t="s">
        <v>2883</v>
      </c>
      <c r="H22" s="39" t="s">
        <v>2884</v>
      </c>
    </row>
    <row r="23" customFormat="false" ht="15" hidden="false" customHeight="false" outlineLevel="0" collapsed="false">
      <c r="A23" s="11" t="s">
        <v>448</v>
      </c>
      <c r="B23" s="21" t="s">
        <v>449</v>
      </c>
      <c r="C23" s="38" t="s">
        <v>2882</v>
      </c>
      <c r="D23" s="39" t="s">
        <v>2884</v>
      </c>
      <c r="E23" s="38" t="s">
        <v>2882</v>
      </c>
      <c r="F23" s="11" t="s">
        <v>2883</v>
      </c>
      <c r="G23" s="11" t="s">
        <v>2883</v>
      </c>
      <c r="H23" s="39" t="s">
        <v>2884</v>
      </c>
    </row>
    <row r="24" customFormat="false" ht="15" hidden="false" customHeight="false" outlineLevel="0" collapsed="false">
      <c r="A24" s="11" t="s">
        <v>451</v>
      </c>
      <c r="B24" s="21" t="s">
        <v>452</v>
      </c>
      <c r="C24" s="11" t="s">
        <v>2883</v>
      </c>
      <c r="D24" s="39" t="s">
        <v>2884</v>
      </c>
      <c r="E24" s="11" t="s">
        <v>2883</v>
      </c>
      <c r="F24" s="11" t="s">
        <v>2883</v>
      </c>
      <c r="G24" s="39" t="s">
        <v>2884</v>
      </c>
      <c r="H24" s="39" t="s">
        <v>2884</v>
      </c>
    </row>
    <row r="25" customFormat="false" ht="15" hidden="false" customHeight="false" outlineLevel="0" collapsed="false">
      <c r="A25" s="11" t="s">
        <v>355</v>
      </c>
      <c r="B25" s="21" t="s">
        <v>454</v>
      </c>
      <c r="C25" s="38" t="s">
        <v>2882</v>
      </c>
      <c r="D25" s="39" t="s">
        <v>2884</v>
      </c>
      <c r="E25" s="38" t="s">
        <v>2882</v>
      </c>
      <c r="F25" s="11" t="s">
        <v>2883</v>
      </c>
      <c r="G25" s="38" t="s">
        <v>2885</v>
      </c>
      <c r="H25" s="39" t="s">
        <v>2884</v>
      </c>
    </row>
    <row r="26" customFormat="false" ht="15" hidden="false" customHeight="false" outlineLevel="0" collapsed="false">
      <c r="A26" s="11" t="s">
        <v>457</v>
      </c>
      <c r="B26" s="21" t="s">
        <v>459</v>
      </c>
      <c r="C26" s="11" t="s">
        <v>2883</v>
      </c>
      <c r="D26" s="11" t="s">
        <v>2883</v>
      </c>
      <c r="E26" s="11" t="s">
        <v>2883</v>
      </c>
      <c r="F26" s="11" t="s">
        <v>2883</v>
      </c>
      <c r="G26" s="11" t="s">
        <v>2883</v>
      </c>
      <c r="H26" s="11" t="s">
        <v>2883</v>
      </c>
    </row>
    <row r="27" customFormat="false" ht="15" hidden="false" customHeight="false" outlineLevel="0" collapsed="false">
      <c r="A27" s="11" t="s">
        <v>462</v>
      </c>
      <c r="B27" s="21" t="s">
        <v>463</v>
      </c>
      <c r="C27" s="11" t="s">
        <v>2883</v>
      </c>
      <c r="D27" s="11" t="s">
        <v>2883</v>
      </c>
      <c r="E27" s="11" t="s">
        <v>2883</v>
      </c>
      <c r="F27" s="11" t="s">
        <v>2883</v>
      </c>
      <c r="G27" s="11" t="s">
        <v>2883</v>
      </c>
      <c r="H27" s="11" t="s">
        <v>2883</v>
      </c>
    </row>
    <row r="28" customFormat="false" ht="15" hidden="false" customHeight="false" outlineLevel="0" collapsed="false">
      <c r="A28" s="11" t="s">
        <v>466</v>
      </c>
      <c r="B28" s="21" t="s">
        <v>467</v>
      </c>
      <c r="C28" s="11" t="s">
        <v>2883</v>
      </c>
      <c r="D28" s="39" t="s">
        <v>2884</v>
      </c>
      <c r="E28" s="39" t="s">
        <v>2884</v>
      </c>
      <c r="F28" s="39" t="s">
        <v>2884</v>
      </c>
      <c r="G28" s="38" t="s">
        <v>2882</v>
      </c>
      <c r="H28" s="39" t="s">
        <v>2884</v>
      </c>
    </row>
    <row r="29" customFormat="false" ht="15" hidden="false" customHeight="false" outlineLevel="0" collapsed="false">
      <c r="A29" s="11" t="s">
        <v>470</v>
      </c>
      <c r="B29" s="21" t="s">
        <v>471</v>
      </c>
      <c r="C29" s="11" t="s">
        <v>2883</v>
      </c>
      <c r="D29" s="39" t="s">
        <v>2884</v>
      </c>
      <c r="E29" s="39" t="s">
        <v>2884</v>
      </c>
      <c r="F29" s="38" t="s">
        <v>2882</v>
      </c>
      <c r="G29" s="38" t="s">
        <v>2882</v>
      </c>
      <c r="H29" s="11" t="s">
        <v>2883</v>
      </c>
    </row>
    <row r="30" customFormat="false" ht="15" hidden="false" customHeight="false" outlineLevel="0" collapsed="false">
      <c r="A30" s="11" t="s">
        <v>473</v>
      </c>
      <c r="B30" s="21" t="s">
        <v>475</v>
      </c>
      <c r="C30" s="11" t="s">
        <v>2883</v>
      </c>
      <c r="D30" s="11" t="s">
        <v>2883</v>
      </c>
      <c r="E30" s="39" t="s">
        <v>2884</v>
      </c>
      <c r="F30" s="39" t="s">
        <v>2884</v>
      </c>
      <c r="G30" s="11" t="s">
        <v>2883</v>
      </c>
      <c r="H30" s="39" t="s">
        <v>2884</v>
      </c>
    </row>
    <row r="31" customFormat="false" ht="15" hidden="false" customHeight="false" outlineLevel="0" collapsed="false">
      <c r="A31" s="11" t="s">
        <v>478</v>
      </c>
      <c r="B31" s="21" t="s">
        <v>479</v>
      </c>
      <c r="C31" s="11" t="s">
        <v>2883</v>
      </c>
      <c r="D31" s="39" t="s">
        <v>2884</v>
      </c>
      <c r="E31" s="39" t="s">
        <v>2884</v>
      </c>
      <c r="F31" s="11" t="s">
        <v>2883</v>
      </c>
      <c r="G31" s="11" t="s">
        <v>2883</v>
      </c>
      <c r="H31" s="11" t="s">
        <v>2883</v>
      </c>
    </row>
    <row r="32" customFormat="false" ht="15" hidden="false" customHeight="false" outlineLevel="0" collapsed="false">
      <c r="A32" s="11" t="s">
        <v>481</v>
      </c>
      <c r="B32" s="21" t="s">
        <v>482</v>
      </c>
      <c r="C32" s="11" t="s">
        <v>2883</v>
      </c>
      <c r="D32" s="11" t="s">
        <v>2883</v>
      </c>
      <c r="E32" s="11" t="s">
        <v>2883</v>
      </c>
      <c r="F32" s="39" t="s">
        <v>2884</v>
      </c>
      <c r="G32" s="11" t="s">
        <v>2883</v>
      </c>
      <c r="H32" s="11" t="s">
        <v>2883</v>
      </c>
    </row>
    <row r="33" customFormat="false" ht="15" hidden="false" customHeight="false" outlineLevel="0" collapsed="false">
      <c r="A33" s="11" t="s">
        <v>484</v>
      </c>
      <c r="B33" s="21" t="s">
        <v>485</v>
      </c>
      <c r="C33" s="11" t="s">
        <v>2883</v>
      </c>
      <c r="D33" s="39" t="s">
        <v>2884</v>
      </c>
      <c r="E33" s="39" t="s">
        <v>2884</v>
      </c>
      <c r="F33" s="39" t="s">
        <v>2884</v>
      </c>
      <c r="G33" s="11" t="s">
        <v>2883</v>
      </c>
      <c r="H33" s="11" t="s">
        <v>2883</v>
      </c>
    </row>
    <row r="34" customFormat="false" ht="15" hidden="false" customHeight="false" outlineLevel="0" collapsed="false">
      <c r="A34" s="11" t="s">
        <v>487</v>
      </c>
      <c r="B34" s="21" t="s">
        <v>488</v>
      </c>
      <c r="C34" s="11" t="s">
        <v>2883</v>
      </c>
      <c r="D34" s="39" t="s">
        <v>2884</v>
      </c>
      <c r="E34" s="39" t="s">
        <v>2884</v>
      </c>
      <c r="F34" s="39" t="s">
        <v>2884</v>
      </c>
      <c r="G34" s="39" t="s">
        <v>2884</v>
      </c>
      <c r="H34" s="39" t="s">
        <v>2884</v>
      </c>
    </row>
    <row r="35" customFormat="false" ht="15" hidden="false" customHeight="false" outlineLevel="0" collapsed="false">
      <c r="A35" s="11" t="s">
        <v>490</v>
      </c>
      <c r="B35" s="21" t="s">
        <v>492</v>
      </c>
      <c r="C35" s="38" t="s">
        <v>2882</v>
      </c>
      <c r="D35" s="38" t="s">
        <v>2882</v>
      </c>
      <c r="E35" s="38" t="s">
        <v>2882</v>
      </c>
      <c r="F35" s="38" t="s">
        <v>2882</v>
      </c>
      <c r="G35" s="38" t="s">
        <v>2882</v>
      </c>
      <c r="H35" s="38" t="s">
        <v>2882</v>
      </c>
    </row>
    <row r="36" customFormat="false" ht="15" hidden="false" customHeight="false" outlineLevel="0" collapsed="false">
      <c r="A36" s="11" t="s">
        <v>495</v>
      </c>
      <c r="B36" s="21" t="s">
        <v>496</v>
      </c>
      <c r="C36" s="11" t="s">
        <v>2883</v>
      </c>
      <c r="D36" s="39" t="s">
        <v>2884</v>
      </c>
      <c r="E36" s="39" t="s">
        <v>2884</v>
      </c>
      <c r="F36" s="39" t="s">
        <v>2884</v>
      </c>
      <c r="G36" s="11" t="s">
        <v>2883</v>
      </c>
      <c r="H36" s="39" t="s">
        <v>2884</v>
      </c>
    </row>
    <row r="37" customFormat="false" ht="15" hidden="false" customHeight="false" outlineLevel="0" collapsed="false">
      <c r="A37" s="11" t="s">
        <v>499</v>
      </c>
      <c r="B37" s="21" t="s">
        <v>500</v>
      </c>
      <c r="C37" s="11" t="s">
        <v>2883</v>
      </c>
      <c r="D37" s="11" t="s">
        <v>2883</v>
      </c>
      <c r="E37" s="11" t="s">
        <v>2883</v>
      </c>
      <c r="F37" s="11" t="s">
        <v>2883</v>
      </c>
      <c r="G37" s="11" t="s">
        <v>2883</v>
      </c>
      <c r="H37" s="11" t="s">
        <v>2883</v>
      </c>
    </row>
  </sheetData>
  <autoFilter ref="A3:H37"/>
  <hyperlinks>
    <hyperlink ref="H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80"/>
    <col collapsed="false" customWidth="true" hidden="false" outlineLevel="0" max="4" min="4" style="0" width="30"/>
  </cols>
  <sheetData>
    <row r="1" customFormat="false" ht="15" hidden="false" customHeight="false" outlineLevel="0" collapsed="false">
      <c r="A1" s="5" t="s">
        <v>63</v>
      </c>
      <c r="D1" s="19" t="s">
        <v>78</v>
      </c>
    </row>
    <row r="2" customFormat="false" ht="15" hidden="false" customHeight="false" outlineLevel="0" collapsed="false">
      <c r="A2" s="35" t="s">
        <v>2886</v>
      </c>
    </row>
    <row r="3" customFormat="false" ht="15" hidden="false" customHeight="false" outlineLevel="0" collapsed="false">
      <c r="A3" s="10" t="s">
        <v>2887</v>
      </c>
      <c r="B3" s="10" t="s">
        <v>570</v>
      </c>
      <c r="C3" s="10" t="s">
        <v>130</v>
      </c>
      <c r="D3" s="10" t="s">
        <v>2888</v>
      </c>
    </row>
    <row r="4" customFormat="false" ht="15" hidden="false" customHeight="false" outlineLevel="0" collapsed="false">
      <c r="A4" s="11" t="s">
        <v>1230</v>
      </c>
      <c r="B4" s="20" t="s">
        <v>2889</v>
      </c>
      <c r="C4" s="21" t="s">
        <v>2890</v>
      </c>
      <c r="D4" s="21" t="s">
        <v>2891</v>
      </c>
    </row>
    <row r="5" customFormat="false" ht="15" hidden="false" customHeight="false" outlineLevel="0" collapsed="false">
      <c r="A5" s="11" t="s">
        <v>2892</v>
      </c>
      <c r="B5" s="20" t="s">
        <v>2889</v>
      </c>
      <c r="C5" s="21" t="s">
        <v>2893</v>
      </c>
      <c r="D5" s="22" t="s">
        <v>2894</v>
      </c>
    </row>
    <row r="6" customFormat="false" ht="15" hidden="false" customHeight="false" outlineLevel="0" collapsed="false">
      <c r="A6" s="11" t="s">
        <v>2895</v>
      </c>
      <c r="B6" s="20" t="s">
        <v>2889</v>
      </c>
      <c r="C6" s="21" t="s">
        <v>2896</v>
      </c>
      <c r="D6" s="21" t="s">
        <v>2897</v>
      </c>
    </row>
    <row r="7" customFormat="false" ht="15" hidden="false" customHeight="false" outlineLevel="0" collapsed="false">
      <c r="A7" s="11" t="s">
        <v>1242</v>
      </c>
      <c r="B7" s="20" t="s">
        <v>2889</v>
      </c>
      <c r="C7" s="21" t="s">
        <v>2898</v>
      </c>
      <c r="D7" s="22" t="s">
        <v>2899</v>
      </c>
    </row>
    <row r="8" customFormat="false" ht="26.85" hidden="false" customHeight="false" outlineLevel="0" collapsed="false">
      <c r="A8" s="11" t="s">
        <v>1250</v>
      </c>
      <c r="B8" s="20" t="s">
        <v>2889</v>
      </c>
      <c r="C8" s="21" t="s">
        <v>2900</v>
      </c>
      <c r="D8" s="22" t="s">
        <v>2901</v>
      </c>
    </row>
    <row r="9" customFormat="false" ht="15" hidden="false" customHeight="false" outlineLevel="0" collapsed="false">
      <c r="A9" s="11" t="s">
        <v>826</v>
      </c>
      <c r="B9" s="20" t="s">
        <v>2889</v>
      </c>
      <c r="C9" s="21" t="s">
        <v>2902</v>
      </c>
      <c r="D9" s="21" t="s">
        <v>2903</v>
      </c>
    </row>
    <row r="10" customFormat="false" ht="15" hidden="false" customHeight="false" outlineLevel="0" collapsed="false">
      <c r="A10" s="11" t="s">
        <v>1259</v>
      </c>
      <c r="B10" s="20" t="s">
        <v>2889</v>
      </c>
      <c r="C10" s="21" t="s">
        <v>2904</v>
      </c>
      <c r="D10" s="22" t="s">
        <v>2905</v>
      </c>
    </row>
    <row r="11" customFormat="false" ht="15" hidden="false" customHeight="false" outlineLevel="0" collapsed="false">
      <c r="A11" s="11" t="s">
        <v>2906</v>
      </c>
      <c r="B11" s="20" t="s">
        <v>2889</v>
      </c>
      <c r="C11" s="21" t="s">
        <v>2907</v>
      </c>
      <c r="D11" s="21" t="s">
        <v>2908</v>
      </c>
    </row>
    <row r="12" customFormat="false" ht="15" hidden="false" customHeight="false" outlineLevel="0" collapsed="false">
      <c r="A12" s="11" t="s">
        <v>1269</v>
      </c>
      <c r="B12" s="20" t="s">
        <v>2889</v>
      </c>
      <c r="C12" s="21" t="s">
        <v>2909</v>
      </c>
      <c r="D12" s="21" t="s">
        <v>2910</v>
      </c>
    </row>
    <row r="13" customFormat="false" ht="15" hidden="false" customHeight="false" outlineLevel="0" collapsed="false">
      <c r="A13" s="11" t="s">
        <v>2911</v>
      </c>
      <c r="B13" s="20" t="s">
        <v>2889</v>
      </c>
      <c r="C13" s="21" t="s">
        <v>2912</v>
      </c>
      <c r="D13" s="21" t="s">
        <v>2913</v>
      </c>
    </row>
    <row r="14" customFormat="false" ht="15" hidden="false" customHeight="false" outlineLevel="0" collapsed="false">
      <c r="A14" s="11" t="s">
        <v>1284</v>
      </c>
      <c r="B14" s="20" t="s">
        <v>2889</v>
      </c>
      <c r="C14" s="21" t="s">
        <v>2914</v>
      </c>
      <c r="D14" s="22" t="s">
        <v>2915</v>
      </c>
    </row>
    <row r="15" customFormat="false" ht="15" hidden="false" customHeight="false" outlineLevel="0" collapsed="false">
      <c r="A15" s="11" t="s">
        <v>1290</v>
      </c>
      <c r="B15" s="20" t="s">
        <v>2889</v>
      </c>
      <c r="C15" s="21" t="s">
        <v>2916</v>
      </c>
      <c r="D15" s="22" t="s">
        <v>2917</v>
      </c>
    </row>
    <row r="16" customFormat="false" ht="15" hidden="false" customHeight="false" outlineLevel="0" collapsed="false">
      <c r="A16" s="11" t="s">
        <v>2918</v>
      </c>
      <c r="B16" s="20" t="s">
        <v>2889</v>
      </c>
      <c r="C16" s="21" t="s">
        <v>2919</v>
      </c>
      <c r="D16" s="22" t="s">
        <v>2920</v>
      </c>
    </row>
    <row r="17" customFormat="false" ht="15" hidden="false" customHeight="false" outlineLevel="0" collapsed="false">
      <c r="A17" s="11" t="s">
        <v>1315</v>
      </c>
      <c r="B17" s="20" t="s">
        <v>2889</v>
      </c>
      <c r="C17" s="21" t="s">
        <v>2921</v>
      </c>
      <c r="D17" s="22" t="s">
        <v>1135</v>
      </c>
    </row>
    <row r="18" customFormat="false" ht="15" hidden="false" customHeight="false" outlineLevel="0" collapsed="false">
      <c r="A18" s="11" t="s">
        <v>2922</v>
      </c>
      <c r="B18" s="20" t="s">
        <v>2889</v>
      </c>
      <c r="C18" s="21" t="s">
        <v>2923</v>
      </c>
      <c r="D18" s="22" t="s">
        <v>2924</v>
      </c>
    </row>
    <row r="19" customFormat="false" ht="15" hidden="false" customHeight="false" outlineLevel="0" collapsed="false">
      <c r="A19" s="11" t="s">
        <v>1324</v>
      </c>
      <c r="B19" s="20" t="s">
        <v>2889</v>
      </c>
      <c r="C19" s="21" t="s">
        <v>2925</v>
      </c>
      <c r="D19" s="22" t="s">
        <v>1108</v>
      </c>
    </row>
    <row r="20" customFormat="false" ht="15" hidden="false" customHeight="false" outlineLevel="0" collapsed="false">
      <c r="A20" s="11" t="s">
        <v>2926</v>
      </c>
      <c r="B20" s="20" t="s">
        <v>2889</v>
      </c>
      <c r="C20" s="21" t="s">
        <v>2927</v>
      </c>
      <c r="D20" s="21" t="s">
        <v>1090</v>
      </c>
    </row>
    <row r="21" customFormat="false" ht="15" hidden="false" customHeight="false" outlineLevel="0" collapsed="false">
      <c r="A21" s="11" t="s">
        <v>2928</v>
      </c>
      <c r="B21" s="20" t="s">
        <v>2889</v>
      </c>
      <c r="C21" s="21" t="s">
        <v>2929</v>
      </c>
      <c r="D21" s="22" t="s">
        <v>2930</v>
      </c>
    </row>
    <row r="22" customFormat="false" ht="15" hidden="false" customHeight="false" outlineLevel="0" collapsed="false">
      <c r="A22" s="11" t="s">
        <v>1279</v>
      </c>
      <c r="B22" s="20" t="s">
        <v>2889</v>
      </c>
      <c r="C22" s="21" t="s">
        <v>2931</v>
      </c>
      <c r="D22" s="22" t="s">
        <v>2932</v>
      </c>
    </row>
    <row r="23" customFormat="false" ht="15" hidden="false" customHeight="false" outlineLevel="0" collapsed="false">
      <c r="A23" s="11" t="s">
        <v>1334</v>
      </c>
      <c r="B23" s="20" t="s">
        <v>2889</v>
      </c>
      <c r="C23" s="21" t="s">
        <v>2933</v>
      </c>
      <c r="D23" s="22" t="s">
        <v>1211</v>
      </c>
    </row>
    <row r="24" customFormat="false" ht="25.35" hidden="false" customHeight="false" outlineLevel="0" collapsed="false">
      <c r="A24" s="11" t="s">
        <v>2934</v>
      </c>
      <c r="B24" s="20" t="s">
        <v>2889</v>
      </c>
      <c r="C24" s="21" t="s">
        <v>2935</v>
      </c>
      <c r="D24" s="22" t="s">
        <v>2936</v>
      </c>
    </row>
    <row r="25" customFormat="false" ht="15" hidden="false" customHeight="false" outlineLevel="0" collapsed="false">
      <c r="A25" s="11" t="s">
        <v>1292</v>
      </c>
      <c r="B25" s="20" t="s">
        <v>2889</v>
      </c>
      <c r="C25" s="21" t="s">
        <v>2937</v>
      </c>
      <c r="D25" s="22" t="s">
        <v>2938</v>
      </c>
    </row>
    <row r="26" customFormat="false" ht="15" hidden="false" customHeight="false" outlineLevel="0" collapsed="false">
      <c r="A26" s="11" t="s">
        <v>1300</v>
      </c>
      <c r="B26" s="20" t="s">
        <v>2889</v>
      </c>
      <c r="C26" s="21" t="s">
        <v>2939</v>
      </c>
      <c r="D26" s="22" t="s">
        <v>1198</v>
      </c>
    </row>
    <row r="27" customFormat="false" ht="15" hidden="false" customHeight="false" outlineLevel="0" collapsed="false">
      <c r="A27" s="11" t="s">
        <v>1312</v>
      </c>
      <c r="B27" s="20" t="s">
        <v>2889</v>
      </c>
      <c r="C27" s="21" t="s">
        <v>2940</v>
      </c>
      <c r="D27" s="22" t="s">
        <v>1135</v>
      </c>
    </row>
    <row r="28" customFormat="false" ht="15" hidden="false" customHeight="false" outlineLevel="0" collapsed="false">
      <c r="A28" s="11" t="s">
        <v>1339</v>
      </c>
      <c r="B28" s="20" t="s">
        <v>2889</v>
      </c>
      <c r="C28" s="21" t="s">
        <v>2941</v>
      </c>
      <c r="D28" s="22" t="s">
        <v>2942</v>
      </c>
    </row>
    <row r="29" customFormat="false" ht="15" hidden="false" customHeight="false" outlineLevel="0" collapsed="false">
      <c r="A29" s="11" t="s">
        <v>1234</v>
      </c>
      <c r="B29" s="20" t="s">
        <v>2889</v>
      </c>
      <c r="C29" s="21" t="s">
        <v>2943</v>
      </c>
      <c r="D29" s="22" t="s">
        <v>2944</v>
      </c>
    </row>
    <row r="30" customFormat="false" ht="15" hidden="false" customHeight="false" outlineLevel="0" collapsed="false">
      <c r="A30" s="11" t="s">
        <v>2945</v>
      </c>
      <c r="B30" s="20" t="s">
        <v>2889</v>
      </c>
      <c r="C30" s="21" t="s">
        <v>2946</v>
      </c>
      <c r="D30" s="22" t="s">
        <v>2947</v>
      </c>
    </row>
    <row r="31" customFormat="false" ht="15" hidden="false" customHeight="false" outlineLevel="0" collapsed="false">
      <c r="A31" s="11" t="s">
        <v>1247</v>
      </c>
      <c r="B31" s="20" t="s">
        <v>2948</v>
      </c>
      <c r="C31" s="21" t="s">
        <v>2949</v>
      </c>
      <c r="D31" s="21" t="s">
        <v>2950</v>
      </c>
    </row>
    <row r="32" customFormat="false" ht="15" hidden="false" customHeight="false" outlineLevel="0" collapsed="false">
      <c r="A32" s="11" t="s">
        <v>2951</v>
      </c>
      <c r="B32" s="20" t="s">
        <v>2948</v>
      </c>
      <c r="C32" s="21" t="s">
        <v>2952</v>
      </c>
      <c r="D32" s="21" t="s">
        <v>2953</v>
      </c>
    </row>
    <row r="33" customFormat="false" ht="15" hidden="false" customHeight="false" outlineLevel="0" collapsed="false">
      <c r="A33" s="11" t="s">
        <v>1261</v>
      </c>
      <c r="B33" s="20" t="s">
        <v>2948</v>
      </c>
      <c r="C33" s="21" t="s">
        <v>2954</v>
      </c>
      <c r="D33" s="22" t="s">
        <v>1383</v>
      </c>
    </row>
    <row r="34" customFormat="false" ht="15" hidden="false" customHeight="false" outlineLevel="0" collapsed="false">
      <c r="A34" s="11" t="s">
        <v>1271</v>
      </c>
      <c r="B34" s="20" t="s">
        <v>2948</v>
      </c>
      <c r="C34" s="21" t="s">
        <v>2955</v>
      </c>
      <c r="D34" s="22" t="s">
        <v>2956</v>
      </c>
    </row>
    <row r="35" customFormat="false" ht="15" hidden="false" customHeight="false" outlineLevel="0" collapsed="false">
      <c r="A35" s="11" t="s">
        <v>1307</v>
      </c>
      <c r="B35" s="20" t="s">
        <v>2948</v>
      </c>
      <c r="C35" s="21" t="s">
        <v>2957</v>
      </c>
      <c r="D35" s="22" t="s">
        <v>1376</v>
      </c>
    </row>
    <row r="36" customFormat="false" ht="15" hidden="false" customHeight="false" outlineLevel="0" collapsed="false">
      <c r="A36" s="11" t="s">
        <v>1253</v>
      </c>
      <c r="B36" s="20" t="s">
        <v>2948</v>
      </c>
      <c r="C36" s="21" t="s">
        <v>2958</v>
      </c>
      <c r="D36" s="22" t="s">
        <v>2959</v>
      </c>
    </row>
    <row r="37" customFormat="false" ht="15" hidden="false" customHeight="false" outlineLevel="0" collapsed="false">
      <c r="A37" s="11" t="s">
        <v>1336</v>
      </c>
      <c r="B37" s="20" t="s">
        <v>2948</v>
      </c>
      <c r="C37" s="21" t="s">
        <v>2960</v>
      </c>
      <c r="D37" s="22" t="s">
        <v>1211</v>
      </c>
    </row>
  </sheetData>
  <autoFilter ref="A3:D37"/>
  <hyperlinks>
    <hyperlink ref="D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10"/>
    <col collapsed="false" customWidth="true" hidden="false" outlineLevel="0" max="4" min="4" style="0" width="24"/>
    <col collapsed="false" customWidth="true" hidden="false" outlineLevel="0" max="5" min="5" style="0" width="60"/>
    <col collapsed="false" customWidth="true" hidden="false" outlineLevel="0" max="6" min="6" style="0" width="14"/>
  </cols>
  <sheetData>
    <row r="1" customFormat="false" ht="15" hidden="false" customHeight="false" outlineLevel="0" collapsed="false">
      <c r="A1" s="5" t="s">
        <v>65</v>
      </c>
      <c r="F1" s="19" t="s">
        <v>78</v>
      </c>
    </row>
    <row r="3" customFormat="false" ht="15" hidden="false" customHeight="false" outlineLevel="0" collapsed="false">
      <c r="A3" s="10" t="s">
        <v>2961</v>
      </c>
      <c r="B3" s="10" t="s">
        <v>2962</v>
      </c>
      <c r="C3" s="10" t="s">
        <v>2963</v>
      </c>
      <c r="D3" s="10" t="s">
        <v>1026</v>
      </c>
      <c r="E3" s="10" t="s">
        <v>2964</v>
      </c>
      <c r="F3" s="10" t="s">
        <v>309</v>
      </c>
    </row>
    <row r="4" customFormat="false" ht="15" hidden="false" customHeight="false" outlineLevel="0" collapsed="false">
      <c r="A4" s="11" t="s">
        <v>2965</v>
      </c>
      <c r="B4" s="21" t="s">
        <v>2966</v>
      </c>
      <c r="C4" s="11" t="s">
        <v>2967</v>
      </c>
      <c r="D4" s="21" t="s">
        <v>707</v>
      </c>
      <c r="E4" s="21" t="s">
        <v>2968</v>
      </c>
      <c r="F4" s="22" t="s">
        <v>407</v>
      </c>
    </row>
    <row r="5" customFormat="false" ht="15" hidden="false" customHeight="false" outlineLevel="0" collapsed="false">
      <c r="A5" s="11" t="s">
        <v>2969</v>
      </c>
      <c r="B5" s="21" t="s">
        <v>2970</v>
      </c>
      <c r="C5" s="11" t="s">
        <v>2967</v>
      </c>
      <c r="D5" s="21" t="s">
        <v>1904</v>
      </c>
      <c r="E5" s="21" t="s">
        <v>2971</v>
      </c>
      <c r="F5" s="22" t="s">
        <v>451</v>
      </c>
    </row>
    <row r="6" customFormat="false" ht="15" hidden="false" customHeight="false" outlineLevel="0" collapsed="false">
      <c r="A6" s="11" t="s">
        <v>2972</v>
      </c>
      <c r="B6" s="21" t="s">
        <v>475</v>
      </c>
      <c r="C6" s="20" t="s">
        <v>2973</v>
      </c>
      <c r="D6" s="21" t="s">
        <v>2974</v>
      </c>
      <c r="E6" s="21" t="s">
        <v>2975</v>
      </c>
      <c r="F6" s="22" t="s">
        <v>473</v>
      </c>
    </row>
    <row r="7" customFormat="false" ht="15" hidden="false" customHeight="false" outlineLevel="0" collapsed="false">
      <c r="A7" s="11" t="s">
        <v>2976</v>
      </c>
      <c r="B7" s="21" t="s">
        <v>479</v>
      </c>
      <c r="C7" s="20" t="s">
        <v>2973</v>
      </c>
      <c r="D7" s="21" t="s">
        <v>2977</v>
      </c>
      <c r="E7" s="21" t="s">
        <v>2978</v>
      </c>
      <c r="F7" s="22" t="s">
        <v>478</v>
      </c>
    </row>
    <row r="8" customFormat="false" ht="26.85" hidden="false" customHeight="false" outlineLevel="0" collapsed="false">
      <c r="A8" s="11" t="s">
        <v>2979</v>
      </c>
      <c r="B8" s="21" t="s">
        <v>482</v>
      </c>
      <c r="C8" s="20" t="s">
        <v>2973</v>
      </c>
      <c r="D8" s="21" t="s">
        <v>2980</v>
      </c>
      <c r="E8" s="21" t="s">
        <v>2981</v>
      </c>
      <c r="F8" s="22" t="s">
        <v>481</v>
      </c>
    </row>
    <row r="9" customFormat="false" ht="15" hidden="false" customHeight="false" outlineLevel="0" collapsed="false">
      <c r="A9" s="11" t="s">
        <v>2982</v>
      </c>
      <c r="B9" s="21" t="s">
        <v>485</v>
      </c>
      <c r="C9" s="11" t="s">
        <v>2983</v>
      </c>
      <c r="D9" s="21" t="s">
        <v>2984</v>
      </c>
      <c r="E9" s="21" t="s">
        <v>2985</v>
      </c>
      <c r="F9" s="22" t="s">
        <v>484</v>
      </c>
    </row>
    <row r="10" customFormat="false" ht="15" hidden="false" customHeight="false" outlineLevel="0" collapsed="false">
      <c r="A10" s="11" t="s">
        <v>2986</v>
      </c>
      <c r="B10" s="21" t="s">
        <v>2987</v>
      </c>
      <c r="C10" s="11" t="s">
        <v>2983</v>
      </c>
      <c r="D10" s="21" t="s">
        <v>986</v>
      </c>
      <c r="E10" s="21" t="s">
        <v>2988</v>
      </c>
      <c r="F10" s="22" t="s">
        <v>470</v>
      </c>
    </row>
    <row r="11" customFormat="false" ht="15" hidden="false" customHeight="false" outlineLevel="0" collapsed="false">
      <c r="A11" s="11" t="s">
        <v>2989</v>
      </c>
      <c r="B11" s="21" t="s">
        <v>488</v>
      </c>
      <c r="C11" s="11" t="s">
        <v>2990</v>
      </c>
      <c r="D11" s="21" t="s">
        <v>2991</v>
      </c>
      <c r="E11" s="21" t="s">
        <v>2992</v>
      </c>
      <c r="F11" s="22" t="s">
        <v>487</v>
      </c>
    </row>
  </sheetData>
  <autoFilter ref="A3:F11"/>
  <hyperlinks>
    <hyperlink ref="F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14"/>
    <col collapsed="false" customWidth="true" hidden="false" outlineLevel="0" max="4" min="4" style="0" width="70"/>
    <col collapsed="false" customWidth="true" hidden="false" outlineLevel="0" max="5" min="5" style="0" width="36"/>
  </cols>
  <sheetData>
    <row r="1" customFormat="false" ht="15" hidden="false" customHeight="false" outlineLevel="0" collapsed="false">
      <c r="A1" s="5" t="s">
        <v>67</v>
      </c>
      <c r="E1" s="19" t="s">
        <v>78</v>
      </c>
    </row>
    <row r="3" customFormat="false" ht="25.35" hidden="false" customHeight="false" outlineLevel="0" collapsed="false">
      <c r="A3" s="10" t="s">
        <v>2993</v>
      </c>
      <c r="B3" s="10" t="s">
        <v>2994</v>
      </c>
      <c r="C3" s="10" t="s">
        <v>2995</v>
      </c>
      <c r="D3" s="10" t="s">
        <v>2996</v>
      </c>
      <c r="E3" s="10" t="s">
        <v>2997</v>
      </c>
    </row>
    <row r="4" customFormat="false" ht="26.85" hidden="false" customHeight="false" outlineLevel="0" collapsed="false">
      <c r="A4" s="11" t="s">
        <v>2998</v>
      </c>
      <c r="B4" s="21" t="s">
        <v>2999</v>
      </c>
      <c r="C4" s="20" t="s">
        <v>3000</v>
      </c>
      <c r="D4" s="22" t="s">
        <v>3001</v>
      </c>
      <c r="E4" s="21" t="s">
        <v>3002</v>
      </c>
    </row>
    <row r="5" customFormat="false" ht="15" hidden="false" customHeight="false" outlineLevel="0" collapsed="false">
      <c r="A5" s="11" t="s">
        <v>3003</v>
      </c>
      <c r="B5" s="21" t="s">
        <v>3004</v>
      </c>
      <c r="C5" s="20" t="s">
        <v>3005</v>
      </c>
      <c r="D5" s="22" t="s">
        <v>3006</v>
      </c>
      <c r="E5" s="21" t="s">
        <v>3007</v>
      </c>
    </row>
    <row r="6" customFormat="false" ht="15" hidden="false" customHeight="false" outlineLevel="0" collapsed="false">
      <c r="A6" s="11" t="s">
        <v>3008</v>
      </c>
      <c r="B6" s="21" t="s">
        <v>3009</v>
      </c>
      <c r="C6" s="20" t="s">
        <v>3010</v>
      </c>
      <c r="D6" s="22" t="s">
        <v>3011</v>
      </c>
      <c r="E6" s="21" t="s">
        <v>3012</v>
      </c>
    </row>
    <row r="7" customFormat="false" ht="26.85" hidden="false" customHeight="false" outlineLevel="0" collapsed="false">
      <c r="A7" s="11" t="s">
        <v>3013</v>
      </c>
      <c r="B7" s="21" t="s">
        <v>3014</v>
      </c>
      <c r="C7" s="20" t="s">
        <v>3015</v>
      </c>
      <c r="D7" s="21" t="s">
        <v>3016</v>
      </c>
      <c r="E7" s="21" t="s">
        <v>3017</v>
      </c>
    </row>
    <row r="8" customFormat="false" ht="15" hidden="false" customHeight="false" outlineLevel="0" collapsed="false">
      <c r="A8" s="11" t="s">
        <v>3018</v>
      </c>
      <c r="B8" s="21" t="s">
        <v>3019</v>
      </c>
      <c r="C8" s="20" t="s">
        <v>3020</v>
      </c>
      <c r="D8" s="21" t="s">
        <v>3021</v>
      </c>
      <c r="E8" s="21" t="s">
        <v>3022</v>
      </c>
    </row>
  </sheetData>
  <autoFilter ref="A3:E8"/>
  <hyperlinks>
    <hyperlink ref="E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00"/>
  </cols>
  <sheetData>
    <row r="1" customFormat="false" ht="15" hidden="false" customHeight="false" outlineLevel="0" collapsed="false">
      <c r="A1" s="5" t="s">
        <v>69</v>
      </c>
      <c r="C1" s="19" t="s">
        <v>78</v>
      </c>
    </row>
    <row r="3" customFormat="false" ht="15" hidden="false" customHeight="false" outlineLevel="0" collapsed="false">
      <c r="A3" s="10" t="s">
        <v>81</v>
      </c>
      <c r="B3" s="10" t="s">
        <v>286</v>
      </c>
      <c r="C3" s="10" t="s">
        <v>3023</v>
      </c>
    </row>
    <row r="4" customFormat="false" ht="15" hidden="false" customHeight="false" outlineLevel="0" collapsed="false">
      <c r="A4" s="20" t="s">
        <v>3024</v>
      </c>
      <c r="B4" s="21" t="s">
        <v>3025</v>
      </c>
      <c r="C4" s="21" t="s">
        <v>3026</v>
      </c>
    </row>
    <row r="5" customFormat="false" ht="15" hidden="false" customHeight="false" outlineLevel="0" collapsed="false">
      <c r="A5" s="20" t="s">
        <v>3024</v>
      </c>
      <c r="B5" s="21" t="s">
        <v>3027</v>
      </c>
      <c r="C5" s="21" t="s">
        <v>3028</v>
      </c>
    </row>
    <row r="6" customFormat="false" ht="15" hidden="false" customHeight="false" outlineLevel="0" collapsed="false">
      <c r="A6" s="20" t="s">
        <v>3029</v>
      </c>
      <c r="B6" s="21" t="s">
        <v>3030</v>
      </c>
      <c r="C6" s="21" t="s">
        <v>3031</v>
      </c>
    </row>
    <row r="7" customFormat="false" ht="15" hidden="false" customHeight="false" outlineLevel="0" collapsed="false">
      <c r="A7" s="20" t="s">
        <v>3032</v>
      </c>
      <c r="B7" s="21" t="s">
        <v>3033</v>
      </c>
      <c r="C7" s="22" t="s">
        <v>3034</v>
      </c>
    </row>
    <row r="8" customFormat="false" ht="15" hidden="false" customHeight="false" outlineLevel="0" collapsed="false">
      <c r="A8" s="20" t="s">
        <v>3032</v>
      </c>
      <c r="B8" s="21" t="s">
        <v>3035</v>
      </c>
      <c r="C8" s="21" t="s">
        <v>3036</v>
      </c>
    </row>
    <row r="9" customFormat="false" ht="15" hidden="false" customHeight="false" outlineLevel="0" collapsed="false">
      <c r="A9" s="20" t="s">
        <v>3037</v>
      </c>
      <c r="B9" s="21" t="s">
        <v>3038</v>
      </c>
      <c r="C9" s="21" t="s">
        <v>3039</v>
      </c>
    </row>
    <row r="10" customFormat="false" ht="15" hidden="false" customHeight="false" outlineLevel="0" collapsed="false">
      <c r="A10" s="20" t="s">
        <v>3037</v>
      </c>
      <c r="B10" s="21" t="s">
        <v>3040</v>
      </c>
      <c r="C10" s="21" t="s">
        <v>3041</v>
      </c>
    </row>
    <row r="11" customFormat="false" ht="15" hidden="false" customHeight="false" outlineLevel="0" collapsed="false">
      <c r="A11" s="20" t="s">
        <v>3037</v>
      </c>
      <c r="B11" s="21" t="s">
        <v>3042</v>
      </c>
      <c r="C11" s="21" t="s">
        <v>3043</v>
      </c>
    </row>
    <row r="12" customFormat="false" ht="15" hidden="false" customHeight="false" outlineLevel="0" collapsed="false">
      <c r="A12" s="20" t="s">
        <v>3037</v>
      </c>
      <c r="B12" s="21" t="s">
        <v>3044</v>
      </c>
      <c r="C12" s="21" t="s">
        <v>3045</v>
      </c>
    </row>
    <row r="13" customFormat="false" ht="15" hidden="false" customHeight="false" outlineLevel="0" collapsed="false">
      <c r="A13" s="20" t="s">
        <v>3046</v>
      </c>
      <c r="B13" s="21" t="s">
        <v>496</v>
      </c>
      <c r="C13" s="21" t="s">
        <v>3047</v>
      </c>
    </row>
    <row r="14" customFormat="false" ht="15" hidden="false" customHeight="false" outlineLevel="0" collapsed="false">
      <c r="A14" s="20" t="s">
        <v>3046</v>
      </c>
      <c r="B14" s="21" t="s">
        <v>3048</v>
      </c>
      <c r="C14" s="21" t="s">
        <v>3049</v>
      </c>
    </row>
    <row r="15" customFormat="false" ht="15" hidden="false" customHeight="false" outlineLevel="0" collapsed="false">
      <c r="A15" s="20" t="s">
        <v>3050</v>
      </c>
      <c r="B15" s="21" t="s">
        <v>3051</v>
      </c>
      <c r="C15" s="21" t="s">
        <v>3052</v>
      </c>
    </row>
    <row r="16" customFormat="false" ht="15" hidden="false" customHeight="false" outlineLevel="0" collapsed="false">
      <c r="A16" s="20" t="s">
        <v>3053</v>
      </c>
      <c r="B16" s="21" t="s">
        <v>3054</v>
      </c>
      <c r="C16" s="21" t="s">
        <v>3055</v>
      </c>
    </row>
    <row r="17" customFormat="false" ht="26.85" hidden="false" customHeight="false" outlineLevel="0" collapsed="false">
      <c r="A17" s="20" t="s">
        <v>149</v>
      </c>
      <c r="B17" s="21" t="s">
        <v>3056</v>
      </c>
      <c r="C17" s="21" t="s">
        <v>3057</v>
      </c>
    </row>
    <row r="18" customFormat="false" ht="39.55" hidden="false" customHeight="false" outlineLevel="0" collapsed="false">
      <c r="A18" s="20" t="s">
        <v>3050</v>
      </c>
      <c r="B18" s="21" t="s">
        <v>3058</v>
      </c>
      <c r="C18" s="21" t="s">
        <v>3059</v>
      </c>
    </row>
    <row r="19" customFormat="false" ht="15" hidden="false" customHeight="false" outlineLevel="0" collapsed="false">
      <c r="A19" s="11" t="s">
        <v>3060</v>
      </c>
      <c r="B19" s="21" t="s">
        <v>3061</v>
      </c>
      <c r="C19" s="22" t="s">
        <v>3062</v>
      </c>
    </row>
    <row r="20" customFormat="false" ht="15" hidden="false" customHeight="false" outlineLevel="0" collapsed="false">
      <c r="A20" s="11" t="s">
        <v>3060</v>
      </c>
      <c r="B20" s="21" t="s">
        <v>3063</v>
      </c>
      <c r="C20" s="21" t="s">
        <v>3064</v>
      </c>
    </row>
    <row r="21" customFormat="false" ht="26.85" hidden="false" customHeight="false" outlineLevel="0" collapsed="false">
      <c r="A21" s="20" t="s">
        <v>3065</v>
      </c>
      <c r="B21" s="21" t="s">
        <v>3066</v>
      </c>
      <c r="C21" s="21" t="s">
        <v>3067</v>
      </c>
    </row>
  </sheetData>
  <autoFilter ref="A3:C21"/>
  <hyperlinks>
    <hyperlink ref="C1" r:id="rId1"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60"/>
    <col collapsed="false" customWidth="true" hidden="false" outlineLevel="0" max="4" min="4" style="0" width="40"/>
    <col collapsed="false" customWidth="true" hidden="false" outlineLevel="0" max="5" min="5" style="0" width="16"/>
    <col collapsed="false" customWidth="true" hidden="false" outlineLevel="0" max="6" min="6" style="0" width="10"/>
    <col collapsed="false" customWidth="true" hidden="false" outlineLevel="0" max="7" min="7" style="0" width="40"/>
  </cols>
  <sheetData>
    <row r="1" customFormat="false" ht="15" hidden="false" customHeight="false" outlineLevel="0" collapsed="false">
      <c r="A1" s="5" t="s">
        <v>71</v>
      </c>
      <c r="G1" s="19" t="s">
        <v>78</v>
      </c>
    </row>
    <row r="2" customFormat="false" ht="15" hidden="false" customHeight="false" outlineLevel="0" collapsed="false">
      <c r="A2" s="23" t="s">
        <v>3068</v>
      </c>
    </row>
    <row r="3" customFormat="false" ht="15" hidden="false" customHeight="false" outlineLevel="0" collapsed="false">
      <c r="A3" s="9" t="s">
        <v>24</v>
      </c>
      <c r="B3" s="10" t="s">
        <v>81</v>
      </c>
      <c r="C3" s="10" t="s">
        <v>26</v>
      </c>
      <c r="D3" s="10" t="s">
        <v>3069</v>
      </c>
      <c r="E3" s="10" t="s">
        <v>3070</v>
      </c>
      <c r="F3" s="10" t="s">
        <v>794</v>
      </c>
      <c r="G3" s="10" t="s">
        <v>3071</v>
      </c>
    </row>
    <row r="4" customFormat="false" ht="26.85" hidden="false" customHeight="false" outlineLevel="0" collapsed="false">
      <c r="A4" s="11" t="s">
        <v>3072</v>
      </c>
      <c r="B4" s="20" t="s">
        <v>3073</v>
      </c>
      <c r="C4" s="21" t="s">
        <v>3074</v>
      </c>
      <c r="D4" s="21" t="s">
        <v>3075</v>
      </c>
      <c r="E4" s="21" t="s">
        <v>3076</v>
      </c>
      <c r="F4" s="40" t="s">
        <v>3077</v>
      </c>
      <c r="G4" s="41"/>
    </row>
    <row r="5" customFormat="false" ht="15" hidden="false" customHeight="false" outlineLevel="0" collapsed="false">
      <c r="A5" s="11" t="s">
        <v>3078</v>
      </c>
      <c r="B5" s="20" t="s">
        <v>3073</v>
      </c>
      <c r="C5" s="21" t="s">
        <v>3079</v>
      </c>
      <c r="D5" s="21" t="s">
        <v>3080</v>
      </c>
      <c r="E5" s="21" t="s">
        <v>3076</v>
      </c>
      <c r="F5" s="40" t="s">
        <v>3077</v>
      </c>
      <c r="G5" s="41"/>
    </row>
    <row r="6" customFormat="false" ht="15" hidden="false" customHeight="false" outlineLevel="0" collapsed="false">
      <c r="A6" s="11" t="s">
        <v>3081</v>
      </c>
      <c r="B6" s="20" t="s">
        <v>306</v>
      </c>
      <c r="C6" s="21" t="s">
        <v>3082</v>
      </c>
      <c r="D6" s="21" t="s">
        <v>3083</v>
      </c>
      <c r="E6" s="21" t="s">
        <v>3084</v>
      </c>
      <c r="F6" s="40" t="s">
        <v>3077</v>
      </c>
      <c r="G6" s="41"/>
    </row>
    <row r="7" customFormat="false" ht="15" hidden="false" customHeight="false" outlineLevel="0" collapsed="false">
      <c r="A7" s="11" t="s">
        <v>3085</v>
      </c>
      <c r="B7" s="20" t="s">
        <v>306</v>
      </c>
      <c r="C7" s="22" t="s">
        <v>3086</v>
      </c>
      <c r="D7" s="21" t="s">
        <v>3087</v>
      </c>
      <c r="E7" s="21" t="s">
        <v>3084</v>
      </c>
      <c r="F7" s="40" t="s">
        <v>3077</v>
      </c>
      <c r="G7" s="41"/>
    </row>
    <row r="8" customFormat="false" ht="15" hidden="false" customHeight="false" outlineLevel="0" collapsed="false">
      <c r="A8" s="11" t="s">
        <v>3088</v>
      </c>
      <c r="B8" s="20" t="s">
        <v>306</v>
      </c>
      <c r="C8" s="21" t="s">
        <v>3089</v>
      </c>
      <c r="D8" s="21" t="s">
        <v>3090</v>
      </c>
      <c r="E8" s="21" t="s">
        <v>3084</v>
      </c>
      <c r="F8" s="40" t="s">
        <v>3077</v>
      </c>
      <c r="G8" s="41"/>
    </row>
    <row r="9" customFormat="false" ht="15" hidden="false" customHeight="false" outlineLevel="0" collapsed="false">
      <c r="A9" s="11" t="s">
        <v>3091</v>
      </c>
      <c r="B9" s="20" t="s">
        <v>1438</v>
      </c>
      <c r="C9" s="21" t="s">
        <v>3092</v>
      </c>
      <c r="D9" s="21" t="s">
        <v>3093</v>
      </c>
      <c r="E9" s="21" t="s">
        <v>3094</v>
      </c>
      <c r="F9" s="40" t="s">
        <v>3077</v>
      </c>
      <c r="G9" s="41"/>
    </row>
    <row r="10" customFormat="false" ht="15" hidden="false" customHeight="false" outlineLevel="0" collapsed="false">
      <c r="A10" s="11" t="s">
        <v>3095</v>
      </c>
      <c r="B10" s="20" t="s">
        <v>1438</v>
      </c>
      <c r="C10" s="21" t="s">
        <v>3096</v>
      </c>
      <c r="D10" s="21" t="s">
        <v>3097</v>
      </c>
      <c r="E10" s="21" t="s">
        <v>3094</v>
      </c>
      <c r="F10" s="40" t="s">
        <v>3077</v>
      </c>
      <c r="G10" s="41"/>
    </row>
    <row r="11" customFormat="false" ht="15" hidden="false" customHeight="false" outlineLevel="0" collapsed="false">
      <c r="A11" s="11" t="s">
        <v>3098</v>
      </c>
      <c r="B11" s="20" t="s">
        <v>306</v>
      </c>
      <c r="C11" s="21" t="s">
        <v>3099</v>
      </c>
      <c r="D11" s="21" t="s">
        <v>3100</v>
      </c>
      <c r="E11" s="21" t="s">
        <v>3084</v>
      </c>
      <c r="F11" s="40" t="s">
        <v>3077</v>
      </c>
      <c r="G11" s="41"/>
    </row>
    <row r="12" customFormat="false" ht="26.85" hidden="false" customHeight="false" outlineLevel="0" collapsed="false">
      <c r="A12" s="11" t="s">
        <v>3101</v>
      </c>
      <c r="B12" s="20" t="s">
        <v>358</v>
      </c>
      <c r="C12" s="21" t="s">
        <v>3102</v>
      </c>
      <c r="D12" s="22" t="s">
        <v>3103</v>
      </c>
      <c r="E12" s="21" t="s">
        <v>3084</v>
      </c>
      <c r="F12" s="40" t="s">
        <v>3077</v>
      </c>
      <c r="G12" s="41"/>
    </row>
    <row r="13" customFormat="false" ht="15" hidden="false" customHeight="false" outlineLevel="0" collapsed="false">
      <c r="A13" s="11" t="s">
        <v>3104</v>
      </c>
      <c r="B13" s="20" t="s">
        <v>1438</v>
      </c>
      <c r="C13" s="21" t="s">
        <v>3105</v>
      </c>
      <c r="D13" s="21" t="s">
        <v>3106</v>
      </c>
      <c r="E13" s="21" t="s">
        <v>3076</v>
      </c>
      <c r="F13" s="40" t="s">
        <v>3077</v>
      </c>
      <c r="G13" s="41"/>
    </row>
  </sheetData>
  <autoFilter ref="A3:G13"/>
  <dataValidations count="1">
    <dataValidation allowBlank="false" errorStyle="stop" operator="between" showDropDown="false" showErrorMessage="false" showInputMessage="false" sqref="F4:F13" type="list">
      <formula1>"未対応,確認中,回答済,クローズ"</formula1>
      <formula2>0</formula2>
    </dataValidation>
  </dataValidations>
  <hyperlinks>
    <hyperlink ref="G1" r:id="rId2" location="'表紙'!A1" display="← 表紙へ"/>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
  <legacyDrawing r:id="rId4"/>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2026-10-04T12:04:02Z</dcterms:created>
  <dc:creator>openpyxl</dc:creator>
  <dc:description/>
  <dc:language>en-US</dc:language>
  <cp:lastModifiedBy/>
  <dcterms:modified xsi:type="dcterms:W3CDTF">2026-10-04T12:04:02Z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