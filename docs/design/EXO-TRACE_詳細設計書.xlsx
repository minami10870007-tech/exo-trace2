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改訂履歴" sheetId="2" state="visible" r:id="rId2"/>
    <sheet name="レビュー記録" sheetId="3" state="visible" r:id="rId3"/>
    <sheet name="システム概要" sheetId="4" state="visible" r:id="rId4"/>
    <sheet name="業務フロー" sheetId="5" state="visible" r:id="rId5"/>
    <sheet name="機能一覧" sheetId="6" state="visible" r:id="rId6"/>
    <sheet name="画面一覧" sheetId="7" state="visible" r:id="rId7"/>
    <sheet name="画面項目定義" sheetId="8" state="visible" r:id="rId8"/>
    <sheet name="API一覧" sheetId="9" state="visible" r:id="rId9"/>
    <sheet name="処理詳細" sheetId="10" state="visible" r:id="rId10"/>
    <sheet name="業務ルール" sheetId="11" state="visible" r:id="rId11"/>
    <sheet name="状態遷移" sheetId="12" state="visible" r:id="rId12"/>
    <sheet name="テーブル一覧" sheetId="13" state="visible" r:id="rId13"/>
    <sheet name="項目定義" sheetId="14" state="visible" r:id="rId14"/>
    <sheet name="インデックス・制約" sheetId="15" state="visible" r:id="rId15"/>
    <sheet name="DDL" sheetId="16" state="visible" r:id="rId16"/>
    <sheet name="主要SQL" sheetId="17" state="visible" r:id="rId17"/>
    <sheet name="コード定義" sheetId="18" state="visible" r:id="rId18"/>
    <sheet name="権限マトリクス" sheetId="19" state="visible" r:id="rId19"/>
    <sheet name="メッセージ一覧" sheetId="20" state="visible" r:id="rId20"/>
    <sheet name="帳票一覧" sheetId="21" state="visible" r:id="rId21"/>
    <sheet name="バッチ一覧" sheetId="22" state="visible" r:id="rId22"/>
    <sheet name="非機能要件" sheetId="23" state="visible" r:id="rId23"/>
    <sheet name="課題一覧" sheetId="24" state="visible" r:id="rId24"/>
  </sheets>
  <definedNames>
    <definedName name="_xlnm._FilterDatabase" localSheetId="1" hidden="1">'改訂履歴'!$A$3:$E$11</definedName>
    <definedName name="_xlnm.Print_Titles" localSheetId="1">'改訂履歴'!$3:$3</definedName>
    <definedName name="_xlnm._FilterDatabase" localSheetId="2" hidden="1">'レビュー記録'!$A$3:$G$64</definedName>
    <definedName name="_xlnm.Print_Titles" localSheetId="2">'レビュー記録'!$3:$3</definedName>
    <definedName name="_xlnm._FilterDatabase" localSheetId="3" hidden="1">'システム概要'!$A$3:$B$12</definedName>
    <definedName name="_xlnm.Print_Titles" localSheetId="3">'システム概要'!$3:$3</definedName>
    <definedName name="_xlnm._FilterDatabase" localSheetId="4" hidden="1">'業務フロー'!$A$3:$G$13</definedName>
    <definedName name="_xlnm.Print_Titles" localSheetId="4">'業務フロー'!$3:$3</definedName>
    <definedName name="_xlnm._FilterDatabase" localSheetId="5" hidden="1">'機能一覧'!$A$3:$F$37</definedName>
    <definedName name="_xlnm.Print_Titles" localSheetId="5">'機能一覧'!$3:$3</definedName>
    <definedName name="_xlnm._FilterDatabase" localSheetId="6" hidden="1">'画面一覧'!$A$3:$E$27</definedName>
    <definedName name="_xlnm.Print_Titles" localSheetId="6">'画面一覧'!$3:$3</definedName>
    <definedName name="_xlnm._FilterDatabase" localSheetId="7" hidden="1">'画面項目定義'!$A$3:$K$160</definedName>
    <definedName name="_xlnm.Print_Titles" localSheetId="7">'画面項目定義'!$3:$3</definedName>
    <definedName name="_xlnm._FilterDatabase" localSheetId="8" hidden="1">'API一覧'!$A$3:$G$54</definedName>
    <definedName name="_xlnm.Print_Titles" localSheetId="8">'API一覧'!$3:$3</definedName>
    <definedName name="_xlnm._FilterDatabase" localSheetId="9" hidden="1">'処理詳細'!$A$3:$E$95</definedName>
    <definedName name="_xlnm.Print_Titles" localSheetId="9">'処理詳細'!$3:$3</definedName>
    <definedName name="_xlnm._FilterDatabase" localSheetId="10" hidden="1">'業務ルール'!$A$3:$D$23</definedName>
    <definedName name="_xlnm.Print_Titles" localSheetId="10">'業務ルール'!$3:$3</definedName>
    <definedName name="_xlnm._FilterDatabase" localSheetId="11" hidden="1">'状態遷移'!$A$3:$F$51</definedName>
    <definedName name="_xlnm.Print_Titles" localSheetId="11">'状態遷移'!$3:$3</definedName>
    <definedName name="_xlnm._FilterDatabase" localSheetId="12" hidden="1">'テーブル一覧'!$A$3:$F$29</definedName>
    <definedName name="_xlnm.Print_Titles" localSheetId="12">'テーブル一覧'!$3:$3</definedName>
    <definedName name="_xlnm._FilterDatabase" localSheetId="13" hidden="1">'項目定義'!$A$3:$K$382</definedName>
    <definedName name="_xlnm.Print_Titles" localSheetId="13">'項目定義'!$3:$3</definedName>
    <definedName name="_xlnm._FilterDatabase" localSheetId="14" hidden="1">'インデックス・制約'!$A$3:$E$42</definedName>
    <definedName name="_xlnm.Print_Titles" localSheetId="14">'インデックス・制約'!$3:$3</definedName>
    <definedName name="_xlnm._FilterDatabase" localSheetId="16" hidden="1">'主要SQL'!$A$3:$C$8</definedName>
    <definedName name="_xlnm.Print_Titles" localSheetId="16">'主要SQL'!$3:$3</definedName>
    <definedName name="_xlnm._FilterDatabase" localSheetId="17" hidden="1">'コード定義'!$A$3:$D$47</definedName>
    <definedName name="_xlnm.Print_Titles" localSheetId="17">'コード定義'!$3:$3</definedName>
    <definedName name="_xlnm._FilterDatabase" localSheetId="18" hidden="1">'権限マトリクス'!$A$3:$H$37</definedName>
    <definedName name="_xlnm.Print_Titles" localSheetId="18">'権限マトリクス'!$3:$3</definedName>
    <definedName name="_xlnm._FilterDatabase" localSheetId="19" hidden="1">'メッセージ一覧'!$A$3:$D$38</definedName>
    <definedName name="_xlnm.Print_Titles" localSheetId="19">'メッセージ一覧'!$3:$3</definedName>
    <definedName name="_xlnm._FilterDatabase" localSheetId="20" hidden="1">'帳票一覧'!$A$3:$F$11</definedName>
    <definedName name="_xlnm.Print_Titles" localSheetId="20">'帳票一覧'!$3:$3</definedName>
    <definedName name="_xlnm._FilterDatabase" localSheetId="21" hidden="1">'バッチ一覧'!$A$3:$E$8</definedName>
    <definedName name="_xlnm.Print_Titles" localSheetId="21">'バッチ一覧'!$3:$3</definedName>
    <definedName name="_xlnm._FilterDatabase" localSheetId="22" hidden="1">'非機能要件'!$A$3:$C$21</definedName>
    <definedName name="_xlnm.Print_Titles" localSheetId="22">'非機能要件'!$3:$3</definedName>
    <definedName name="_xlnm._FilterDatabase" localSheetId="23" hidden="1">'課題一覧'!$A$3:$G$13</definedName>
    <definedName name="_xlnm.Print_Titles" localSheetId="23">'課題一覧'!$3:$3</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F4E5F"/>
      <sz val="16"/>
    </font>
    <font>
      <name val="Arial"/>
      <b val="1"/>
      <sz val="14"/>
    </font>
    <font>
      <name val="Arial"/>
      <b val="1"/>
      <sz val="10"/>
    </font>
    <font>
      <name val="Arial"/>
      <sz val="10"/>
    </font>
    <font>
      <name val="Arial"/>
      <b val="1"/>
      <color rgb="001F4E5F"/>
      <sz val="11"/>
    </font>
    <font>
      <name val="Arial"/>
      <b val="1"/>
      <color rgb="00FFFFFF"/>
      <sz val="10"/>
    </font>
    <font>
      <name val="Arial"/>
      <color rgb="000563C1"/>
      <sz val="10"/>
      <u val="single"/>
    </font>
    <font>
      <name val="Arial"/>
      <i val="1"/>
      <color rgb="00595959"/>
      <sz val="9"/>
    </font>
    <font>
      <name val="Courier New"/>
      <sz val="9"/>
    </font>
    <font>
      <name val="Arial"/>
      <color rgb="00A6A6A6"/>
      <sz val="10"/>
    </font>
  </fonts>
  <fills count="7">
    <fill>
      <patternFill/>
    </fill>
    <fill>
      <patternFill patternType="gray125"/>
    </fill>
    <fill>
      <patternFill patternType="solid">
        <fgColor rgb="001F4E5F"/>
      </patternFill>
    </fill>
    <fill>
      <patternFill patternType="solid">
        <fgColor rgb="00D9E7EC"/>
      </patternFill>
    </fill>
    <fill>
      <patternFill patternType="solid">
        <fgColor rgb="00FFF2CC"/>
      </patternFill>
    </fill>
    <fill>
      <patternFill patternType="solid">
        <fgColor rgb="00FFFF00"/>
      </patternFill>
    </fill>
    <fill>
      <patternFill patternType="solid">
        <fgColor rgb="00E2EFDA"/>
      </patternFill>
    </fill>
  </fills>
  <borders count="6">
    <border>
      <left/>
      <right/>
      <top/>
      <bottom/>
      <diagonal/>
    </border>
    <border>
      <left style="thin">
        <color rgb="00A6A6A6"/>
      </left>
      <right style="thin">
        <color rgb="00A6A6A6"/>
      </right>
      <top style="thin">
        <color rgb="00A6A6A6"/>
      </top>
      <bottom style="thin">
        <color rgb="00A6A6A6"/>
      </bottom>
    </border>
    <border>
      <left/>
      <right/>
      <top style="thin">
        <color rgb="00A6A6A6"/>
      </top>
      <bottom/>
      <diagonal/>
    </border>
    <border>
      <left/>
      <right style="thin">
        <color rgb="00A6A6A6"/>
      </right>
      <top style="thin">
        <color rgb="00A6A6A6"/>
      </top>
      <bottom/>
      <diagonal/>
    </border>
    <border>
      <left/>
      <right/>
      <top style="thin">
        <color rgb="00A6A6A6"/>
      </top>
      <bottom style="thin">
        <color rgb="00A6A6A6"/>
      </bottom>
      <diagonal/>
    </border>
    <border>
      <left/>
      <right style="thin">
        <color rgb="00A6A6A6"/>
      </right>
      <top style="thin">
        <color rgb="00A6A6A6"/>
      </top>
      <bottom style="thin">
        <color rgb="00A6A6A6"/>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4" fillId="0" borderId="1" pivotButton="0" quotePrefix="0" xfId="0"/>
    <xf numFmtId="0" fontId="4" fillId="0" borderId="1" applyAlignment="1" pivotButton="0" quotePrefix="0" xfId="0">
      <alignment horizontal="right"/>
    </xf>
    <xf numFmtId="0" fontId="6" fillId="2" borderId="1" applyAlignment="1" pivotButton="0" quotePrefix="0" xfId="0">
      <alignment horizontal="center" vertical="top" wrapText="1"/>
    </xf>
    <xf numFmtId="0" fontId="4" fillId="0" borderId="1" applyAlignment="1" pivotButton="0" quotePrefix="0" xfId="0">
      <alignment horizontal="center" vertical="top" wrapText="1"/>
    </xf>
    <xf numFmtId="0" fontId="7" fillId="0" borderId="1" pivotButton="0" quotePrefix="0" xfId="0"/>
    <xf numFmtId="0" fontId="0" fillId="2" borderId="1" pivotButton="0" quotePrefix="0" xfId="0"/>
    <xf numFmtId="0" fontId="0" fillId="3" borderId="1" pivotButton="0" quotePrefix="0" xfId="0"/>
    <xf numFmtId="0" fontId="0" fillId="4" borderId="1" pivotButton="0" quotePrefix="0" xfId="0"/>
    <xf numFmtId="0" fontId="0" fillId="5" borderId="1" pivotButton="0" quotePrefix="0" xfId="0"/>
    <xf numFmtId="0" fontId="7" fillId="0" borderId="0" pivotButton="0" quotePrefix="0" xfId="0"/>
    <xf numFmtId="0" fontId="4" fillId="0" borderId="1" applyAlignment="1" pivotButton="0" quotePrefix="0" xfId="0">
      <alignment vertical="top" wrapText="1"/>
    </xf>
    <xf numFmtId="0" fontId="8" fillId="0" borderId="0" pivotButton="0" quotePrefix="0" xfId="0"/>
    <xf numFmtId="0" fontId="3" fillId="0"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7" fillId="0" borderId="1" applyAlignment="1" pivotButton="0" quotePrefix="0" xfId="0">
      <alignment vertical="top" wrapText="1"/>
    </xf>
    <xf numFmtId="0" fontId="3" fillId="3" borderId="1" applyAlignment="1" pivotButton="0" quotePrefix="0" xfId="0">
      <alignment vertical="top" wrapText="1"/>
    </xf>
    <xf numFmtId="0" fontId="3" fillId="3" borderId="1" applyAlignment="1" pivotButton="0" quotePrefix="0" xfId="0">
      <alignment horizontal="center" vertical="top" wrapText="1"/>
    </xf>
    <xf numFmtId="0" fontId="3" fillId="3" borderId="4" pivotButton="0" quotePrefix="0" xfId="0"/>
    <xf numFmtId="0" fontId="3" fillId="3" borderId="5" pivotButton="0" quotePrefix="0" xfId="0"/>
    <xf numFmtId="0" fontId="4" fillId="4" borderId="1" applyAlignment="1" pivotButton="0" quotePrefix="0" xfId="0">
      <alignment vertical="top" wrapText="1"/>
    </xf>
    <xf numFmtId="0" fontId="4" fillId="4" borderId="1" applyAlignment="1" pivotButton="0" quotePrefix="0" xfId="0">
      <alignment horizontal="center" vertical="top" wrapText="1"/>
    </xf>
    <xf numFmtId="0" fontId="9" fillId="0" borderId="0" pivotButton="0" quotePrefix="0" xfId="0"/>
    <xf numFmtId="0" fontId="9" fillId="0" borderId="1" applyAlignment="1" pivotButton="0" quotePrefix="0" xfId="0">
      <alignment vertical="top" wrapText="1"/>
    </xf>
    <xf numFmtId="0" fontId="4" fillId="6" borderId="1" applyAlignment="1" pivotButton="0" quotePrefix="0" xfId="0">
      <alignment horizontal="center" vertical="top" wrapText="1"/>
    </xf>
    <xf numFmtId="0" fontId="10" fillId="0" borderId="1" applyAlignment="1" pivotButton="0" quotePrefix="0" xfId="0">
      <alignment horizontal="center" vertical="top" wrapText="1"/>
    </xf>
    <xf numFmtId="0" fontId="4" fillId="5" borderId="1" applyAlignment="1" pivotButton="0" quotePrefix="0" xfId="0">
      <alignment horizontal="center" vertical="top" wrapText="1"/>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omments/comment1.xml><?xml version="1.0" encoding="utf-8"?>
<comments xmlns="http://schemas.openxmlformats.org/spreadsheetml/2006/main">
  <authors>
    <author>Claude</author>
  </authors>
  <commentList>
    <comment ref="G3" authorId="0" shapeId="0">
      <text>
        <t>決定内容を記入し、spec.py に反映して再生成する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25913;&#35330;&#23653;&#27508;'!A1" TargetMode="External" Id="rId1" /><Relationship Type="http://schemas.openxmlformats.org/officeDocument/2006/relationships/hyperlink" Target="#'&#12524;&#12499;&#12517;&#12540;&#35352;&#37682;'!A1" TargetMode="External" Id="rId2" /><Relationship Type="http://schemas.openxmlformats.org/officeDocument/2006/relationships/hyperlink" Target="#'&#12471;&#12473;&#12486;&#12512;&#27010;&#35201;'!A1" TargetMode="External" Id="rId3" /><Relationship Type="http://schemas.openxmlformats.org/officeDocument/2006/relationships/hyperlink" Target="#'&#26989;&#21209;&#12501;&#12525;&#12540;'!A1" TargetMode="External" Id="rId4" /><Relationship Type="http://schemas.openxmlformats.org/officeDocument/2006/relationships/hyperlink" Target="#'&#27231;&#33021;&#19968;&#35239;'!A1" TargetMode="External" Id="rId5" /><Relationship Type="http://schemas.openxmlformats.org/officeDocument/2006/relationships/hyperlink" Target="#'&#30011;&#38754;&#19968;&#35239;'!A1" TargetMode="External" Id="rId6" /><Relationship Type="http://schemas.openxmlformats.org/officeDocument/2006/relationships/hyperlink" Target="#'&#30011;&#38754;&#38917;&#30446;&#23450;&#32681;'!A1" TargetMode="External" Id="rId7" /><Relationship Type="http://schemas.openxmlformats.org/officeDocument/2006/relationships/hyperlink" Target="#'API&#19968;&#35239;'!A1" TargetMode="External" Id="rId8" /><Relationship Type="http://schemas.openxmlformats.org/officeDocument/2006/relationships/hyperlink" Target="#'&#20966;&#29702;&#35443;&#32048;'!A1" TargetMode="External" Id="rId9" /><Relationship Type="http://schemas.openxmlformats.org/officeDocument/2006/relationships/hyperlink" Target="#'&#26989;&#21209;&#12523;&#12540;&#12523;'!A1" TargetMode="External" Id="rId10" /><Relationship Type="http://schemas.openxmlformats.org/officeDocument/2006/relationships/hyperlink" Target="#'&#29366;&#24907;&#36983;&#31227;'!A1" TargetMode="External" Id="rId11" /><Relationship Type="http://schemas.openxmlformats.org/officeDocument/2006/relationships/hyperlink" Target="#'&#12486;&#12540;&#12502;&#12523;&#19968;&#35239;'!A1" TargetMode="External" Id="rId12" /><Relationship Type="http://schemas.openxmlformats.org/officeDocument/2006/relationships/hyperlink" Target="#'&#38917;&#30446;&#23450;&#32681;'!A1" TargetMode="External" Id="rId13" /><Relationship Type="http://schemas.openxmlformats.org/officeDocument/2006/relationships/hyperlink" Target="#'&#12452;&#12531;&#12487;&#12483;&#12463;&#12473;&#12539;&#21046;&#32004;'!A1" TargetMode="External" Id="rId14" /><Relationship Type="http://schemas.openxmlformats.org/officeDocument/2006/relationships/hyperlink" Target="#'DDL'!A1" TargetMode="External" Id="rId15" /><Relationship Type="http://schemas.openxmlformats.org/officeDocument/2006/relationships/hyperlink" Target="#'&#20027;&#35201;SQL'!A1" TargetMode="External" Id="rId16" /><Relationship Type="http://schemas.openxmlformats.org/officeDocument/2006/relationships/hyperlink" Target="#'&#12467;&#12540;&#12489;&#23450;&#32681;'!A1" TargetMode="External" Id="rId17" /><Relationship Type="http://schemas.openxmlformats.org/officeDocument/2006/relationships/hyperlink" Target="#'&#27177;&#38480;&#12510;&#12488;&#12522;&#12463;&#12473;'!A1" TargetMode="External" Id="rId18" /><Relationship Type="http://schemas.openxmlformats.org/officeDocument/2006/relationships/hyperlink" Target="#'&#12513;&#12483;&#12475;&#12540;&#12472;&#19968;&#35239;'!A1" TargetMode="External" Id="rId19" /><Relationship Type="http://schemas.openxmlformats.org/officeDocument/2006/relationships/hyperlink" Target="#'&#24115;&#31080;&#19968;&#35239;'!A1" TargetMode="External" Id="rId20" /><Relationship Type="http://schemas.openxmlformats.org/officeDocument/2006/relationships/hyperlink" Target="#'&#12496;&#12483;&#12481;&#19968;&#35239;'!A1" TargetMode="External" Id="rId21" /><Relationship Type="http://schemas.openxmlformats.org/officeDocument/2006/relationships/hyperlink" Target="#'&#38750;&#27231;&#33021;&#35201;&#20214;'!A1" TargetMode="External" Id="rId22" /><Relationship Type="http://schemas.openxmlformats.org/officeDocument/2006/relationships/hyperlink" Target="#'&#35506;&#38988;&#19968;&#35239;'!A1" TargetMode="External" Id="rId23" /></Relationships>
</file>

<file path=xl/worksheets/_rels/sheet2.xml.rels><Relationships xmlns="http://schemas.openxmlformats.org/package/2006/relationships"><Relationship Type="http://schemas.openxmlformats.org/officeDocument/2006/relationships/hyperlink" Target="#'&#34920;&#32025;'!A1" TargetMode="External" Id="rId1" /></Relationships>
</file>

<file path=xl/worksheets/_rels/sheet3.xml.rels><Relationships xmlns="http://schemas.openxmlformats.org/package/2006/relationships"><Relationship Type="http://schemas.openxmlformats.org/officeDocument/2006/relationships/hyperlink" Target="#'&#34920;&#32025;'!A1" TargetMode="External" Id="rId1" /></Relationships>
</file>

<file path=xl/worksheets/_rels/sheet4.xml.rels><Relationships xmlns="http://schemas.openxmlformats.org/package/2006/relationships"><Relationship Type="http://schemas.openxmlformats.org/officeDocument/2006/relationships/hyperlink" Target="#'&#34920;&#32025;'!A1" TargetMode="External" Id="rId1" /></Relationships>
</file>

<file path=xl/worksheets/_rels/sheet5.xml.rels><Relationships xmlns="http://schemas.openxmlformats.org/package/2006/relationships"><Relationship Type="http://schemas.openxmlformats.org/officeDocument/2006/relationships/hyperlink" Target="#'&#34920;&#32025;'!A1" TargetMode="External" Id="rId1" /></Relationships>
</file>

<file path=xl/worksheets/_rels/sheet6.xml.rels><Relationships xmlns="http://schemas.openxmlformats.org/package/2006/relationships"><Relationship Type="http://schemas.openxmlformats.org/officeDocument/2006/relationships/hyperlink" Target="#'&#34920;&#32025;'!A1" TargetMode="External" Id="rId1" /></Relationships>
</file>

<file path=xl/worksheets/_rels/sheet7.xml.rels><Relationships xmlns="http://schemas.openxmlformats.org/package/2006/relationships"><Relationship Type="http://schemas.openxmlformats.org/officeDocument/2006/relationships/hyperlink" Target="#'&#34920;&#32025;'!A1" TargetMode="External" Id="rId1" /></Relationships>
</file>

<file path=xl/worksheets/_rels/sheet8.xml.rels><Relationships xmlns="http://schemas.openxmlformats.org/package/2006/relationships"><Relationship Type="http://schemas.openxmlformats.org/officeDocument/2006/relationships/hyperlink" Target="#'&#34920;&#32025;'!A1" TargetMode="External" Id="rId1" /></Relationships>
</file>

<file path=xl/worksheets/_rels/sheet9.xml.rels><Relationships xmlns="http://schemas.openxmlformats.org/package/2006/relationships"><Relationship Type="http://schemas.openxmlformats.org/officeDocument/2006/relationships/hyperlink" Target="#'&#34920;&#32025;'!A1" TargetMode="External" Id="rId1" /></Relationships>
</file>

<file path=xl/worksheets/_rels/sheet10.xml.rels><Relationships xmlns="http://schemas.openxmlformats.org/package/2006/relationships"><Relationship Type="http://schemas.openxmlformats.org/officeDocument/2006/relationships/hyperlink" Target="#'&#34920;&#32025;'!A1" TargetMode="External" Id="rId1" /></Relationships>
</file>

<file path=xl/worksheets/_rels/sheet11.xml.rels><Relationships xmlns="http://schemas.openxmlformats.org/package/2006/relationships"><Relationship Type="http://schemas.openxmlformats.org/officeDocument/2006/relationships/hyperlink" Target="#'&#34920;&#32025;'!A1" TargetMode="External" Id="rId1" /></Relationships>
</file>

<file path=xl/worksheets/_rels/sheet12.xml.rels><Relationships xmlns="http://schemas.openxmlformats.org/package/2006/relationships"><Relationship Type="http://schemas.openxmlformats.org/officeDocument/2006/relationships/hyperlink" Target="#'&#34920;&#32025;'!A1" TargetMode="External" Id="rId1" /></Relationships>
</file>

<file path=xl/worksheets/_rels/sheet13.xml.rels><Relationships xmlns="http://schemas.openxmlformats.org/package/2006/relationships"><Relationship Type="http://schemas.openxmlformats.org/officeDocument/2006/relationships/hyperlink" Target="#'&#34920;&#32025;'!A1" TargetMode="External" Id="rId1" /><Relationship Type="http://schemas.openxmlformats.org/officeDocument/2006/relationships/hyperlink" Target="#'&#38917;&#30446;&#23450;&#32681;'!A4" TargetMode="External" Id="rId2" /><Relationship Type="http://schemas.openxmlformats.org/officeDocument/2006/relationships/hyperlink" Target="#'&#38917;&#30446;&#23450;&#32681;'!A20" TargetMode="External" Id="rId3" /><Relationship Type="http://schemas.openxmlformats.org/officeDocument/2006/relationships/hyperlink" Target="#'&#38917;&#30446;&#23450;&#32681;'!A43" TargetMode="External" Id="rId4" /><Relationship Type="http://schemas.openxmlformats.org/officeDocument/2006/relationships/hyperlink" Target="#'&#38917;&#30446;&#23450;&#32681;'!A62" TargetMode="External" Id="rId5" /><Relationship Type="http://schemas.openxmlformats.org/officeDocument/2006/relationships/hyperlink" Target="#'&#38917;&#30446;&#23450;&#32681;'!A78" TargetMode="External" Id="rId6" /><Relationship Type="http://schemas.openxmlformats.org/officeDocument/2006/relationships/hyperlink" Target="#'&#38917;&#30446;&#23450;&#32681;'!A92" TargetMode="External" Id="rId7" /><Relationship Type="http://schemas.openxmlformats.org/officeDocument/2006/relationships/hyperlink" Target="#'&#38917;&#30446;&#23450;&#32681;'!A102" TargetMode="External" Id="rId8" /><Relationship Type="http://schemas.openxmlformats.org/officeDocument/2006/relationships/hyperlink" Target="#'&#38917;&#30446;&#23450;&#32681;'!A116" TargetMode="External" Id="rId9" /><Relationship Type="http://schemas.openxmlformats.org/officeDocument/2006/relationships/hyperlink" Target="#'&#38917;&#30446;&#23450;&#32681;'!A131" TargetMode="External" Id="rId10" /><Relationship Type="http://schemas.openxmlformats.org/officeDocument/2006/relationships/hyperlink" Target="#'&#38917;&#30446;&#23450;&#32681;'!A144" TargetMode="External" Id="rId11" /><Relationship Type="http://schemas.openxmlformats.org/officeDocument/2006/relationships/hyperlink" Target="#'&#38917;&#30446;&#23450;&#32681;'!A157" TargetMode="External" Id="rId12" /><Relationship Type="http://schemas.openxmlformats.org/officeDocument/2006/relationships/hyperlink" Target="#'&#38917;&#30446;&#23450;&#32681;'!A176" TargetMode="External" Id="rId13" /><Relationship Type="http://schemas.openxmlformats.org/officeDocument/2006/relationships/hyperlink" Target="#'&#38917;&#30446;&#23450;&#32681;'!A196" TargetMode="External" Id="rId14" /><Relationship Type="http://schemas.openxmlformats.org/officeDocument/2006/relationships/hyperlink" Target="#'&#38917;&#30446;&#23450;&#32681;'!A207" TargetMode="External" Id="rId15" /><Relationship Type="http://schemas.openxmlformats.org/officeDocument/2006/relationships/hyperlink" Target="#'&#38917;&#30446;&#23450;&#32681;'!A218" TargetMode="External" Id="rId16" /><Relationship Type="http://schemas.openxmlformats.org/officeDocument/2006/relationships/hyperlink" Target="#'&#38917;&#30446;&#23450;&#32681;'!A230" TargetMode="External" Id="rId17" /><Relationship Type="http://schemas.openxmlformats.org/officeDocument/2006/relationships/hyperlink" Target="#'&#38917;&#30446;&#23450;&#32681;'!A247" TargetMode="External" Id="rId18" /><Relationship Type="http://schemas.openxmlformats.org/officeDocument/2006/relationships/hyperlink" Target="#'&#38917;&#30446;&#23450;&#32681;'!A260" TargetMode="External" Id="rId19" /><Relationship Type="http://schemas.openxmlformats.org/officeDocument/2006/relationships/hyperlink" Target="#'&#38917;&#30446;&#23450;&#32681;'!A275" TargetMode="External" Id="rId20" /><Relationship Type="http://schemas.openxmlformats.org/officeDocument/2006/relationships/hyperlink" Target="#'&#38917;&#30446;&#23450;&#32681;'!A291" TargetMode="External" Id="rId21" /><Relationship Type="http://schemas.openxmlformats.org/officeDocument/2006/relationships/hyperlink" Target="#'&#38917;&#30446;&#23450;&#32681;'!A308" TargetMode="External" Id="rId22" /><Relationship Type="http://schemas.openxmlformats.org/officeDocument/2006/relationships/hyperlink" Target="#'&#38917;&#30446;&#23450;&#32681;'!A322" TargetMode="External" Id="rId23" /><Relationship Type="http://schemas.openxmlformats.org/officeDocument/2006/relationships/hyperlink" Target="#'&#38917;&#30446;&#23450;&#32681;'!A331" TargetMode="External" Id="rId24" /><Relationship Type="http://schemas.openxmlformats.org/officeDocument/2006/relationships/hyperlink" Target="#'&#38917;&#30446;&#23450;&#32681;'!A349" TargetMode="External" Id="rId25" /><Relationship Type="http://schemas.openxmlformats.org/officeDocument/2006/relationships/hyperlink" Target="#'&#38917;&#30446;&#23450;&#32681;'!A358" TargetMode="External" Id="rId26" /><Relationship Type="http://schemas.openxmlformats.org/officeDocument/2006/relationships/hyperlink" Target="#'&#38917;&#30446;&#23450;&#32681;'!A371" TargetMode="External" Id="rId27" /></Relationships>
</file>

<file path=xl/worksheets/_rels/sheet14.xml.rels><Relationships xmlns="http://schemas.openxmlformats.org/package/2006/relationships"><Relationship Type="http://schemas.openxmlformats.org/officeDocument/2006/relationships/hyperlink" Target="#'&#34920;&#32025;'!A1" TargetMode="External" Id="rId1" /></Relationships>
</file>

<file path=xl/worksheets/_rels/sheet15.xml.rels><Relationships xmlns="http://schemas.openxmlformats.org/package/2006/relationships"><Relationship Type="http://schemas.openxmlformats.org/officeDocument/2006/relationships/hyperlink" Target="#'&#34920;&#32025;'!A1" TargetMode="External" Id="rId1" /></Relationships>
</file>

<file path=xl/worksheets/_rels/sheet16.xml.rels><Relationships xmlns="http://schemas.openxmlformats.org/package/2006/relationships"><Relationship Type="http://schemas.openxmlformats.org/officeDocument/2006/relationships/hyperlink" Target="#'&#34920;&#32025;'!A1" TargetMode="External" Id="rId1" /></Relationships>
</file>

<file path=xl/worksheets/_rels/sheet17.xml.rels><Relationships xmlns="http://schemas.openxmlformats.org/package/2006/relationships"><Relationship Type="http://schemas.openxmlformats.org/officeDocument/2006/relationships/hyperlink" Target="#'&#34920;&#32025;'!A1" TargetMode="External" Id="rId1" /></Relationships>
</file>

<file path=xl/worksheets/_rels/sheet18.xml.rels><Relationships xmlns="http://schemas.openxmlformats.org/package/2006/relationships"><Relationship Type="http://schemas.openxmlformats.org/officeDocument/2006/relationships/hyperlink" Target="#'&#34920;&#32025;'!A1" TargetMode="External" Id="rId1" /></Relationships>
</file>

<file path=xl/worksheets/_rels/sheet19.xml.rels><Relationships xmlns="http://schemas.openxmlformats.org/package/2006/relationships"><Relationship Type="http://schemas.openxmlformats.org/officeDocument/2006/relationships/hyperlink" Target="#'&#34920;&#32025;'!A1" TargetMode="External" Id="rId1" /></Relationships>
</file>

<file path=xl/worksheets/_rels/sheet20.xml.rels><Relationships xmlns="http://schemas.openxmlformats.org/package/2006/relationships"><Relationship Type="http://schemas.openxmlformats.org/officeDocument/2006/relationships/hyperlink" Target="#'&#34920;&#32025;'!A1" TargetMode="External" Id="rId1" /></Relationships>
</file>

<file path=xl/worksheets/_rels/sheet21.xml.rels><Relationships xmlns="http://schemas.openxmlformats.org/package/2006/relationships"><Relationship Type="http://schemas.openxmlformats.org/officeDocument/2006/relationships/hyperlink" Target="#'&#34920;&#32025;'!A1" TargetMode="External" Id="rId1" /></Relationships>
</file>

<file path=xl/worksheets/_rels/sheet22.xml.rels><Relationships xmlns="http://schemas.openxmlformats.org/package/2006/relationships"><Relationship Type="http://schemas.openxmlformats.org/officeDocument/2006/relationships/hyperlink" Target="#'&#34920;&#32025;'!A1" TargetMode="External" Id="rId1" /></Relationships>
</file>

<file path=xl/worksheets/_rels/sheet23.xml.rels><Relationships xmlns="http://schemas.openxmlformats.org/package/2006/relationships"><Relationship Type="http://schemas.openxmlformats.org/officeDocument/2006/relationships/hyperlink" Target="#'&#34920;&#32025;'!A1" TargetMode="External" Id="rId1" /></Relationships>
</file>

<file path=xl/worksheets/_rels/sheet24.xml.rels><Relationships xmlns="http://schemas.openxmlformats.org/package/2006/relationships"><Relationship Type="http://schemas.openxmlformats.org/officeDocument/2006/relationships/hyperlink" Target="#'&#34920;&#32025;'!A1" TargetMode="Externa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C53"/>
  <sheetViews>
    <sheetView workbookViewId="0">
      <selection activeCell="A1" sqref="A1"/>
    </sheetView>
  </sheetViews>
  <sheetFormatPr baseColWidth="8" defaultRowHeight="15"/>
  <cols>
    <col width="28" customWidth="1" min="1" max="1"/>
    <col width="26" customWidth="1" min="2" max="2"/>
    <col width="60" customWidth="1" min="3" max="3"/>
  </cols>
  <sheetData>
    <row r="1">
      <c r="A1" s="1" t="inlineStr">
        <is>
          <t>エクソソーム仕入・販売トレーサビリティ管理システム（EXO-TRACE）</t>
        </is>
      </c>
    </row>
    <row r="2">
      <c r="A2" s="2" t="inlineStr">
        <is>
          <t>詳細設計書</t>
        </is>
      </c>
    </row>
    <row r="4">
      <c r="A4" s="3" t="inlineStr">
        <is>
          <t>版数</t>
        </is>
      </c>
      <c r="B4" s="4" t="inlineStr">
        <is>
          <t>1.3</t>
        </is>
      </c>
    </row>
    <row r="5">
      <c r="A5" s="3" t="inlineStr">
        <is>
          <t>作成日</t>
        </is>
      </c>
      <c r="B5" s="4" t="inlineStr">
        <is>
          <t>2026-10-04</t>
        </is>
      </c>
    </row>
    <row r="6">
      <c r="A6" s="3" t="inlineStr">
        <is>
          <t>最終更新日</t>
        </is>
      </c>
      <c r="B6" s="4" t="inlineStr">
        <is>
          <t>2026-10-04</t>
        </is>
      </c>
    </row>
    <row r="7">
      <c r="A7" s="3" t="inlineStr">
        <is>
          <t>作成</t>
        </is>
      </c>
      <c r="B7" s="4" t="inlineStr">
        <is>
          <t>Claude（自動生成・自己レビュー済）</t>
        </is>
      </c>
    </row>
    <row r="8">
      <c r="A8" s="3" t="inlineStr">
        <is>
          <t>生成元</t>
        </is>
      </c>
      <c r="B8" s="4" t="inlineStr">
        <is>
          <t>docs/design/tools/spec.py → build.py（設計変更は spec.py を編集し再生成）</t>
        </is>
      </c>
    </row>
    <row r="10">
      <c r="A10" s="5" t="inlineStr">
        <is>
          <t>設計規模サマリ（各シートから自動集計）</t>
        </is>
      </c>
    </row>
    <row r="11">
      <c r="A11" s="6" t="inlineStr">
        <is>
          <t>機能数</t>
        </is>
      </c>
      <c r="B11" s="7">
        <f>COUNTA('機能一覧'!A4:A2000)</f>
        <v/>
      </c>
    </row>
    <row r="12">
      <c r="A12" s="6" t="inlineStr">
        <is>
          <t xml:space="preserve">  うち MUST</t>
        </is>
      </c>
      <c r="B12" s="7">
        <f>COUNTIF('機能一覧'!E:E,"MUST")</f>
        <v/>
      </c>
    </row>
    <row r="13">
      <c r="A13" s="6" t="inlineStr">
        <is>
          <t>画面数</t>
        </is>
      </c>
      <c r="B13" s="7">
        <f>COUNTA('画面一覧'!A4:A2000)</f>
        <v/>
      </c>
    </row>
    <row r="14">
      <c r="A14" s="6" t="inlineStr">
        <is>
          <t>画面項目数</t>
        </is>
      </c>
      <c r="B14" s="7">
        <f>COUNTA('画面項目定義'!A4:A2000)</f>
        <v/>
      </c>
    </row>
    <row r="15">
      <c r="A15" s="6" t="inlineStr">
        <is>
          <t>API数</t>
        </is>
      </c>
      <c r="B15" s="7">
        <f>COUNTA('API一覧'!A4:A2000)</f>
        <v/>
      </c>
    </row>
    <row r="16">
      <c r="A16" s="6" t="inlineStr">
        <is>
          <t>テーブル数</t>
        </is>
      </c>
      <c r="B16" s="7">
        <f>COUNTA('テーブル一覧'!A4:A2000)</f>
        <v/>
      </c>
    </row>
    <row r="17">
      <c r="A17" s="6" t="inlineStr">
        <is>
          <t>カラム数（共通カラム含む）</t>
        </is>
      </c>
      <c r="B17" s="7">
        <f>SUM('テーブル一覧'!E:E)</f>
        <v/>
      </c>
    </row>
    <row r="18">
      <c r="A18" s="6" t="inlineStr">
        <is>
          <t>業務ルール数</t>
        </is>
      </c>
      <c r="B18" s="7">
        <f>COUNTA('業務ルール'!A4:A2000)</f>
        <v/>
      </c>
    </row>
    <row r="19">
      <c r="A19" s="6" t="inlineStr">
        <is>
          <t>未対応の課題</t>
        </is>
      </c>
      <c r="B19" s="7">
        <f>COUNTIF('課題一覧'!F:F,"未対応")</f>
        <v/>
      </c>
    </row>
    <row r="20">
      <c r="A20" s="6" t="inlineStr">
        <is>
          <t>レビュー指摘数（累計）</t>
        </is>
      </c>
      <c r="B20" s="7">
        <f>COUNTA('レビュー記録'!A4:A2000)</f>
        <v/>
      </c>
    </row>
    <row r="21">
      <c r="A21" s="6" t="inlineStr">
        <is>
          <t xml:space="preserve">  うち 対応済</t>
        </is>
      </c>
      <c r="B21" s="7">
        <f>COUNTIF('レビュー記録'!F:F,"対応済")</f>
        <v/>
      </c>
    </row>
    <row r="23">
      <c r="A23" s="5" t="inlineStr">
        <is>
          <t>目次（クリックで移動）</t>
        </is>
      </c>
    </row>
    <row r="24">
      <c r="A24" s="8" t="inlineStr">
        <is>
          <t>No</t>
        </is>
      </c>
      <c r="B24" s="8" t="inlineStr">
        <is>
          <t>シート</t>
        </is>
      </c>
      <c r="C24" s="8" t="inlineStr">
        <is>
          <t>内容</t>
        </is>
      </c>
    </row>
    <row r="25">
      <c r="A25" s="9" t="n">
        <v>1</v>
      </c>
      <c r="B25" s="10" t="inlineStr">
        <is>
          <t>改訂履歴</t>
        </is>
      </c>
      <c r="C25" s="6" t="inlineStr">
        <is>
          <t>版ごとの変更内容</t>
        </is>
      </c>
    </row>
    <row r="26">
      <c r="A26" s="9" t="n">
        <v>2</v>
      </c>
      <c r="B26" s="10" t="inlineStr">
        <is>
          <t>レビュー記録</t>
        </is>
      </c>
      <c r="C26" s="6" t="inlineStr">
        <is>
          <t>自己レビュー（修正ループ）の指摘と対応</t>
        </is>
      </c>
    </row>
    <row r="27">
      <c r="A27" s="9" t="n">
        <v>3</v>
      </c>
      <c r="B27" s="10" t="inlineStr">
        <is>
          <t>システム概要</t>
        </is>
      </c>
      <c r="C27" s="6" t="inlineStr">
        <is>
          <t>目的・スコープ・前提・構成</t>
        </is>
      </c>
    </row>
    <row r="28">
      <c r="A28" s="9" t="n">
        <v>4</v>
      </c>
      <c r="B28" s="10" t="inlineStr">
        <is>
          <t>業務フロー</t>
        </is>
      </c>
      <c r="C28" s="6" t="inlineStr">
        <is>
          <t>業務の流れと関連機能・データ</t>
        </is>
      </c>
    </row>
    <row r="29">
      <c r="A29" s="9" t="n">
        <v>5</v>
      </c>
      <c r="B29" s="10" t="inlineStr">
        <is>
          <t>機能一覧</t>
        </is>
      </c>
      <c r="C29" s="6" t="inlineStr">
        <is>
          <t>機能ID・優先度・関連画面</t>
        </is>
      </c>
    </row>
    <row r="30">
      <c r="A30" s="9" t="n">
        <v>6</v>
      </c>
      <c r="B30" s="10" t="inlineStr">
        <is>
          <t>画面一覧</t>
        </is>
      </c>
      <c r="C30" s="6" t="inlineStr">
        <is>
          <t>画面ID・概要・操作</t>
        </is>
      </c>
    </row>
    <row r="31">
      <c r="A31" s="9" t="n">
        <v>7</v>
      </c>
      <c r="B31" s="10" t="inlineStr">
        <is>
          <t>画面項目定義</t>
        </is>
      </c>
      <c r="C31" s="6" t="inlineStr">
        <is>
          <t>主要画面の入出力項目とチェック</t>
        </is>
      </c>
    </row>
    <row r="32">
      <c r="A32" s="9" t="n">
        <v>8</v>
      </c>
      <c r="B32" s="10" t="inlineStr">
        <is>
          <t>API一覧</t>
        </is>
      </c>
      <c r="C32" s="6" t="inlineStr">
        <is>
          <t>REST API・許可ロール・処理詳細</t>
        </is>
      </c>
    </row>
    <row r="33">
      <c r="A33" s="9" t="n">
        <v>9</v>
      </c>
      <c r="B33" s="10" t="inlineStr">
        <is>
          <t>処理詳細</t>
        </is>
      </c>
      <c r="C33" s="6" t="inlineStr">
        <is>
          <t>主要処理のステップ・トランザクション・エラー</t>
        </is>
      </c>
    </row>
    <row r="34">
      <c r="A34" s="9" t="n">
        <v>10</v>
      </c>
      <c r="B34" s="10" t="inlineStr">
        <is>
          <t>業務ルール</t>
        </is>
      </c>
      <c r="C34" s="6" t="inlineStr">
        <is>
          <t>業務ルール・バリデーション</t>
        </is>
      </c>
    </row>
    <row r="35">
      <c r="A35" s="9" t="n">
        <v>11</v>
      </c>
      <c r="B35" s="10" t="inlineStr">
        <is>
          <t>状態遷移</t>
        </is>
      </c>
      <c r="C35" s="6" t="inlineStr">
        <is>
          <t>ロット/発注/受注/出荷/回収の状態遷移</t>
        </is>
      </c>
    </row>
    <row r="36">
      <c r="A36" s="9" t="n">
        <v>12</v>
      </c>
      <c r="B36" s="10" t="inlineStr">
        <is>
          <t>テーブル一覧</t>
        </is>
      </c>
      <c r="C36" s="6" t="inlineStr">
        <is>
          <t>テーブル一覧（ER概要）</t>
        </is>
      </c>
    </row>
    <row r="37">
      <c r="A37" s="9" t="n">
        <v>13</v>
      </c>
      <c r="B37" s="10" t="inlineStr">
        <is>
          <t>項目定義</t>
        </is>
      </c>
      <c r="C37" s="6" t="inlineStr">
        <is>
          <t>全テーブルの項目定義</t>
        </is>
      </c>
    </row>
    <row r="38">
      <c r="A38" s="9" t="n">
        <v>14</v>
      </c>
      <c r="B38" s="10" t="inlineStr">
        <is>
          <t>インデックス・制約</t>
        </is>
      </c>
      <c r="C38" s="6" t="inlineStr">
        <is>
          <t>一意制約・CHECK・インデックス</t>
        </is>
      </c>
    </row>
    <row r="39">
      <c r="A39" s="9" t="n">
        <v>15</v>
      </c>
      <c r="B39" s="10" t="inlineStr">
        <is>
          <t>DDL</t>
        </is>
      </c>
      <c r="C39" s="6" t="inlineStr">
        <is>
          <t>PostgreSQL用 CREATE TABLE（項目定義から自動生成）</t>
        </is>
      </c>
    </row>
    <row r="40">
      <c r="A40" s="9" t="n">
        <v>16</v>
      </c>
      <c r="B40" s="10" t="inlineStr">
        <is>
          <t>主要SQL</t>
        </is>
      </c>
      <c r="C40" s="6" t="inlineStr">
        <is>
          <t>トレース・回収抽出・整合性チェックSQL</t>
        </is>
      </c>
    </row>
    <row r="41">
      <c r="A41" s="9" t="n">
        <v>17</v>
      </c>
      <c r="B41" s="10" t="inlineStr">
        <is>
          <t>コード定義</t>
        </is>
      </c>
      <c r="C41" s="6" t="inlineStr">
        <is>
          <t>コード値の定義</t>
        </is>
      </c>
    </row>
    <row r="42">
      <c r="A42" s="9" t="n">
        <v>18</v>
      </c>
      <c r="B42" s="10" t="inlineStr">
        <is>
          <t>権限マトリクス</t>
        </is>
      </c>
      <c r="C42" s="6" t="inlineStr">
        <is>
          <t>機能×ロールの権限</t>
        </is>
      </c>
    </row>
    <row r="43">
      <c r="A43" s="9" t="n">
        <v>19</v>
      </c>
      <c r="B43" s="10" t="inlineStr">
        <is>
          <t>メッセージ一覧</t>
        </is>
      </c>
      <c r="C43" s="6" t="inlineStr">
        <is>
          <t>画面メッセージ</t>
        </is>
      </c>
    </row>
    <row r="44">
      <c r="A44" s="9" t="n">
        <v>20</v>
      </c>
      <c r="B44" s="10" t="inlineStr">
        <is>
          <t>帳票一覧</t>
        </is>
      </c>
      <c r="C44" s="6" t="inlineStr">
        <is>
          <t>帳票・CSV出力</t>
        </is>
      </c>
    </row>
    <row r="45">
      <c r="A45" s="9" t="n">
        <v>21</v>
      </c>
      <c r="B45" s="10" t="inlineStr">
        <is>
          <t>バッチ一覧</t>
        </is>
      </c>
      <c r="C45" s="6" t="inlineStr">
        <is>
          <t>定期バッチ</t>
        </is>
      </c>
    </row>
    <row r="46">
      <c r="A46" s="9" t="n">
        <v>22</v>
      </c>
      <c r="B46" s="10" t="inlineStr">
        <is>
          <t>非機能要件</t>
        </is>
      </c>
      <c r="C46" s="6" t="inlineStr">
        <is>
          <t>性能・セキュリティ・運用等</t>
        </is>
      </c>
    </row>
    <row r="47">
      <c r="A47" s="9" t="n">
        <v>23</v>
      </c>
      <c r="B47" s="10" t="inlineStr">
        <is>
          <t>課題一覧</t>
        </is>
      </c>
      <c r="C47" s="6" t="inlineStr">
        <is>
          <t>未決事項・確認事項</t>
        </is>
      </c>
    </row>
    <row r="49">
      <c r="A49" s="5" t="inlineStr">
        <is>
          <t>凡例</t>
        </is>
      </c>
    </row>
    <row r="50">
      <c r="A50" s="11" t="n"/>
      <c r="B50" s="4" t="inlineStr">
        <is>
          <t>表の見出し</t>
        </is>
      </c>
    </row>
    <row r="51">
      <c r="A51" s="12" t="n"/>
      <c r="B51" s="4" t="inlineStr">
        <is>
          <t>グループ見出し（テーブル名・処理名等）</t>
        </is>
      </c>
    </row>
    <row r="52">
      <c r="A52" s="13" t="n"/>
      <c r="B52" s="4" t="inlineStr">
        <is>
          <t>トレーサビリティ上の重要項目（★）</t>
        </is>
      </c>
    </row>
    <row r="53">
      <c r="A53" s="14" t="n"/>
      <c r="B53" s="4" t="inlineStr">
        <is>
          <t>課題一覧：ステータス／回答欄は記入可（プルダウン）</t>
        </is>
      </c>
    </row>
  </sheetData>
  <hyperlinks>
    <hyperlink xmlns:r="http://schemas.openxmlformats.org/officeDocument/2006/relationships" ref="B25" r:id="rId1"/>
    <hyperlink xmlns:r="http://schemas.openxmlformats.org/officeDocument/2006/relationships" ref="B26" r:id="rId2"/>
    <hyperlink xmlns:r="http://schemas.openxmlformats.org/officeDocument/2006/relationships" ref="B27" r:id="rId3"/>
    <hyperlink xmlns:r="http://schemas.openxmlformats.org/officeDocument/2006/relationships" ref="B28" r:id="rId4"/>
    <hyperlink xmlns:r="http://schemas.openxmlformats.org/officeDocument/2006/relationships" ref="B29" r:id="rId5"/>
    <hyperlink xmlns:r="http://schemas.openxmlformats.org/officeDocument/2006/relationships" ref="B30" r:id="rId6"/>
    <hyperlink xmlns:r="http://schemas.openxmlformats.org/officeDocument/2006/relationships" ref="B31" r:id="rId7"/>
    <hyperlink xmlns:r="http://schemas.openxmlformats.org/officeDocument/2006/relationships" ref="B32" r:id="rId8"/>
    <hyperlink xmlns:r="http://schemas.openxmlformats.org/officeDocument/2006/relationships" ref="B33" r:id="rId9"/>
    <hyperlink xmlns:r="http://schemas.openxmlformats.org/officeDocument/2006/relationships" ref="B34" r:id="rId10"/>
    <hyperlink xmlns:r="http://schemas.openxmlformats.org/officeDocument/2006/relationships" ref="B35" r:id="rId11"/>
    <hyperlink xmlns:r="http://schemas.openxmlformats.org/officeDocument/2006/relationships" ref="B36" r:id="rId12"/>
    <hyperlink xmlns:r="http://schemas.openxmlformats.org/officeDocument/2006/relationships" ref="B37" r:id="rId13"/>
    <hyperlink xmlns:r="http://schemas.openxmlformats.org/officeDocument/2006/relationships" ref="B38" r:id="rId14"/>
    <hyperlink xmlns:r="http://schemas.openxmlformats.org/officeDocument/2006/relationships" ref="B39" r:id="rId15"/>
    <hyperlink xmlns:r="http://schemas.openxmlformats.org/officeDocument/2006/relationships" ref="B40" r:id="rId16"/>
    <hyperlink xmlns:r="http://schemas.openxmlformats.org/officeDocument/2006/relationships" ref="B41" r:id="rId17"/>
    <hyperlink xmlns:r="http://schemas.openxmlformats.org/officeDocument/2006/relationships" ref="B42" r:id="rId18"/>
    <hyperlink xmlns:r="http://schemas.openxmlformats.org/officeDocument/2006/relationships" ref="B43" r:id="rId19"/>
    <hyperlink xmlns:r="http://schemas.openxmlformats.org/officeDocument/2006/relationships" ref="B44" r:id="rId20"/>
    <hyperlink xmlns:r="http://schemas.openxmlformats.org/officeDocument/2006/relationships" ref="B45" r:id="rId21"/>
    <hyperlink xmlns:r="http://schemas.openxmlformats.org/officeDocument/2006/relationships" ref="B46" r:id="rId22"/>
    <hyperlink xmlns:r="http://schemas.openxmlformats.org/officeDocument/2006/relationships" ref="B47" r:id="rId23"/>
  </hyperlinks>
  <printOptions gridLines="0"/>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E11"/>
  <sheetViews>
    <sheetView zoomScale="90" workbookViewId="0">
      <pane ySplit="3" topLeftCell="A4" activePane="bottomLeft" state="frozen"/>
      <selection pane="bottomLeft" activeCell="A1" sqref="A1"/>
    </sheetView>
  </sheetViews>
  <sheetFormatPr baseColWidth="8" defaultRowHeight="15"/>
  <cols>
    <col width="8" customWidth="1" min="1" max="1"/>
    <col width="12" customWidth="1" min="2" max="2"/>
    <col width="10" customWidth="1" min="3" max="3"/>
    <col width="90" customWidth="1" min="4" max="4"/>
    <col width="14" customWidth="1" min="5" max="5"/>
  </cols>
  <sheetData>
    <row r="1">
      <c r="A1" s="5" t="inlineStr">
        <is>
          <t>改訂履歴</t>
        </is>
      </c>
      <c r="E1" s="15" t="inlineStr">
        <is>
          <t>← 表紙へ</t>
        </is>
      </c>
    </row>
    <row r="3">
      <c r="A3" s="8" t="inlineStr">
        <is>
          <t>版</t>
        </is>
      </c>
      <c r="B3" s="8" t="inlineStr">
        <is>
          <t>日付</t>
        </is>
      </c>
      <c r="C3" s="8" t="inlineStr">
        <is>
          <t>区分</t>
        </is>
      </c>
      <c r="D3" s="8" t="inlineStr">
        <is>
          <t>内容</t>
        </is>
      </c>
      <c r="E3" s="8" t="inlineStr">
        <is>
          <t>作成/修正者</t>
        </is>
      </c>
    </row>
    <row r="4">
      <c r="A4" s="9" t="inlineStr">
        <is>
          <t>0.1</t>
        </is>
      </c>
      <c r="B4" s="9" t="inlineStr">
        <is>
          <t>2026-10-04</t>
        </is>
      </c>
      <c r="C4" s="9" t="inlineStr">
        <is>
          <t>新規</t>
        </is>
      </c>
      <c r="D4" s="16" t="inlineStr">
        <is>
          <t>初版作成（概要・機能・画面・テーブル・項目定義・権限・非機能）</t>
        </is>
      </c>
      <c r="E4" s="16" t="inlineStr">
        <is>
          <t>Claude</t>
        </is>
      </c>
    </row>
    <row r="5">
      <c r="A5" s="9" t="inlineStr">
        <is>
          <t>0.2</t>
        </is>
      </c>
      <c r="B5" s="9" t="inlineStr">
        <is>
          <t>2026-10-04</t>
        </is>
      </c>
      <c r="C5" s="9" t="inlineStr">
        <is>
          <t>修正</t>
        </is>
      </c>
      <c r="D5" s="16" t="inlineStr">
        <is>
          <t>詳細設計へ拡張（画面項目定義・API・処理詳細・主要SQL・インデックス・メッセージ・バッチ・DDL）。第1回 自動整合性チェック指摘18件を修正</t>
        </is>
      </c>
      <c r="E5" s="16" t="inlineStr">
        <is>
          <t>Claude</t>
        </is>
      </c>
    </row>
    <row r="6">
      <c r="A6" s="9" t="inlineStr">
        <is>
          <t>0.3</t>
        </is>
      </c>
      <c r="B6" s="9" t="inlineStr">
        <is>
          <t>2026-10-04</t>
        </is>
      </c>
      <c r="C6" s="9" t="inlineStr">
        <is>
          <t>修正</t>
        </is>
      </c>
      <c r="D6" s="16" t="inlineStr">
        <is>
          <t>第2回 設計レビュー指摘20件を修正（分納・ロット単位引当解除・回収品受入・排他制御・温度逸脱の遡及判定・返品の隔離保管・ステータス履歴・入荷取消・受注打切り等）。DDL/SQLの実DB検証で判明した初期ユーザー投入手順を追記</t>
        </is>
      </c>
      <c r="E6" s="16" t="inlineStr">
        <is>
          <t>Claude</t>
        </is>
      </c>
    </row>
    <row r="7">
      <c r="A7" s="9" t="inlineStr">
        <is>
          <t>0.4</t>
        </is>
      </c>
      <c r="B7" s="9" t="inlineStr">
        <is>
          <t>2026-10-04</t>
        </is>
      </c>
      <c r="C7" s="9" t="inlineStr">
        <is>
          <t>修正</t>
        </is>
      </c>
      <c r="D7" s="16" t="inlineStr">
        <is>
          <t>第3回 再レビュー指摘15件を修正（ロック順序の統一 P-00、未検品保留の解除先、分納時のロット状態別処理と隔離入庫・分納受入判定、回収対象の再抽出の消滅分更新、与信承認フロー、仕入先返品、回収登録/抽出の分離、ロットステータス変更処理、全MUST画面の項目定義）</t>
        </is>
      </c>
      <c r="E7" s="16" t="inlineStr">
        <is>
          <t>Claude</t>
        </is>
      </c>
    </row>
    <row r="8">
      <c r="A8" s="9" t="inlineStr">
        <is>
          <t>1.0</t>
        </is>
      </c>
      <c r="B8" s="9" t="inlineStr">
        <is>
          <t>2026-10-04</t>
        </is>
      </c>
      <c r="C8" s="9" t="inlineStr">
        <is>
          <t>確定</t>
        </is>
      </c>
      <c r="D8" s="16" t="inlineStr">
        <is>
          <t>第4回 収束確認の指摘6件を修正（隔離在庫の出所別管理、受注ロックと与信再判定、発注打切り状態、回収のロック順序、回収進捗更新の権限と自動判定、仕入先返品の参照伝票）</t>
        </is>
      </c>
      <c r="E8" s="16" t="inlineStr">
        <is>
          <t>Claude</t>
        </is>
      </c>
    </row>
    <row r="9">
      <c r="A9" s="9" t="inlineStr">
        <is>
          <t>1.1</t>
        </is>
      </c>
      <c r="B9" s="9" t="inlineStr">
        <is>
          <t>2026-10-04</t>
        </is>
      </c>
      <c r="C9" s="9" t="inlineStr">
        <is>
          <t>修正</t>
        </is>
      </c>
      <c r="D9" s="16" t="inlineStr">
        <is>
          <t>第5回 収束確認の指摘5件を修正（分納の PENDING 設定と入荷 ref、与信承認待ち受注の取消・打切り・出荷取消、出荷取消時の受注ロック、打切り発注の復活防止、隔離在庫の実数差異処理）</t>
        </is>
      </c>
      <c r="E9" s="16" t="inlineStr">
        <is>
          <t>Claude</t>
        </is>
      </c>
    </row>
    <row r="10">
      <c r="A10" s="9" t="inlineStr">
        <is>
          <t>1.2</t>
        </is>
      </c>
      <c r="B10" s="9" t="inlineStr">
        <is>
          <t>2026-10-04</t>
        </is>
      </c>
      <c r="C10" s="9" t="inlineStr">
        <is>
          <t>修正</t>
        </is>
      </c>
      <c r="D10" s="16" t="inlineStr">
        <is>
          <t>第6回 収束確認の指摘4件を修正（隔離在庫差異処理の画面・API反映と後処理、下書き入荷の破棄 P-20、入荷取消の発注ロック）</t>
        </is>
      </c>
      <c r="E10" s="16" t="inlineStr">
        <is>
          <t>Claude</t>
        </is>
      </c>
    </row>
    <row r="11">
      <c r="A11" s="9" t="inlineStr">
        <is>
          <t>1.3</t>
        </is>
      </c>
      <c r="B11" s="9" t="inlineStr">
        <is>
          <t>2026-10-04</t>
        </is>
      </c>
      <c r="C11" s="9" t="inlineStr">
        <is>
          <t>修正</t>
        </is>
      </c>
      <c r="D11" s="16" t="inlineStr">
        <is>
          <t>第7回 収束確認の指摘2件を修正（隔離在庫の一部判定禁止と自動クローズ条件の限定、差異処理の入力を出所別減少数量に統一し誤入力の戻し手段を定義）</t>
        </is>
      </c>
      <c r="E11" s="16" t="inlineStr">
        <is>
          <t>Claude</t>
        </is>
      </c>
    </row>
  </sheetData>
  <autoFilter ref="A3:E11"/>
  <hyperlinks>
    <hyperlink xmlns:r="http://schemas.openxmlformats.org/officeDocument/2006/relationships" ref="E1" r:id="rId1"/>
  </hyperlinks>
  <printOptions gridLines="0"/>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G64"/>
  <sheetViews>
    <sheetView zoomScale="90" workbookViewId="0">
      <pane ySplit="3" topLeftCell="A4" activePane="bottomLeft" state="frozen"/>
      <selection pane="bottomLeft" activeCell="A1" sqref="A1"/>
    </sheetView>
  </sheetViews>
  <sheetFormatPr baseColWidth="8" defaultRowHeight="15"/>
  <cols>
    <col width="7" customWidth="1" min="1" max="1"/>
    <col width="6" customWidth="1" min="2" max="2"/>
    <col width="18" customWidth="1" min="3" max="3"/>
    <col width="60" customWidth="1" min="4" max="4"/>
    <col width="60" customWidth="1" min="5" max="5"/>
    <col width="9" customWidth="1" min="6" max="6"/>
    <col width="8" customWidth="1" min="7" max="7"/>
  </cols>
  <sheetData>
    <row r="1">
      <c r="A1" s="5" t="inlineStr">
        <is>
          <t>レビュー記録（自己修正ループ）</t>
        </is>
      </c>
      <c r="G1" s="15" t="inlineStr">
        <is>
          <t>← 表紙へ</t>
        </is>
      </c>
    </row>
    <row r="2">
      <c r="A2" s="17" t="inlineStr">
        <is>
          <t>自動整合性チェック（tools/check.py）と、別エージェントによる設計レビューの指摘・対応を記録</t>
        </is>
      </c>
    </row>
    <row r="3">
      <c r="A3" s="8" t="inlineStr">
        <is>
          <t>No</t>
        </is>
      </c>
      <c r="B3" s="8" t="inlineStr">
        <is>
          <t>回</t>
        </is>
      </c>
      <c r="C3" s="8" t="inlineStr">
        <is>
          <t>観点</t>
        </is>
      </c>
      <c r="D3" s="8" t="inlineStr">
        <is>
          <t>指摘内容</t>
        </is>
      </c>
      <c r="E3" s="8" t="inlineStr">
        <is>
          <t>対応内容</t>
        </is>
      </c>
      <c r="F3" s="8" t="inlineStr">
        <is>
          <t>状態</t>
        </is>
      </c>
      <c r="G3" s="8" t="inlineStr">
        <is>
          <t>対応版</t>
        </is>
      </c>
    </row>
    <row r="4">
      <c r="A4" s="9" t="inlineStr">
        <is>
          <t>R-01</t>
        </is>
      </c>
      <c r="B4" s="9" t="n">
        <v>1</v>
      </c>
      <c r="C4" s="16" t="inlineStr">
        <is>
          <t>参照整合（業務ルール）</t>
        </is>
      </c>
      <c r="D4" s="16" t="inlineStr">
        <is>
          <t>BR-01/02/03/05/14 がどの処理詳細からも参照されていない（実装時に漏れる）</t>
        </is>
      </c>
      <c r="E4" s="16" t="inlineStr">
        <is>
          <t>P-04/P-05/P-06/P-08 の該当ステップにルールIDを明記</t>
        </is>
      </c>
      <c r="F4" s="9" t="inlineStr">
        <is>
          <t>対応済</t>
        </is>
      </c>
      <c r="G4" s="9" t="inlineStr">
        <is>
          <t>0.2</t>
        </is>
      </c>
    </row>
    <row r="5">
      <c r="A5" s="9" t="inlineStr">
        <is>
          <t>R-02</t>
        </is>
      </c>
      <c r="B5" s="9" t="n">
        <v>1</v>
      </c>
      <c r="C5" s="16" t="inlineStr">
        <is>
          <t>権限×API</t>
        </is>
      </c>
      <c r="D5" s="16" t="inlineStr">
        <is>
          <t>API-018（販売可否ルール）が全ロール許可だが、権限マトリクスでは VIEWER 不可</t>
        </is>
      </c>
      <c r="E5" s="16" t="inlineStr">
        <is>
          <t>許可ロールを ADMIN,QA に限定（ADMIN登録→QA承認）</t>
        </is>
      </c>
      <c r="F5" s="9" t="inlineStr">
        <is>
          <t>対応済</t>
        </is>
      </c>
      <c r="G5" s="9" t="inlineStr">
        <is>
          <t>0.2</t>
        </is>
      </c>
    </row>
    <row r="6">
      <c r="A6" s="9" t="inlineStr">
        <is>
          <t>R-03</t>
        </is>
      </c>
      <c r="B6" s="9" t="n">
        <v>1</v>
      </c>
      <c r="C6" s="16" t="inlineStr">
        <is>
          <t>権限×API</t>
        </is>
      </c>
      <c r="D6" s="16" t="inlineStr">
        <is>
          <t>API-033（添付）が ADMIN/WAREHOUSE に更新許可だが、権限マトリクス RCV-02 は参照のみ</t>
        </is>
      </c>
      <c r="E6" s="16" t="inlineStr">
        <is>
          <t>添付アップロードを QA に限定</t>
        </is>
      </c>
      <c r="F6" s="9" t="inlineStr">
        <is>
          <t>対応済</t>
        </is>
      </c>
      <c r="G6" s="9" t="inlineStr">
        <is>
          <t>0.2</t>
        </is>
      </c>
    </row>
    <row r="7">
      <c r="A7" s="9" t="inlineStr">
        <is>
          <t>R-04</t>
        </is>
      </c>
      <c r="B7" s="9" t="n">
        <v>1</v>
      </c>
      <c r="C7" s="16" t="inlineStr">
        <is>
          <t>権限×API</t>
        </is>
      </c>
      <c r="D7" s="16" t="inlineStr">
        <is>
          <t>権限マトリクス INV-03 で QA=A（承認）だが、承認APIが存在しない</t>
        </is>
      </c>
      <c r="E7" s="16" t="inlineStr">
        <is>
          <t>INV-03 の QA を R に変更（調整・廃棄は理由必須＋監査ログで統制）</t>
        </is>
      </c>
      <c r="F7" s="9" t="inlineStr">
        <is>
          <t>対応済</t>
        </is>
      </c>
      <c r="G7" s="9" t="inlineStr">
        <is>
          <t>0.2</t>
        </is>
      </c>
    </row>
    <row r="8">
      <c r="A8" s="9" t="inlineStr">
        <is>
          <t>R-05</t>
        </is>
      </c>
      <c r="B8" s="9" t="n">
        <v>1</v>
      </c>
      <c r="C8" s="16" t="inlineStr">
        <is>
          <t>権限×API</t>
        </is>
      </c>
      <c r="D8" s="16" t="inlineStr">
        <is>
          <t>権限マトリクス SHP-03（納品書）で C が付いているが、対応APIは参照（GET）のみ</t>
        </is>
      </c>
      <c r="E8" s="16" t="inlineStr">
        <is>
          <t>SHP-03 を R に変更し API許可ロールと一致</t>
        </is>
      </c>
      <c r="F8" s="9" t="inlineStr">
        <is>
          <t>対応済</t>
        </is>
      </c>
      <c r="G8" s="9" t="inlineStr">
        <is>
          <t>0.2</t>
        </is>
      </c>
    </row>
    <row r="9">
      <c r="A9" s="9" t="inlineStr">
        <is>
          <t>R-06</t>
        </is>
      </c>
      <c r="B9" s="9" t="n">
        <v>1</v>
      </c>
      <c r="C9" s="16" t="inlineStr">
        <is>
          <t>コード値</t>
        </is>
      </c>
      <c r="D9" s="16" t="inlineStr">
        <is>
          <t>由来・形態・ロールのコード定義がない</t>
        </is>
      </c>
      <c r="E9" s="16" t="inlineStr">
        <is>
          <t>コード定義シートに追加</t>
        </is>
      </c>
      <c r="F9" s="9" t="inlineStr">
        <is>
          <t>対応済</t>
        </is>
      </c>
      <c r="G9" s="9" t="inlineStr">
        <is>
          <t>0.2</t>
        </is>
      </c>
    </row>
    <row r="10">
      <c r="A10" s="9" t="inlineStr">
        <is>
          <t>R-07</t>
        </is>
      </c>
      <c r="B10" s="9" t="n">
        <v>1</v>
      </c>
      <c r="C10" s="16" t="inlineStr">
        <is>
          <t>コード値</t>
        </is>
      </c>
      <c r="D10" s="16" t="inlineStr">
        <is>
          <t>保管温度区分・規制区分・顧客区分のカラム備考が日本語名、コード定義は英字コードで不一致</t>
        </is>
      </c>
      <c r="E10" s="16" t="inlineStr">
        <is>
          <t>備考を英字コードに統一（DBはコード、画面は名称）</t>
        </is>
      </c>
      <c r="F10" s="9" t="inlineStr">
        <is>
          <t>対応済</t>
        </is>
      </c>
      <c r="G10" s="9" t="inlineStr">
        <is>
          <t>0.2</t>
        </is>
      </c>
    </row>
    <row r="11">
      <c r="A11" s="9" t="inlineStr">
        <is>
          <t>R-08</t>
        </is>
      </c>
      <c r="B11" s="9" t="n">
        <v>1</v>
      </c>
      <c r="C11" s="16" t="inlineStr">
        <is>
          <t>メッセージ</t>
        </is>
      </c>
      <c r="D11" s="16" t="inlineStr">
        <is>
          <t>温度逸脱メッセージが『警告』なのにIDがエラー系（MSG-E17）</t>
        </is>
      </c>
      <c r="E11" s="16" t="inlineStr">
        <is>
          <t>MSG-W05 に変更。ID接頭辞と種別の一致を自動チェックに追加</t>
        </is>
      </c>
      <c r="F11" s="9" t="inlineStr">
        <is>
          <t>対応済</t>
        </is>
      </c>
      <c r="G11" s="9" t="inlineStr">
        <is>
          <t>0.2</t>
        </is>
      </c>
    </row>
    <row r="12">
      <c r="A12" s="9" t="inlineStr">
        <is>
          <t>R-09</t>
        </is>
      </c>
      <c r="B12" s="9" t="n">
        <v>2</v>
      </c>
      <c r="C12" s="16" t="inlineStr">
        <is>
          <t>業務（分納）</t>
        </is>
      </c>
      <c r="D12" s="16" t="inlineStr">
        <is>
          <t>同一仕入先ロットが分納されると2回目の入荷が重複エラーになる</t>
        </is>
      </c>
      <c r="E12" s="16" t="inlineStr">
        <is>
          <t>P-01 で既存ロットに加算（使用期限一致必須）。入荷明細:ロット＝多:1。BR-15・MSG-E05 改訂</t>
        </is>
      </c>
      <c r="F12" s="9" t="inlineStr">
        <is>
          <t>対応済</t>
        </is>
      </c>
      <c r="G12" s="9" t="inlineStr">
        <is>
          <t>0.3</t>
        </is>
      </c>
    </row>
    <row r="13">
      <c r="A13" s="9" t="inlineStr">
        <is>
          <t>R-10</t>
        </is>
      </c>
      <c r="B13" s="9" t="n">
        <v>2</v>
      </c>
      <c r="C13" s="16" t="inlineStr">
        <is>
          <t>業務（引当）</t>
        </is>
      </c>
      <c r="D13" s="16" t="inlineStr">
        <is>
          <t>HOLD/EXPIRED/RECALLED 時に引当が残り廃棄できない。回収時に他ロット明細まで取消される</t>
        </is>
      </c>
      <c r="E13" s="16" t="inlineStr">
        <is>
          <t>ロット指定の引当解除 P-11 を新設し P-08/P-09/B-01/LOT-02 から呼出。出荷明細に status を追加し明細単位で解除</t>
        </is>
      </c>
      <c r="F13" s="9" t="inlineStr">
        <is>
          <t>対応済</t>
        </is>
      </c>
      <c r="G13" s="9" t="inlineStr">
        <is>
          <t>0.3</t>
        </is>
      </c>
    </row>
    <row r="14">
      <c r="A14" s="9" t="inlineStr">
        <is>
          <t>R-11</t>
        </is>
      </c>
      <c r="B14" s="9" t="n">
        <v>2</v>
      </c>
      <c r="C14" s="16" t="inlineStr">
        <is>
          <t>状態遷移</t>
        </is>
      </c>
      <c r="D14" s="16" t="inlineStr">
        <is>
          <t>QUARANTINE→HOLD、HOLD→EXPIRED、期限切れ後の回収、REJECTED後の扱いが未定義。保留解除で COA なしに合格できる</t>
        </is>
      </c>
      <c r="E14" s="16" t="inlineStr">
        <is>
          <t>状態遷移を網羅し、BR-17（保留解除は COA 添付かつ検品済）を追加</t>
        </is>
      </c>
      <c r="F14" s="9" t="inlineStr">
        <is>
          <t>対応済</t>
        </is>
      </c>
      <c r="G14" s="9" t="inlineStr">
        <is>
          <t>0.3</t>
        </is>
      </c>
    </row>
    <row r="15">
      <c r="A15" s="9" t="inlineStr">
        <is>
          <t>R-12</t>
        </is>
      </c>
      <c r="B15" s="9" t="n">
        <v>2</v>
      </c>
      <c r="C15" s="16" t="inlineStr">
        <is>
          <t>トレーサビリティ（回収）</t>
        </is>
      </c>
      <c r="D15" s="16" t="inlineStr">
        <is>
          <t>回収品の物理受入が在庫・返品に記録されず、追跡結果に反映されない</t>
        </is>
      </c>
      <c r="E15" s="16" t="inlineStr">
        <is>
          <t>返品に recall_target_id を追加し回収品は返品登録で受入。recovered_qty は返品から自動集計。BR-18（回収品は廃棄のみ）</t>
        </is>
      </c>
      <c r="F15" s="9" t="inlineStr">
        <is>
          <t>対応済</t>
        </is>
      </c>
      <c r="G15" s="9" t="inlineStr">
        <is>
          <t>0.3</t>
        </is>
      </c>
    </row>
    <row r="16">
      <c r="A16" s="9" t="inlineStr">
        <is>
          <t>R-13</t>
        </is>
      </c>
      <c r="B16" s="9" t="n">
        <v>2</v>
      </c>
      <c r="C16" s="16" t="inlineStr">
        <is>
          <t>同時実行</t>
        </is>
      </c>
      <c r="D16" s="16" t="inlineStr">
        <is>
          <t>出荷確定と回収登録、返品と出荷取消の競合でチェックをすり抜ける</t>
        </is>
      </c>
      <c r="E16" s="16" t="inlineStr">
        <is>
          <t>P-05 で t_lot FOR SHARE、P-08 で FOR UPDATE、P-06/P-07 で出荷明細 FOR UPDATE。ロック順序を非機能要件に明記</t>
        </is>
      </c>
      <c r="F16" s="9" t="inlineStr">
        <is>
          <t>対応済</t>
        </is>
      </c>
      <c r="G16" s="9" t="inlineStr">
        <is>
          <t>0.3</t>
        </is>
      </c>
    </row>
    <row r="17">
      <c r="A17" s="9" t="inlineStr">
        <is>
          <t>R-14</t>
        </is>
      </c>
      <c r="B17" s="9" t="n">
        <v>2</v>
      </c>
      <c r="C17" s="16" t="inlineStr">
        <is>
          <t>温度逸脱</t>
        </is>
      </c>
      <c r="D17" s="16" t="inlineStr">
        <is>
          <t>CSV 遅延取込時、逸脱時点以降の出荷分・検品待ちロットが追跡されない</t>
        </is>
      </c>
      <c r="E17" s="16" t="inlineStr">
        <is>
          <t>P-09 を測定日時時点の在庫で判定し、既出荷分は回収候補として QA 通知。QUARANTINE も HOLD 対象</t>
        </is>
      </c>
      <c r="F17" s="9" t="inlineStr">
        <is>
          <t>対応済</t>
        </is>
      </c>
      <c r="G17" s="9" t="inlineStr">
        <is>
          <t>0.3</t>
        </is>
      </c>
    </row>
    <row r="18">
      <c r="A18" s="9" t="inlineStr">
        <is>
          <t>R-15</t>
        </is>
      </c>
      <c r="B18" s="9" t="n">
        <v>2</v>
      </c>
      <c r="C18" s="16" t="inlineStr">
        <is>
          <t>在庫整合</t>
        </is>
      </c>
      <c r="D18" s="16" t="inlineStr">
        <is>
          <t>廃棄返品が移動履歴に残らず、在庫受払・整合式が崩れる</t>
        </is>
      </c>
      <c r="E18" s="16" t="inlineStr">
        <is>
          <t>返品は隔離保管場所（is_quarantine）へ RETURN 計上し、廃棄は DISPOSE を記録</t>
        </is>
      </c>
      <c r="F18" s="9" t="inlineStr">
        <is>
          <t>対応済</t>
        </is>
      </c>
      <c r="G18" s="9" t="inlineStr">
        <is>
          <t>0.3</t>
        </is>
      </c>
    </row>
    <row r="19">
      <c r="A19" s="9" t="inlineStr">
        <is>
          <t>R-16</t>
        </is>
      </c>
      <c r="B19" s="9" t="n">
        <v>2</v>
      </c>
      <c r="C19" s="16" t="inlineStr">
        <is>
          <t>データモデル</t>
        </is>
      </c>
      <c r="D19" s="16" t="inlineStr">
        <is>
          <t>入荷下書き時に lot_id が NOT NULL、仕入先ロット番号等の保持先がない</t>
        </is>
      </c>
      <c r="E19" s="16" t="inlineStr">
        <is>
          <t>t_receipt_line に supplier_lot_no・manufactured_on・expires_on・arrival_temp を追加し、lot_id を NULL 可に変更</t>
        </is>
      </c>
      <c r="F19" s="9" t="inlineStr">
        <is>
          <t>対応済</t>
        </is>
      </c>
      <c r="G19" s="9" t="inlineStr">
        <is>
          <t>0.3</t>
        </is>
      </c>
    </row>
    <row r="20">
      <c r="A20" s="9" t="inlineStr">
        <is>
          <t>R-17</t>
        </is>
      </c>
      <c r="B20" s="9" t="n">
        <v>2</v>
      </c>
      <c r="C20" s="16" t="inlineStr">
        <is>
          <t>データモデル</t>
        </is>
      </c>
      <c r="D20" s="16" t="inlineStr">
        <is>
          <t>t_lot に入荷日・原価がなく、移行ロットは原価が決まらず出荷不可</t>
        </is>
      </c>
      <c r="E20" s="16" t="inlineStr">
        <is>
          <t>t_lot に received_on・unit_cost（加重平均）を追加。移行CSVの必須項目を定義</t>
        </is>
      </c>
      <c r="F20" s="9" t="inlineStr">
        <is>
          <t>対応済</t>
        </is>
      </c>
      <c r="G20" s="9" t="inlineStr">
        <is>
          <t>0.3</t>
        </is>
      </c>
    </row>
    <row r="21">
      <c r="A21" s="9" t="inlineStr">
        <is>
          <t>R-18</t>
        </is>
      </c>
      <c r="B21" s="9" t="n">
        <v>2</v>
      </c>
      <c r="C21" s="16" t="inlineStr">
        <is>
          <t>業務ルール</t>
        </is>
      </c>
      <c r="D21" s="16" t="inlineStr">
        <is>
          <t>使用期限の既定値が入荷日起点で甘い。必須なのに未入力分岐がある</t>
        </is>
      </c>
      <c r="E21" s="16" t="inlineStr">
        <is>
          <t>既定値を製造日＋有効期間に変更し、未入力分岐を削除</t>
        </is>
      </c>
      <c r="F21" s="9" t="inlineStr">
        <is>
          <t>対応済</t>
        </is>
      </c>
      <c r="G21" s="9" t="inlineStr">
        <is>
          <t>0.3</t>
        </is>
      </c>
    </row>
    <row r="22">
      <c r="A22" s="9" t="inlineStr">
        <is>
          <t>R-19</t>
        </is>
      </c>
      <c r="B22" s="9" t="n">
        <v>2</v>
      </c>
      <c r="C22" s="16" t="inlineStr">
        <is>
          <t>業務（受注）</t>
        </is>
      </c>
      <c r="D22" s="16" t="inlineStr">
        <is>
          <t>受注の打切り・出荷取消時の戻し・引当中受注の編集ルールがない</t>
        </is>
      </c>
      <c r="E22" s="16" t="inlineStr">
        <is>
          <t>CLOSED と戻し遷移を追加。引当中の変更・取消は不可（MSG-E19）</t>
        </is>
      </c>
      <c r="F22" s="9" t="inlineStr">
        <is>
          <t>対応済</t>
        </is>
      </c>
      <c r="G22" s="9" t="inlineStr">
        <is>
          <t>0.3</t>
        </is>
      </c>
    </row>
    <row r="23">
      <c r="A23" s="9" t="inlineStr">
        <is>
          <t>R-20</t>
        </is>
      </c>
      <c r="B23" s="9" t="n">
        <v>2</v>
      </c>
      <c r="C23" s="16" t="inlineStr">
        <is>
          <t>業務（入荷取消）</t>
        </is>
      </c>
      <c r="D23" s="16" t="inlineStr">
        <is>
          <t>確定済入荷の取消処理がない</t>
        </is>
      </c>
      <c r="E23" s="16" t="inlineStr">
        <is>
          <t>P-12 入荷取消・API-034・MSG-E20・VOID ステータスを追加</t>
        </is>
      </c>
      <c r="F23" s="9" t="inlineStr">
        <is>
          <t>対応済</t>
        </is>
      </c>
      <c r="G23" s="9" t="inlineStr">
        <is>
          <t>0.3</t>
        </is>
      </c>
    </row>
    <row r="24">
      <c r="A24" s="9" t="inlineStr">
        <is>
          <t>R-21</t>
        </is>
      </c>
      <c r="B24" s="9" t="n">
        <v>2</v>
      </c>
      <c r="C24" s="16" t="inlineStr">
        <is>
          <t>トレーサビリティ（回収）</t>
        </is>
      </c>
      <c r="D24" s="16" t="inlineStr">
        <is>
          <t>回収連絡が顧客単位で、現品のある納品先を区別できない。連絡先項目がない</t>
        </is>
      </c>
      <c r="E24" s="16" t="inlineStr">
        <is>
          <t>t_recall_target に ship_to_id を追加し SQL-03 を納品先単位に。顧客・納品先に担当者・メールを追加</t>
        </is>
      </c>
      <c r="F24" s="9" t="inlineStr">
        <is>
          <t>対応済</t>
        </is>
      </c>
      <c r="G24" s="9" t="inlineStr">
        <is>
          <t>0.3</t>
        </is>
      </c>
    </row>
    <row r="25">
      <c r="A25" s="9" t="inlineStr">
        <is>
          <t>R-22</t>
        </is>
      </c>
      <c r="B25" s="9" t="n">
        <v>2</v>
      </c>
      <c r="C25" s="16" t="inlineStr">
        <is>
          <t>SQL</t>
        </is>
      </c>
      <c r="D25" s="16" t="inlineStr">
        <is>
          <t>SQL-02 に返品が反映されない。回収対象の出荷数量が抽出時点で固定</t>
        </is>
      </c>
      <c r="E25" s="16" t="inlineStr">
        <is>
          <t>SQL-02 に返品・正味数量を追加。SQL-03 を UPSERT で再実行可能にし、返品・出荷取消時に再抽出</t>
        </is>
      </c>
      <c r="F25" s="9" t="inlineStr">
        <is>
          <t>対応済</t>
        </is>
      </c>
      <c r="G25" s="9" t="inlineStr">
        <is>
          <t>0.3</t>
        </is>
      </c>
    </row>
    <row r="26">
      <c r="A26" s="9" t="inlineStr">
        <is>
          <t>R-23</t>
        </is>
      </c>
      <c r="B26" s="9" t="n">
        <v>2</v>
      </c>
      <c r="C26" s="16" t="inlineStr">
        <is>
          <t>業務ルール（販売）</t>
        </is>
      </c>
      <c r="D26" s="16" t="inlineStr">
        <is>
          <t>販売可否・顧客有効性を出荷時に再確認しない。与信残高の算出元・承認記録がない</t>
        </is>
      </c>
      <c r="E26" s="16" t="inlineStr">
        <is>
          <t>P-05 で再検証。与信残高の簡易算出を BR-11 に定義（課題 Q-09）。承認者・日時カラムを追加</t>
        </is>
      </c>
      <c r="F26" s="9" t="inlineStr">
        <is>
          <t>対応済</t>
        </is>
      </c>
      <c r="G26" s="9" t="inlineStr">
        <is>
          <t>0.3</t>
        </is>
      </c>
    </row>
    <row r="27">
      <c r="A27" s="9" t="inlineStr">
        <is>
          <t>R-24</t>
        </is>
      </c>
      <c r="B27" s="9" t="n">
        <v>2</v>
      </c>
      <c r="C27" s="16" t="inlineStr">
        <is>
          <t>データモデル</t>
        </is>
      </c>
      <c r="D27" s="16" t="inlineStr">
        <is>
          <t>ロットの判定経緯を構造化して保持できない</t>
        </is>
      </c>
      <c r="E27" s="16" t="inlineStr">
        <is>
          <t>t_lot_status_history を追加（温度記録・回収案件との関連付け）</t>
        </is>
      </c>
      <c r="F27" s="9" t="inlineStr">
        <is>
          <t>対応済</t>
        </is>
      </c>
      <c r="G27" s="9" t="inlineStr">
        <is>
          <t>0.3</t>
        </is>
      </c>
    </row>
    <row r="28">
      <c r="A28" s="9" t="inlineStr">
        <is>
          <t>R-25</t>
        </is>
      </c>
      <c r="B28" s="9" t="n">
        <v>2</v>
      </c>
      <c r="C28" s="16" t="inlineStr">
        <is>
          <t>データモデル</t>
        </is>
      </c>
      <c r="D28" s="16" t="inlineStr">
        <is>
          <t>温度逸脱の保留がロット単位で、他保管場所の在庫も止まる。到着時温度がヘッダに1つ</t>
        </is>
      </c>
      <c r="E28" s="16" t="inlineStr">
        <is>
          <t>到着時温度を明細へ移動。保留単位は安全側のロット単位を維持し、課題 Q-10 として QA と協議</t>
        </is>
      </c>
      <c r="F28" s="9" t="inlineStr">
        <is>
          <t>対応済</t>
        </is>
      </c>
      <c r="G28" s="9" t="inlineStr">
        <is>
          <t>0.3</t>
        </is>
      </c>
    </row>
    <row r="29">
      <c r="A29" s="9" t="inlineStr">
        <is>
          <t>R-26</t>
        </is>
      </c>
      <c r="B29" s="9" t="n">
        <v>2</v>
      </c>
      <c r="C29" s="16" t="inlineStr">
        <is>
          <t>SQL／バッチ</t>
        </is>
      </c>
      <c r="D29" s="16" t="inlineStr">
        <is>
          <t>SQL-04 は在庫行のない移動を検出できない。引当整合のチェックがない。引当中数量の定義がない</t>
        </is>
      </c>
      <c r="E29" s="16" t="inlineStr">
        <is>
          <t>SQL-04 を FULL JOIN に変更、SQL-05（引当整合）を追加、P-04 に引当中数量の定義を明記</t>
        </is>
      </c>
      <c r="F29" s="9" t="inlineStr">
        <is>
          <t>対応済</t>
        </is>
      </c>
      <c r="G29" s="9" t="inlineStr">
        <is>
          <t>0.3</t>
        </is>
      </c>
    </row>
    <row r="30">
      <c r="A30" s="9" t="inlineStr">
        <is>
          <t>R-27</t>
        </is>
      </c>
      <c r="B30" s="9" t="n">
        <v>2</v>
      </c>
      <c r="C30" s="16" t="inlineStr">
        <is>
          <t>記述不足</t>
        </is>
      </c>
      <c r="D30" s="16" t="inlineStr">
        <is>
          <t>SCR-32/34/43 の画面項目、手動引当・回収完了の処理詳細、各種メッセージが不足</t>
        </is>
      </c>
      <c r="E30" s="16" t="inlineStr">
        <is>
          <t>画面項目（SCR-31/32/33/34/43）、P-13・P-14、MSG-E19〜E24・W06・W07 を追加。MUST 画面の項目定義有無を自動チェックに追加</t>
        </is>
      </c>
      <c r="F30" s="9" t="inlineStr">
        <is>
          <t>対応済</t>
        </is>
      </c>
      <c r="G30" s="9" t="inlineStr">
        <is>
          <t>0.3</t>
        </is>
      </c>
    </row>
    <row r="31">
      <c r="A31" s="9" t="inlineStr">
        <is>
          <t>R-28</t>
        </is>
      </c>
      <c r="B31" s="9" t="n">
        <v>2</v>
      </c>
      <c r="C31" s="16" t="inlineStr">
        <is>
          <t>型・設計</t>
        </is>
      </c>
      <c r="D31" s="16" t="inlineStr">
        <is>
          <t>日時がタイムゾーンなし。ロット番号の固定長が成立しない。『出荷停止』ステータスが曖昧</t>
        </is>
      </c>
      <c r="E31" s="16" t="inlineStr">
        <is>
          <t>TIMESTAMPTZ に統一。ロット番号は最大30文字の英数字に改定。出荷停止＝HOLD/RECALLED と明記</t>
        </is>
      </c>
      <c r="F31" s="9" t="inlineStr">
        <is>
          <t>対応済</t>
        </is>
      </c>
      <c r="G31" s="9" t="inlineStr">
        <is>
          <t>0.3</t>
        </is>
      </c>
    </row>
    <row r="32">
      <c r="A32" s="9" t="inlineStr">
        <is>
          <t>R-29</t>
        </is>
      </c>
      <c r="B32" s="9" t="n">
        <v>2</v>
      </c>
      <c r="C32" s="16" t="inlineStr">
        <is>
          <t>実DB検証</t>
        </is>
      </c>
      <c r="D32" s="16" t="inlineStr">
        <is>
          <t>DDL/SQL をサンプルデータで実行したところ、初期管理者が created_by の自己参照で登録できないことが判明</t>
        </is>
      </c>
      <c r="E32" s="16" t="inlineStr">
        <is>
          <t>非機能要件『マスタ移行』に初期管理者の投入手順（id=1 明示）を追記。SQL検証シナリオを ASSERT 付きで自動化</t>
        </is>
      </c>
      <c r="F32" s="9" t="inlineStr">
        <is>
          <t>対応済</t>
        </is>
      </c>
      <c r="G32" s="9" t="inlineStr">
        <is>
          <t>0.3</t>
        </is>
      </c>
    </row>
    <row r="33">
      <c r="A33" s="9" t="inlineStr">
        <is>
          <t>R-30</t>
        </is>
      </c>
      <c r="B33" s="9" t="n">
        <v>3</v>
      </c>
      <c r="C33" s="16" t="inlineStr">
        <is>
          <t>同時実行</t>
        </is>
      </c>
      <c r="D33" s="16" t="inlineStr">
        <is>
          <t>ロック順序（ロット→在庫→伝票）に反する処理が多く、P-05 と P-08 でデッドロックし得る。P-04/P-13 がロットをロックしない</t>
        </is>
      </c>
      <c r="E33" s="16" t="inlineStr">
        <is>
          <t>共通手順 P-00 を新設し、全処理のロック記述を P-00 準拠に統一。P-04/P-13 にロット FOR SHARE を追加</t>
        </is>
      </c>
      <c r="F33" s="9" t="inlineStr">
        <is>
          <t>対応済</t>
        </is>
      </c>
      <c r="G33" s="9" t="inlineStr">
        <is>
          <t>0.4</t>
        </is>
      </c>
    </row>
    <row r="34">
      <c r="A34" s="9" t="inlineStr">
        <is>
          <t>R-31</t>
        </is>
      </c>
      <c r="B34" s="9" t="n">
        <v>3</v>
      </c>
      <c r="C34" s="16" t="inlineStr">
        <is>
          <t>状態遷移</t>
        </is>
      </c>
      <c r="D34" s="16" t="inlineStr">
        <is>
          <t>未検品で温度逸脱保留されたロットが合格にも検品にも進めない</t>
        </is>
      </c>
      <c r="E34" s="16" t="inlineStr">
        <is>
          <t>HOLD→QUARANTINE（未検品の保留解除）を追加し BR-17・SCR-32・MSG-E08 を分岐</t>
        </is>
      </c>
      <c r="F34" s="9" t="inlineStr">
        <is>
          <t>対応済</t>
        </is>
      </c>
      <c r="G34" s="9" t="inlineStr">
        <is>
          <t>0.4</t>
        </is>
      </c>
    </row>
    <row r="35">
      <c r="A35" s="9" t="inlineStr">
        <is>
          <t>R-32</t>
        </is>
      </c>
      <c r="B35" s="9" t="n">
        <v>3</v>
      </c>
      <c r="C35" s="16" t="inlineStr">
        <is>
          <t>業務（分納）</t>
        </is>
      </c>
      <c r="D35" s="16" t="inlineStr">
        <is>
          <t>分納が既存ロットの状態を見ずに加算する（VOID 再利用、REJECTED 等への入庫、RELEASED への無検品追加）</t>
        </is>
      </c>
      <c r="E35" s="16" t="inlineStr">
        <is>
          <t>P-01 に状態別処理を定義（VOID→QUARANTINE、REJECTED/RECALLED/EXPIRED→MSG-E25、RELEASED/HOLD→隔離入庫）。分納受入判定 P-16・BR-19・API-035 を追加</t>
        </is>
      </c>
      <c r="F35" s="9" t="inlineStr">
        <is>
          <t>対応済</t>
        </is>
      </c>
      <c r="G35" s="9" t="inlineStr">
        <is>
          <t>0.4</t>
        </is>
      </c>
    </row>
    <row r="36">
      <c r="A36" s="9" t="inlineStr">
        <is>
          <t>R-33</t>
        </is>
      </c>
      <c r="B36" s="9" t="n">
        <v>3</v>
      </c>
      <c r="C36" s="16" t="inlineStr">
        <is>
          <t>SQL（回収）</t>
        </is>
      </c>
      <c r="D36" s="16" t="inlineStr">
        <is>
          <t>出荷取消で SHIPPED 明細が無くなった対象が古い数量のまま残り回収完了できない。回収数量充足で RECOVERED にならない</t>
        </is>
      </c>
      <c r="E36" s="16" t="inlineStr">
        <is>
          <t>SQL-03 に消滅分の UPDATE を追加し、RECOVERED 判定（回収＋回収不能 &gt;= 出荷正味）を追加。ASSERT で検証</t>
        </is>
      </c>
      <c r="F36" s="9" t="inlineStr">
        <is>
          <t>対応済</t>
        </is>
      </c>
      <c r="G36" s="9" t="inlineStr">
        <is>
          <t>0.4</t>
        </is>
      </c>
    </row>
    <row r="37">
      <c r="A37" s="9" t="inlineStr">
        <is>
          <t>R-34</t>
        </is>
      </c>
      <c r="B37" s="9" t="n">
        <v>3</v>
      </c>
      <c r="C37" s="16" t="inlineStr">
        <is>
          <t>処理詳細</t>
        </is>
      </c>
      <c r="D37" s="16" t="inlineStr">
        <is>
          <t>P-06 が CANCELLED 済明細も含めて減算・戻しを行う。P-07 RESTOCK 後のステータス未設定</t>
        </is>
      </c>
      <c r="E37" s="16" t="inlineStr">
        <is>
          <t>P-06 を ALLOCATED／SHIPPED 明細に限定。P-07 RESTOCK に CLOSED を追記</t>
        </is>
      </c>
      <c r="F37" s="9" t="inlineStr">
        <is>
          <t>対応済</t>
        </is>
      </c>
      <c r="G37" s="9" t="inlineStr">
        <is>
          <t>0.4</t>
        </is>
      </c>
    </row>
    <row r="38">
      <c r="A38" s="9" t="inlineStr">
        <is>
          <t>R-35</t>
        </is>
      </c>
      <c r="B38" s="9" t="n">
        <v>3</v>
      </c>
      <c r="C38" s="16" t="inlineStr">
        <is>
          <t>処理詳細</t>
        </is>
      </c>
      <c r="D38" s="16" t="inlineStr">
        <is>
          <t>入荷取消の VOID 遷移元・履歴記録・原価再計算が P-01 と不整合</t>
        </is>
      </c>
      <c r="E38" s="16" t="inlineStr">
        <is>
          <t>P-12 を QUARANTINE ロットに限定し、履歴記録と移動平均の逆算式を定義</t>
        </is>
      </c>
      <c r="F38" s="9" t="inlineStr">
        <is>
          <t>対応済</t>
        </is>
      </c>
      <c r="G38" s="9" t="inlineStr">
        <is>
          <t>0.4</t>
        </is>
      </c>
    </row>
    <row r="39">
      <c r="A39" s="9" t="inlineStr">
        <is>
          <t>R-36</t>
        </is>
      </c>
      <c r="B39" s="9" t="n">
        <v>3</v>
      </c>
      <c r="C39" s="16" t="inlineStr">
        <is>
          <t>業務（在庫処分）</t>
        </is>
      </c>
      <c r="D39" s="16" t="inlineStr">
        <is>
          <t>仕入先返品の移動区分・API・処理がない</t>
        </is>
      </c>
      <c r="E39" s="16" t="inlineStr">
        <is>
          <t>移動区分 SUPPLIER_RETURN、P-17、API-055、SCR-34 の処理区分を追加</t>
        </is>
      </c>
      <c r="F39" s="9" t="inlineStr">
        <is>
          <t>対応済</t>
        </is>
      </c>
      <c r="G39" s="9" t="inlineStr">
        <is>
          <t>0.4</t>
        </is>
      </c>
    </row>
    <row r="40">
      <c r="A40" s="9" t="inlineStr">
        <is>
          <t>R-37</t>
        </is>
      </c>
      <c r="B40" s="9" t="n">
        <v>3</v>
      </c>
      <c r="C40" s="16" t="inlineStr">
        <is>
          <t>回収</t>
        </is>
      </c>
      <c r="D40" s="16" t="inlineStr">
        <is>
          <t>回収品返品の回収対象整合を検証しない。手動で RECOVERED にでき自動集計と矛盾。回収不能数量・クローズ理由がない</t>
        </is>
      </c>
      <c r="E40" s="16" t="inlineStr">
        <is>
          <t>P-07 に整合検証と必須条件（MSG-E26）を追加。API-102 は CONTACTED/CLOSED のみ。unrecoverable_qty・close_reason を追加</t>
        </is>
      </c>
      <c r="F40" s="9" t="inlineStr">
        <is>
          <t>対応済</t>
        </is>
      </c>
      <c r="G40" s="9" t="inlineStr">
        <is>
          <t>0.4</t>
        </is>
      </c>
    </row>
    <row r="41">
      <c r="A41" s="9" t="inlineStr">
        <is>
          <t>R-38</t>
        </is>
      </c>
      <c r="B41" s="9" t="n">
        <v>3</v>
      </c>
      <c r="C41" s="16" t="inlineStr">
        <is>
          <t>与信</t>
        </is>
      </c>
      <c r="D41" s="16" t="inlineStr">
        <is>
          <t>与信超過の承認手段（API・画面・状態）がない</t>
        </is>
      </c>
      <c r="E41" s="16" t="inlineStr">
        <is>
          <t>受注に CREDIT_PENDING を追加し、API-063・SCR-41 の承認項目を追加</t>
        </is>
      </c>
      <c r="F41" s="9" t="inlineStr">
        <is>
          <t>対応済</t>
        </is>
      </c>
      <c r="G41" s="9" t="inlineStr">
        <is>
          <t>0.4</t>
        </is>
      </c>
    </row>
    <row r="42">
      <c r="A42" s="9" t="inlineStr">
        <is>
          <t>R-39</t>
        </is>
      </c>
      <c r="B42" s="9" t="n">
        <v>3</v>
      </c>
      <c r="C42" s="16" t="inlineStr">
        <is>
          <t>回収</t>
        </is>
      </c>
      <c r="D42" s="16" t="inlineStr">
        <is>
          <t>API-100/101 が同じ P-08 を指し責務が不明。OPEN が永続化されない。再指定時の扱いが未定義</t>
        </is>
      </c>
      <c r="E42" s="16" t="inlineStr">
        <is>
          <t>P-08（登録・OPEN）と P-18（抽出・冪等）に分離。既 RECALLED はスキップ、VOID は MSG-E27、REJECTED からの回収を許可</t>
        </is>
      </c>
      <c r="F42" s="9" t="inlineStr">
        <is>
          <t>対応済</t>
        </is>
      </c>
      <c r="G42" s="9" t="inlineStr">
        <is>
          <t>0.4</t>
        </is>
      </c>
    </row>
    <row r="43">
      <c r="A43" s="9" t="inlineStr">
        <is>
          <t>R-40</t>
        </is>
      </c>
      <c r="B43" s="9" t="n">
        <v>3</v>
      </c>
      <c r="C43" s="16" t="inlineStr">
        <is>
          <t>処理詳細</t>
        </is>
      </c>
      <c r="D43" s="16" t="inlineStr">
        <is>
          <t>LOT-02 の処理（遷移検証・履歴）が未定義。自動処理の作成者（システムユーザー）が未定義</t>
        </is>
      </c>
      <c r="E43" s="16" t="inlineStr">
        <is>
          <t>P-15 を新設（MSG-E29）。システムユーザー（id=2）を移行要件に追記</t>
        </is>
      </c>
      <c r="F43" s="9" t="inlineStr">
        <is>
          <t>対応済</t>
        </is>
      </c>
      <c r="G43" s="9" t="inlineStr">
        <is>
          <t>0.4</t>
        </is>
      </c>
    </row>
    <row r="44">
      <c r="A44" s="9" t="inlineStr">
        <is>
          <t>R-41</t>
        </is>
      </c>
      <c r="B44" s="9" t="n">
        <v>3</v>
      </c>
      <c r="C44" s="16" t="inlineStr">
        <is>
          <t>在庫</t>
        </is>
      </c>
      <c r="D44" s="16" t="inlineStr">
        <is>
          <t>隔離保管場所の返品在庫を P-10 で移動・廃棄でき、QA判定を迂回できる</t>
        </is>
      </c>
      <c r="E44" s="16" t="inlineStr">
        <is>
          <t>BR-20 と P-10 の禁止チェック（MSG-E28）を追加</t>
        </is>
      </c>
      <c r="F44" s="9" t="inlineStr">
        <is>
          <t>対応済</t>
        </is>
      </c>
      <c r="G44" s="9" t="inlineStr">
        <is>
          <t>0.4</t>
        </is>
      </c>
    </row>
    <row r="45">
      <c r="A45" s="9" t="inlineStr">
        <is>
          <t>R-42</t>
        </is>
      </c>
      <c r="B45" s="9" t="n">
        <v>3</v>
      </c>
      <c r="C45" s="16" t="inlineStr">
        <is>
          <t>記述不足</t>
        </is>
      </c>
      <c r="D45" s="16" t="inlineStr">
        <is>
          <t>マスタ・ダッシュボード・帳票・監査ログ画面の項目定義がなく新カラムが画面に現れない</t>
        </is>
      </c>
      <c r="E45" s="16" t="inlineStr">
        <is>
          <t>SCR-01/11〜16/61/62 の画面項目を追加。自動チェックを全 MUST 画面（ログイン除く）に拡大</t>
        </is>
      </c>
      <c r="F45" s="9" t="inlineStr">
        <is>
          <t>対応済</t>
        </is>
      </c>
      <c r="G45" s="9" t="inlineStr">
        <is>
          <t>0.4</t>
        </is>
      </c>
    </row>
    <row r="46">
      <c r="A46" s="9" t="inlineStr">
        <is>
          <t>R-43</t>
        </is>
      </c>
      <c r="B46" s="9" t="n">
        <v>3</v>
      </c>
      <c r="C46" s="16" t="inlineStr">
        <is>
          <t>状態遷移</t>
        </is>
      </c>
      <c r="D46" s="16" t="inlineStr">
        <is>
          <t>発注の残数打切りAPIがない。打切り済受注の出荷取消時の遷移が未定義</t>
        </is>
      </c>
      <c r="E46" s="16" t="inlineStr">
        <is>
          <t>API-024 を追加。受注 CLOSED の出荷取消（状態維持）を追加</t>
        </is>
      </c>
      <c r="F46" s="9" t="inlineStr">
        <is>
          <t>対応済</t>
        </is>
      </c>
      <c r="G46" s="9" t="inlineStr">
        <is>
          <t>0.4</t>
        </is>
      </c>
    </row>
    <row r="47">
      <c r="A47" s="9" t="inlineStr">
        <is>
          <t>R-44</t>
        </is>
      </c>
      <c r="B47" s="9" t="n">
        <v>3</v>
      </c>
      <c r="C47" s="16" t="inlineStr">
        <is>
          <t>SQL（追跡）</t>
        </is>
      </c>
      <c r="D47" s="16" t="inlineStr">
        <is>
          <t>取消済を区別表示するとしながら SQL-01 が取消行を返さない。回収数量列がない</t>
        </is>
      </c>
      <c r="E47" s="16" t="inlineStr">
        <is>
          <t>SQL-01 を出荷後取消の行も返すよう変更（正味0）し、通常返品／回収数量を分けて表示。ASSERT で検証</t>
        </is>
      </c>
      <c r="F47" s="9" t="inlineStr">
        <is>
          <t>対応済</t>
        </is>
      </c>
      <c r="G47" s="9" t="inlineStr">
        <is>
          <t>0.4</t>
        </is>
      </c>
    </row>
    <row r="48">
      <c r="A48" s="9" t="inlineStr">
        <is>
          <t>R-45</t>
        </is>
      </c>
      <c r="B48" s="9" t="n">
        <v>4</v>
      </c>
      <c r="C48" s="16" t="inlineStr">
        <is>
          <t>隔離在庫</t>
        </is>
      </c>
      <c r="D48" s="16" t="inlineStr">
        <is>
          <t>隔離保管場所で分納分と返品が合算され、二重判定・判定迂回・後続の廃棄失敗が起き得る</t>
        </is>
      </c>
      <c r="E48" s="16" t="inlineStr">
        <is>
          <t>入荷明細に split_status を追加。隔離からの払出しは出所伝票 ref 必須・残数上限（P-00 ステップ7、BR-20、MSG-E30）。P-17 は REJECTED 分納のみ</t>
        </is>
      </c>
      <c r="F48" s="9" t="inlineStr">
        <is>
          <t>対応済</t>
        </is>
      </c>
      <c r="G48" s="9" t="inlineStr">
        <is>
          <t>1.0</t>
        </is>
      </c>
    </row>
    <row r="49">
      <c r="A49" s="9" t="inlineStr">
        <is>
          <t>R-46</t>
        </is>
      </c>
      <c r="B49" s="9" t="n">
        <v>4</v>
      </c>
      <c r="C49" s="16" t="inlineStr">
        <is>
          <t>同時実行（受注）</t>
        </is>
      </c>
      <c r="D49" s="16" t="inlineStr">
        <is>
          <t>P-03 が受注をロックせず、取消・打切り済受注の引当が P-05 で出荷され得る。与信再判定の遷移が未定義</t>
        </is>
      </c>
      <c r="E49" s="16" t="inlineStr">
        <is>
          <t>P-03/P-05/P-13 で受注ヘッダをロックし状態検証。変更で超過時は引当なし→CREDIT_PENDING、引当あり→MSG-E31</t>
        </is>
      </c>
      <c r="F49" s="9" t="inlineStr">
        <is>
          <t>対応済</t>
        </is>
      </c>
      <c r="G49" s="9" t="inlineStr">
        <is>
          <t>1.0</t>
        </is>
      </c>
    </row>
    <row r="50">
      <c r="A50" s="9" t="inlineStr">
        <is>
          <t>R-47</t>
        </is>
      </c>
      <c r="B50" s="9" t="n">
        <v>4</v>
      </c>
      <c r="C50" s="16" t="inlineStr">
        <is>
          <t>状態遷移（発注）</t>
        </is>
      </c>
      <c r="D50" s="16" t="inlineStr">
        <is>
          <t>打切り済発注が入荷取消で PARTIAL に戻り再入荷対象になる</t>
        </is>
      </c>
      <c r="E50" s="16" t="inlineStr">
        <is>
          <t>発注に CLOSED（打切り）を追加し、入荷取消でも状態維持</t>
        </is>
      </c>
      <c r="F50" s="9" t="inlineStr">
        <is>
          <t>対応済</t>
        </is>
      </c>
      <c r="G50" s="9" t="inlineStr">
        <is>
          <t>1.0</t>
        </is>
      </c>
    </row>
    <row r="51">
      <c r="A51" s="9" t="inlineStr">
        <is>
          <t>R-48</t>
        </is>
      </c>
      <c r="B51" s="9" t="n">
        <v>4</v>
      </c>
      <c r="C51" s="16" t="inlineStr">
        <is>
          <t>同時実行（回収）</t>
        </is>
      </c>
      <c r="D51" s="16" t="inlineStr">
        <is>
          <t>P-00 に回収テーブルが含まれず、完了判定と回収品登録・再抽出が競合する</t>
        </is>
      </c>
      <c r="E51" s="16" t="inlineStr">
        <is>
          <t>P-00 に回収案件→回収対象のロックを追加し P-07/P-14/P-18/P-19 に明記</t>
        </is>
      </c>
      <c r="F51" s="9" t="inlineStr">
        <is>
          <t>対応済</t>
        </is>
      </c>
      <c r="G51" s="9" t="inlineStr">
        <is>
          <t>1.0</t>
        </is>
      </c>
    </row>
    <row r="52">
      <c r="A52" s="9" t="inlineStr">
        <is>
          <t>R-49</t>
        </is>
      </c>
      <c r="B52" s="9" t="n">
        <v>4</v>
      </c>
      <c r="C52" s="16" t="inlineStr">
        <is>
          <t>権限・処理（回収）</t>
        </is>
      </c>
      <c r="D52" s="16" t="inlineStr">
        <is>
          <t>API-102 で SALES がクローズでき、回収不能入力で RECOVERED にならない</t>
        </is>
      </c>
      <c r="E52" s="16" t="inlineStr">
        <is>
          <t>P-19 を新設（SALES は連絡情報のみ、QA はクローズ・回収不能数量）し、更新後に RECOVERED 判定</t>
        </is>
      </c>
      <c r="F52" s="9" t="inlineStr">
        <is>
          <t>対応済</t>
        </is>
      </c>
      <c r="G52" s="9" t="inlineStr">
        <is>
          <t>1.0</t>
        </is>
      </c>
    </row>
    <row r="53">
      <c r="A53" s="9" t="inlineStr">
        <is>
          <t>R-50</t>
        </is>
      </c>
      <c r="B53" s="9" t="n">
        <v>4</v>
      </c>
      <c r="C53" s="16" t="inlineStr">
        <is>
          <t>処理（仕入先返品）</t>
        </is>
      </c>
      <c r="D53" s="16" t="inlineStr">
        <is>
          <t>移行ロット・分納ロットで参照する入荷明細が決まらない</t>
        </is>
      </c>
      <c r="E53" s="16" t="inlineStr">
        <is>
          <t>返品元入荷明細を利用者が選択（残数上限）、移行ロットは ref_type=migration・単価は t_lot.unit_cost</t>
        </is>
      </c>
      <c r="F53" s="9" t="inlineStr">
        <is>
          <t>対応済</t>
        </is>
      </c>
      <c r="G53" s="9" t="inlineStr">
        <is>
          <t>1.0</t>
        </is>
      </c>
    </row>
    <row r="54">
      <c r="A54" s="9" t="inlineStr">
        <is>
          <t>R-51</t>
        </is>
      </c>
      <c r="B54" s="9" t="n">
        <v>5</v>
      </c>
      <c r="C54" s="16" t="inlineStr">
        <is>
          <t>処理（分納）</t>
        </is>
      </c>
      <c r="D54" s="16" t="inlineStr">
        <is>
          <t>P-01 が split_status=PENDING を設定せず、RECEIPT の ref もないため分納分が隔離保管場所から処理できない</t>
        </is>
      </c>
      <c r="E54" s="16" t="inlineStr">
        <is>
          <t>P-01 で分納時 PENDING、通常入荷 NULL。RECEIPT 移動に ref_type=receipt_line／ref_id を明記</t>
        </is>
      </c>
      <c r="F54" s="9" t="inlineStr">
        <is>
          <t>対応済</t>
        </is>
      </c>
      <c r="G54" s="9" t="inlineStr">
        <is>
          <t>1.1</t>
        </is>
      </c>
    </row>
    <row r="55">
      <c r="A55" s="9" t="inlineStr">
        <is>
          <t>R-52</t>
        </is>
      </c>
      <c r="B55" s="9" t="n">
        <v>5</v>
      </c>
      <c r="C55" s="16" t="inlineStr">
        <is>
          <t>状態遷移（受注）</t>
        </is>
      </c>
      <c r="D55" s="16" t="inlineStr">
        <is>
          <t>出荷実績のある CREDIT_PENDING 受注が取消でき、打切り手段もなく、出荷取消で承認を迂回し得る</t>
        </is>
      </c>
      <c r="E55" s="16" t="inlineStr">
        <is>
          <t>CREDIT_PENDING の取消は出荷済0のみ。CREDIT_PENDING→CLOSED（打切り）と出荷取消時の状態維持を追加</t>
        </is>
      </c>
      <c r="F55" s="9" t="inlineStr">
        <is>
          <t>対応済</t>
        </is>
      </c>
      <c r="G55" s="9" t="inlineStr">
        <is>
          <t>1.1</t>
        </is>
      </c>
    </row>
    <row r="56">
      <c r="A56" s="9" t="inlineStr">
        <is>
          <t>R-53</t>
        </is>
      </c>
      <c r="B56" s="9" t="n">
        <v>5</v>
      </c>
      <c r="C56" s="16" t="inlineStr">
        <is>
          <t>同時実行（受注）</t>
        </is>
      </c>
      <c r="D56" s="16" t="inlineStr">
        <is>
          <t>P-06 が受注をロックせず、打切り・与信再判定の結果を上書きし得る</t>
        </is>
      </c>
      <c r="E56" s="16" t="inlineStr">
        <is>
          <t>P-06 のロックに受注を追加し、ロック後の状態で再判定（CLOSED・CREDIT_PENDING は維持）</t>
        </is>
      </c>
      <c r="F56" s="9" t="inlineStr">
        <is>
          <t>対応済</t>
        </is>
      </c>
      <c r="G56" s="9" t="inlineStr">
        <is>
          <t>1.1</t>
        </is>
      </c>
    </row>
    <row r="57">
      <c r="A57" s="9" t="inlineStr">
        <is>
          <t>R-54</t>
        </is>
      </c>
      <c r="B57" s="9" t="n">
        <v>5</v>
      </c>
      <c r="C57" s="16" t="inlineStr">
        <is>
          <t>状態遷移（発注）</t>
        </is>
      </c>
      <c r="D57" s="16" t="inlineStr">
        <is>
          <t>打切り前の下書き入荷を確定すると CLOSED 発注が PARTIAL/RECEIVED に戻る</t>
        </is>
      </c>
      <c r="E57" s="16" t="inlineStr">
        <is>
          <t>P-01 で発注をロックし CLOSED/CANCELLED は確定不可。API-024 は DRAFT 入荷があれば不可（MSG-E32）</t>
        </is>
      </c>
      <c r="F57" s="9" t="inlineStr">
        <is>
          <t>対応済</t>
        </is>
      </c>
      <c r="G57" s="9" t="inlineStr">
        <is>
          <t>1.1</t>
        </is>
      </c>
    </row>
    <row r="58">
      <c r="A58" s="9" t="inlineStr">
        <is>
          <t>R-55</t>
        </is>
      </c>
      <c r="B58" s="9" t="n">
        <v>5</v>
      </c>
      <c r="C58" s="16" t="inlineStr">
        <is>
          <t>隔離在庫</t>
        </is>
      </c>
      <c r="D58" s="16" t="inlineStr">
        <is>
          <t>隔離中の破損・不足で現在庫が出所数量を下回ると P-16/P-07 が実行できず PENDING のまま残る</t>
        </is>
      </c>
      <c r="E58" s="16" t="inlineStr">
        <is>
          <t>払出し数量を払出し可能数以下の入力値に変更。実数差異は QA が出所伝票指定の調整・廃棄で処理（BR-20・P-10 の例外）。権限マトリクス INV-03 の QA を C に変更（隔離保管場所の差異処理に限定）</t>
        </is>
      </c>
      <c r="F58" s="9" t="inlineStr">
        <is>
          <t>対応済</t>
        </is>
      </c>
      <c r="G58" s="9" t="inlineStr">
        <is>
          <t>1.1</t>
        </is>
      </c>
    </row>
    <row r="59">
      <c r="A59" s="9" t="inlineStr">
        <is>
          <t>R-56</t>
        </is>
      </c>
      <c r="B59" s="9" t="n">
        <v>6</v>
      </c>
      <c r="C59" s="16" t="inlineStr">
        <is>
          <t>隔離在庫（画面）</t>
        </is>
      </c>
      <c r="D59" s="16" t="inlineStr">
        <is>
          <t>P-10 の隔離例外が SCR-34・API-052 に反映されず、出所の指定方法やプラス調整の扱いも未定義で実行できない</t>
        </is>
      </c>
      <c r="E59" s="16" t="inlineStr">
        <is>
          <t>SCR-34 に出所伝票の選択（QA・隔離時必須、払出し可能数表示）を追加。隔離は減少方向のみ。MSG-E28・API-052 を整合</t>
        </is>
      </c>
      <c r="F59" s="9" t="inlineStr">
        <is>
          <t>対応済</t>
        </is>
      </c>
      <c r="G59" s="9" t="inlineStr">
        <is>
          <t>1.2</t>
        </is>
      </c>
    </row>
    <row r="60">
      <c r="A60" s="9" t="inlineStr">
        <is>
          <t>R-57</t>
        </is>
      </c>
      <c r="B60" s="9" t="n">
        <v>6</v>
      </c>
      <c r="C60" s="16" t="inlineStr">
        <is>
          <t>隔離在庫（後処理）</t>
        </is>
      </c>
      <c r="D60" s="16" t="inlineStr">
        <is>
          <t>差異処理で払出し可能数が0になっても PENDING／RECEIVED が残り続ける</t>
        </is>
      </c>
      <c r="E60" s="16" t="inlineStr">
        <is>
          <t>P-10 ステップ4で出所を REJECTED／CLOSED に自動更新。P-07・P-16 は払出し可能数0なら移動なしで判定のみ記録可</t>
        </is>
      </c>
      <c r="F60" s="9" t="inlineStr">
        <is>
          <t>対応済</t>
        </is>
      </c>
      <c r="G60" s="9" t="inlineStr">
        <is>
          <t>1.2</t>
        </is>
      </c>
    </row>
    <row r="61">
      <c r="A61" s="9" t="inlineStr">
        <is>
          <t>R-58</t>
        </is>
      </c>
      <c r="B61" s="9" t="n">
        <v>6</v>
      </c>
      <c r="C61" s="16" t="inlineStr">
        <is>
          <t>業務（入荷下書き）</t>
        </is>
      </c>
      <c r="D61" s="16" t="inlineStr">
        <is>
          <t>MSG-E32 が案内する下書き入荷の破棄手段がなく、発注を打切れない</t>
        </is>
      </c>
      <c r="E61" s="16" t="inlineStr">
        <is>
          <t>P-20・API-036・SCR-22 の破棄ボタンを追加（発注を先にロックし API-024 と直列化）。入荷の状態遷移を追加</t>
        </is>
      </c>
      <c r="F61" s="9" t="inlineStr">
        <is>
          <t>対応済</t>
        </is>
      </c>
      <c r="G61" s="9" t="inlineStr">
        <is>
          <t>1.2</t>
        </is>
      </c>
    </row>
    <row r="62">
      <c r="A62" s="9" t="inlineStr">
        <is>
          <t>R-59</t>
        </is>
      </c>
      <c r="B62" s="9" t="n">
        <v>6</v>
      </c>
      <c r="C62" s="16" t="inlineStr">
        <is>
          <t>同時実行（発注）</t>
        </is>
      </c>
      <c r="D62" s="16" t="inlineStr">
        <is>
          <t>P-12 が発注をロックせず、打切り（API-024）の結果を上書きし得る</t>
        </is>
      </c>
      <c r="E62" s="16" t="inlineStr">
        <is>
          <t>P-12 のロックを ロット→在庫→発注→入荷 に変更し、ロック後の状態で再判定</t>
        </is>
      </c>
      <c r="F62" s="9" t="inlineStr">
        <is>
          <t>対応済</t>
        </is>
      </c>
      <c r="G62" s="9" t="inlineStr">
        <is>
          <t>1.2</t>
        </is>
      </c>
    </row>
    <row r="63">
      <c r="A63" s="9" t="inlineStr">
        <is>
          <t>R-60</t>
        </is>
      </c>
      <c r="B63" s="9" t="n">
        <v>7</v>
      </c>
      <c r="C63" s="16" t="inlineStr">
        <is>
          <t>隔離在庫（判定）</t>
        </is>
      </c>
      <c r="D63" s="16" t="inlineStr">
        <is>
          <t>一部数量で判定済にした出所が、残りの差異処理で REJECTED／DISPOSE に上書きされ判定記録が崩れる</t>
        </is>
      </c>
      <c r="E63" s="16" t="inlineStr">
        <is>
          <t>P-16・P-07 は払出し可能数の全量で判定（一部判定不可、差異は先に処理）。P-10 ステップ4の自動クローズは未判定の出所に限定し、ロック後に再検証</t>
        </is>
      </c>
      <c r="F63" s="9" t="inlineStr">
        <is>
          <t>対応済</t>
        </is>
      </c>
      <c r="G63" s="9" t="inlineStr">
        <is>
          <t>1.3</t>
        </is>
      </c>
    </row>
    <row r="64">
      <c r="A64" s="9" t="inlineStr">
        <is>
          <t>R-61</t>
        </is>
      </c>
      <c r="B64" s="9" t="n">
        <v>7</v>
      </c>
      <c r="C64" s="16" t="inlineStr">
        <is>
          <t>隔離在庫（入力）</t>
        </is>
      </c>
      <c r="D64" s="16" t="inlineStr">
        <is>
          <t>SCR-34 項目5（実棚数）と項目9（減少数量）で数量の意味が矛盾し、誤減算を戻す手段もない</t>
        </is>
      </c>
      <c r="E64" s="16" t="inlineStr">
        <is>
          <t>隔離保管場所は出所別の減少数量に統一（項目5・API-052 に明記）。ADMIN による赤伝での戻し（P-10 ステップ5）を定義</t>
        </is>
      </c>
      <c r="F64" s="9" t="inlineStr">
        <is>
          <t>対応済</t>
        </is>
      </c>
      <c r="G64" s="9" t="inlineStr">
        <is>
          <t>1.3</t>
        </is>
      </c>
    </row>
  </sheetData>
  <autoFilter ref="A3:G64"/>
  <hyperlinks>
    <hyperlink xmlns:r="http://schemas.openxmlformats.org/officeDocument/2006/relationships" ref="G1" r:id="rId1"/>
  </hyperlinks>
  <printOptions gridLines="0"/>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B12"/>
  <sheetViews>
    <sheetView zoomScale="90" workbookViewId="0">
      <pane ySplit="3" topLeftCell="A4" activePane="bottomLeft" state="frozen"/>
      <selection pane="bottomLeft" activeCell="A1" sqref="A1"/>
    </sheetView>
  </sheetViews>
  <sheetFormatPr baseColWidth="8" defaultRowHeight="15"/>
  <cols>
    <col width="24" customWidth="1" min="1" max="1"/>
    <col width="110" customWidth="1" min="2" max="2"/>
  </cols>
  <sheetData>
    <row r="1">
      <c r="A1" s="5" t="inlineStr">
        <is>
          <t>システム概要</t>
        </is>
      </c>
      <c r="B1" s="15" t="inlineStr">
        <is>
          <t>← 表紙へ</t>
        </is>
      </c>
    </row>
    <row r="3">
      <c r="A3" s="8" t="inlineStr">
        <is>
          <t>項目</t>
        </is>
      </c>
      <c r="B3" s="8" t="inlineStr">
        <is>
          <t>内容</t>
        </is>
      </c>
    </row>
    <row r="4">
      <c r="A4" s="18" t="inlineStr">
        <is>
          <t>目的</t>
        </is>
      </c>
      <c r="B4" s="16" t="inlineStr">
        <is>
          <t>エクソソーム製品（原料・製剤）の仕入から在庫・販売・回収までをロット単位で一元管理し、「どのロットを・いつ・どの顧客に・どれだけ販売したか」を即時に追跡できる状態にする。</t>
        </is>
      </c>
    </row>
    <row r="5">
      <c r="A5" s="18" t="inlineStr">
        <is>
          <t>背景・課題</t>
        </is>
      </c>
      <c r="B5" s="16" t="inlineStr">
        <is>
          <t>現状は仕入台帳・在庫表・販売台帳がExcel等で分散しており、①ロットと販売先の紐付けが手作業 ②使用期限切れ・温度逸脱の見落とし ③品質問題発生時に販売先の特定に時間がかかる、という課題がある。</t>
        </is>
      </c>
    </row>
    <row r="6">
      <c r="A6" s="18" t="inlineStr">
        <is>
          <t>スコープ（対象）</t>
        </is>
      </c>
      <c r="B6" s="16" t="inlineStr">
        <is>
          <t>仕入先・商品・顧客マスタ管理／発注／入荷・受入検品／ロット・在庫管理／受注・出荷（ロット引当）／返品／回収（リコール）／温度記録／帳票・CSV出力／監査ログ</t>
        </is>
      </c>
    </row>
    <row r="7">
      <c r="A7" s="18" t="inlineStr">
        <is>
          <t>スコープ（対象外）</t>
        </is>
      </c>
      <c r="B7" s="16" t="inlineStr">
        <is>
          <t>会計システム本体（仕訳はCSV連携のみ）／ECサイト／患者・施術記録（医療機関側の管理範囲）</t>
        </is>
      </c>
    </row>
    <row r="8">
      <c r="A8" s="18" t="inlineStr">
        <is>
          <t>利用者</t>
        </is>
      </c>
      <c r="B8" s="16" t="inlineStr">
        <is>
          <t>経営者・管理者、仕入担当、倉庫（入出庫）担当、営業担当、品質保証（QA）担当</t>
        </is>
      </c>
    </row>
    <row r="9">
      <c r="A9" s="18" t="inlineStr">
        <is>
          <t>想定規模</t>
        </is>
      </c>
      <c r="B9" s="16" t="inlineStr">
        <is>
          <t>商品 〜100品目／顧客 〜2,000件／ロット 〜1,000件/年／出荷 〜10,000明細/年／同時利用 〜20名</t>
        </is>
      </c>
    </row>
    <row r="10">
      <c r="A10" s="18" t="inlineStr">
        <is>
          <t>トレーサビリティの原則</t>
        </is>
      </c>
      <c r="B10" s="16" t="inlineStr">
        <is>
          <t>①全ての在庫はロット番号（＋保管場所）単位で保持する ②出荷明細には必ずロットを紐付ける（ロット未指定の出荷は登録不可） ③在庫数量の増減は全て在庫移動履歴に記録し、直接更新しない ④確定済み伝票は物理削除せず、取消伝票（赤伝）で打ち消す</t>
        </is>
      </c>
    </row>
    <row r="11">
      <c r="A11" s="18" t="inlineStr">
        <is>
          <t>規制・コンプライアンス前提</t>
        </is>
      </c>
      <c r="B11" s="16" t="inlineStr">
        <is>
          <t>エクソソーム製品の法的区分（化粧品原料／研究用試薬／医療機関向け自由診療用途等）は商品ごとに『規制区分』として保持し、区分に応じて販売可能な顧客区分を制限する。法規制（薬機法・再生医療等安全性確保法の改正動向等）は導入前に専門家確認を要する（課題一覧 参照）。</t>
        </is>
      </c>
    </row>
    <row r="12">
      <c r="A12" s="18" t="inlineStr">
        <is>
          <t>システム構成（提案）</t>
        </is>
      </c>
      <c r="B12" s="16" t="inlineStr">
        <is>
          <t>Webアプリケーション（ブラウザ利用）。フロント：Next.js(TypeScript)／API：Node.js／DB：PostgreSQL／ファイル保管：オブジェクトストレージ（COA等PDF）／認証：メール＋パスワード＋2要素認証。小規模で先行する場合は Google スプレッドシート＋AppSheet での簡易版も可（非機能要件 参照）。</t>
        </is>
      </c>
    </row>
  </sheetData>
  <autoFilter ref="A3:B12"/>
  <hyperlinks>
    <hyperlink xmlns:r="http://schemas.openxmlformats.org/officeDocument/2006/relationships" ref="B1" r:id="rId1"/>
  </hyperlinks>
  <printOptions gridLines="0"/>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G13"/>
  <sheetViews>
    <sheetView zoomScale="90" workbookViewId="0">
      <pane ySplit="3" topLeftCell="A4" activePane="bottomLeft" state="frozen"/>
      <selection pane="bottomLeft" activeCell="A1" sqref="A1"/>
    </sheetView>
  </sheetViews>
  <sheetFormatPr baseColWidth="8" defaultRowHeight="15"/>
  <cols>
    <col width="7" customWidth="1" min="1" max="1"/>
    <col width="8" customWidth="1" min="2" max="2"/>
    <col width="16" customWidth="1" min="3" max="3"/>
    <col width="11" customWidth="1" min="4" max="4"/>
    <col width="70" customWidth="1" min="5" max="5"/>
    <col width="16" customWidth="1" min="6" max="6"/>
    <col width="40" customWidth="1" min="7" max="7"/>
  </cols>
  <sheetData>
    <row r="1">
      <c r="A1" s="5" t="inlineStr">
        <is>
          <t>業務フロー</t>
        </is>
      </c>
      <c r="G1" s="15" t="inlineStr">
        <is>
          <t>← 表紙へ</t>
        </is>
      </c>
    </row>
    <row r="2">
      <c r="A2" s="17" t="inlineStr">
        <is>
          <t>仕入 → 受入検品 → 保管 → 受注 → ロット引当・出荷 → 返品／回収 の流れ。全工程でロット番号を引き継ぐ</t>
        </is>
      </c>
    </row>
    <row r="3">
      <c r="A3" s="8" t="inlineStr">
        <is>
          <t>No</t>
        </is>
      </c>
      <c r="B3" s="8" t="inlineStr">
        <is>
          <t>業務</t>
        </is>
      </c>
      <c r="C3" s="8" t="inlineStr">
        <is>
          <t>ステップ</t>
        </is>
      </c>
      <c r="D3" s="8" t="inlineStr">
        <is>
          <t>担当</t>
        </is>
      </c>
      <c r="E3" s="8" t="inlineStr">
        <is>
          <t>内容</t>
        </is>
      </c>
      <c r="F3" s="8" t="inlineStr">
        <is>
          <t>関連機能ID</t>
        </is>
      </c>
      <c r="G3" s="8" t="inlineStr">
        <is>
          <t>生成/更新データ</t>
        </is>
      </c>
    </row>
    <row r="4">
      <c r="A4" s="9" t="inlineStr">
        <is>
          <t>F-01</t>
        </is>
      </c>
      <c r="B4" s="9" t="inlineStr">
        <is>
          <t>仕入</t>
        </is>
      </c>
      <c r="C4" s="16" t="inlineStr">
        <is>
          <t>発注</t>
        </is>
      </c>
      <c r="D4" s="9" t="inlineStr">
        <is>
          <t>仕入担当</t>
        </is>
      </c>
      <c r="E4" s="16" t="inlineStr">
        <is>
          <t>仕入先・商品・数量・希望納期を指定して発注書を作成し、承認後に仕入先へ送付する。</t>
        </is>
      </c>
      <c r="F4" s="16" t="inlineStr">
        <is>
          <t>PUR-01,PUR-02</t>
        </is>
      </c>
      <c r="G4" s="16" t="inlineStr">
        <is>
          <t>t_purchase_order, t_purchase_order_line</t>
        </is>
      </c>
    </row>
    <row r="5">
      <c r="A5" s="9" t="inlineStr">
        <is>
          <t>F-02</t>
        </is>
      </c>
      <c r="B5" s="9" t="inlineStr">
        <is>
          <t>仕入</t>
        </is>
      </c>
      <c r="C5" s="16" t="inlineStr">
        <is>
          <t>入荷登録</t>
        </is>
      </c>
      <c r="D5" s="9" t="inlineStr">
        <is>
          <t>倉庫担当</t>
        </is>
      </c>
      <c r="E5" s="16" t="inlineStr">
        <is>
          <t>納品物を発注と照合し、仕入先ロット番号・製造日・使用期限・数量・到着時温度を登録する。入荷時点のロットは『検品待ち』で、引当不可。</t>
        </is>
      </c>
      <c r="F5" s="16" t="inlineStr">
        <is>
          <t>RCV-01</t>
        </is>
      </c>
      <c r="G5" s="16" t="inlineStr">
        <is>
          <t>t_receipt, t_receipt_line, t_lot, t_inventory, t_stock_movement</t>
        </is>
      </c>
    </row>
    <row r="6">
      <c r="A6" s="9" t="inlineStr">
        <is>
          <t>F-03</t>
        </is>
      </c>
      <c r="B6" s="9" t="inlineStr">
        <is>
          <t>仕入</t>
        </is>
      </c>
      <c r="C6" s="16" t="inlineStr">
        <is>
          <t>受入検品</t>
        </is>
      </c>
      <c r="D6" s="9" t="inlineStr">
        <is>
          <t>QA担当</t>
        </is>
      </c>
      <c r="E6" s="16" t="inlineStr">
        <is>
          <t>COA（試験成績書）・外観・温度記録を確認し、ロットを『合格』『不合格』『保留』に判定する。合格のみ出荷引当可能になる。</t>
        </is>
      </c>
      <c r="F6" s="16" t="inlineStr">
        <is>
          <t>RCV-02,LOT-02</t>
        </is>
      </c>
      <c r="G6" s="16" t="inlineStr">
        <is>
          <t>t_lot, t_attachment</t>
        </is>
      </c>
    </row>
    <row r="7">
      <c r="A7" s="9" t="inlineStr">
        <is>
          <t>F-04</t>
        </is>
      </c>
      <c r="B7" s="9" t="inlineStr">
        <is>
          <t>在庫</t>
        </is>
      </c>
      <c r="C7" s="16" t="inlineStr">
        <is>
          <t>保管・温度管理</t>
        </is>
      </c>
      <c r="D7" s="9" t="inlineStr">
        <is>
          <t>倉庫担当</t>
        </is>
      </c>
      <c r="E7" s="16" t="inlineStr">
        <is>
          <t>保管場所（冷凍庫等）ごとに温度を記録する。許容範囲外は温度逸脱として該当在庫ロットを『保留』にする。</t>
        </is>
      </c>
      <c r="F7" s="16" t="inlineStr">
        <is>
          <t>INV-04</t>
        </is>
      </c>
      <c r="G7" s="16" t="inlineStr">
        <is>
          <t>t_temperature_log, t_lot</t>
        </is>
      </c>
    </row>
    <row r="8">
      <c r="A8" s="9" t="inlineStr">
        <is>
          <t>F-05</t>
        </is>
      </c>
      <c r="B8" s="9" t="inlineStr">
        <is>
          <t>販売</t>
        </is>
      </c>
      <c r="C8" s="16" t="inlineStr">
        <is>
          <t>受注</t>
        </is>
      </c>
      <c r="D8" s="9" t="inlineStr">
        <is>
          <t>営業担当</t>
        </is>
      </c>
      <c r="E8" s="16" t="inlineStr">
        <is>
          <t>顧客・納品先・商品・数量を登録する。商品の規制区分と顧客区分の組合せが販売不可の場合は登録できない。</t>
        </is>
      </c>
      <c r="F8" s="16" t="inlineStr">
        <is>
          <t>SAL-01</t>
        </is>
      </c>
      <c r="G8" s="16" t="inlineStr">
        <is>
          <t>t_sales_order, t_sales_order_line</t>
        </is>
      </c>
    </row>
    <row r="9">
      <c r="A9" s="9" t="inlineStr">
        <is>
          <t>F-06</t>
        </is>
      </c>
      <c r="B9" s="9" t="inlineStr">
        <is>
          <t>販売</t>
        </is>
      </c>
      <c r="C9" s="16" t="inlineStr">
        <is>
          <t>出荷（ロット引当）</t>
        </is>
      </c>
      <c r="D9" s="9" t="inlineStr">
        <is>
          <t>倉庫担当</t>
        </is>
      </c>
      <c r="E9" s="16" t="inlineStr">
        <is>
          <t>受注明細に対してロットを引当（既定は使用期限の近い順＝FEFO）し、出荷を確定する。出荷時点で残存有効期間が商品ごとの最低出荷残期間を下回るロットは引当不可。</t>
        </is>
      </c>
      <c r="F9" s="16" t="inlineStr">
        <is>
          <t>SHP-01,SHP-02</t>
        </is>
      </c>
      <c r="G9" s="16" t="inlineStr">
        <is>
          <t>t_shipment, t_shipment_line, t_inventory, t_stock_movement</t>
        </is>
      </c>
    </row>
    <row r="10">
      <c r="A10" s="9" t="inlineStr">
        <is>
          <t>F-07</t>
        </is>
      </c>
      <c r="B10" s="9" t="inlineStr">
        <is>
          <t>販売</t>
        </is>
      </c>
      <c r="C10" s="16" t="inlineStr">
        <is>
          <t>納品書・請求</t>
        </is>
      </c>
      <c r="D10" s="9" t="inlineStr">
        <is>
          <t>営業担当</t>
        </is>
      </c>
      <c r="E10" s="16" t="inlineStr">
        <is>
          <t>出荷確定後に納品書（ロット番号・使用期限記載）を発行し、請求データを会計連携CSVで出力する。</t>
        </is>
      </c>
      <c r="F10" s="16" t="inlineStr">
        <is>
          <t>SHP-03,RPT-05</t>
        </is>
      </c>
      <c r="G10" s="16" t="inlineStr">
        <is>
          <t>—</t>
        </is>
      </c>
    </row>
    <row r="11">
      <c r="A11" s="9" t="inlineStr">
        <is>
          <t>F-08</t>
        </is>
      </c>
      <c r="B11" s="9" t="inlineStr">
        <is>
          <t>販売</t>
        </is>
      </c>
      <c r="C11" s="16" t="inlineStr">
        <is>
          <t>返品</t>
        </is>
      </c>
      <c r="D11" s="9" t="inlineStr">
        <is>
          <t>倉庫担当</t>
        </is>
      </c>
      <c r="E11" s="16" t="inlineStr">
        <is>
          <t>返品を元出荷明細（＝ロット）に紐付けて隔離保管場所に受入れ、QA判定後に在庫戻し or 廃棄とする。回収品は廃棄のみ。</t>
        </is>
      </c>
      <c r="F11" s="16" t="inlineStr">
        <is>
          <t>RET-01</t>
        </is>
      </c>
      <c r="G11" s="16" t="inlineStr">
        <is>
          <t>t_return, t_inventory, t_stock_movement, t_recall_target</t>
        </is>
      </c>
    </row>
    <row r="12">
      <c r="A12" s="9" t="inlineStr">
        <is>
          <t>F-09</t>
        </is>
      </c>
      <c r="B12" s="9" t="inlineStr">
        <is>
          <t>品質</t>
        </is>
      </c>
      <c r="C12" s="16" t="inlineStr">
        <is>
          <t>回収（リコール）</t>
        </is>
      </c>
      <c r="D12" s="9" t="inlineStr">
        <is>
          <t>QA担当</t>
        </is>
      </c>
      <c r="E12" s="16" t="inlineStr">
        <is>
          <t>対象ロットを指定すると、出荷先顧客・数量を自動抽出する。ロットを『回収』にして出荷停止し、納品先ごとの連絡・回収状況を管理する。回収品の受入は返品登録で行い回収数量に自動反映。</t>
        </is>
      </c>
      <c r="F12" s="16" t="inlineStr">
        <is>
          <t>RCL-01,RCL-02,TRC-01,RET-01</t>
        </is>
      </c>
      <c r="G12" s="16" t="inlineStr">
        <is>
          <t>t_recall, t_recall_lot, t_recall_target, t_return, t_lot</t>
        </is>
      </c>
    </row>
    <row r="13">
      <c r="A13" s="9" t="inlineStr">
        <is>
          <t>F-10</t>
        </is>
      </c>
      <c r="B13" s="9" t="inlineStr">
        <is>
          <t>管理</t>
        </is>
      </c>
      <c r="C13" s="16" t="inlineStr">
        <is>
          <t>棚卸</t>
        </is>
      </c>
      <c r="D13" s="9" t="inlineStr">
        <is>
          <t>倉庫担当</t>
        </is>
      </c>
      <c r="E13" s="16" t="inlineStr">
        <is>
          <t>保管場所×ロット単位で実数をカウントし、差異は理由付きの在庫調整として記録する。</t>
        </is>
      </c>
      <c r="F13" s="16" t="inlineStr">
        <is>
          <t>INV-03</t>
        </is>
      </c>
      <c r="G13" s="16" t="inlineStr">
        <is>
          <t>t_stock_movement, t_inventory</t>
        </is>
      </c>
    </row>
  </sheetData>
  <autoFilter ref="A3:G13"/>
  <hyperlinks>
    <hyperlink xmlns:r="http://schemas.openxmlformats.org/officeDocument/2006/relationships" ref="G1" r:id="rId1"/>
  </hyperlinks>
  <printOptions gridLines="0"/>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37"/>
  <sheetViews>
    <sheetView zoomScale="90" workbookViewId="0">
      <pane ySplit="3" topLeftCell="A4" activePane="bottomLeft" state="frozen"/>
      <selection pane="bottomLeft" activeCell="A1" sqref="A1"/>
    </sheetView>
  </sheetViews>
  <sheetFormatPr baseColWidth="8" defaultRowHeight="15"/>
  <cols>
    <col width="9" customWidth="1" min="1" max="1"/>
    <col width="10" customWidth="1" min="2" max="2"/>
    <col width="22" customWidth="1" min="3" max="3"/>
    <col width="70" customWidth="1" min="4" max="4"/>
    <col width="9" customWidth="1" min="5" max="5"/>
    <col width="14" customWidth="1" min="6" max="6"/>
  </cols>
  <sheetData>
    <row r="1">
      <c r="A1" s="5" t="inlineStr">
        <is>
          <t>機能一覧</t>
        </is>
      </c>
      <c r="F1" s="15" t="inlineStr">
        <is>
          <t>← 表紙へ</t>
        </is>
      </c>
    </row>
    <row r="2">
      <c r="A2" s="17" t="inlineStr">
        <is>
          <t>優先度：MUST＝初期リリース必須／SHOULD＝初期リリース推奨／COULD＝将来</t>
        </is>
      </c>
    </row>
    <row r="3">
      <c r="A3" s="8" t="inlineStr">
        <is>
          <t>機能ID</t>
        </is>
      </c>
      <c r="B3" s="8" t="inlineStr">
        <is>
          <t>大分類</t>
        </is>
      </c>
      <c r="C3" s="8" t="inlineStr">
        <is>
          <t>機能名</t>
        </is>
      </c>
      <c r="D3" s="8" t="inlineStr">
        <is>
          <t>概要</t>
        </is>
      </c>
      <c r="E3" s="8" t="inlineStr">
        <is>
          <t>優先度</t>
        </is>
      </c>
      <c r="F3" s="8" t="inlineStr">
        <is>
          <t>関連画面ID</t>
        </is>
      </c>
    </row>
    <row r="4">
      <c r="A4" s="9" t="inlineStr">
        <is>
          <t>MST-01</t>
        </is>
      </c>
      <c r="B4" s="9" t="inlineStr">
        <is>
          <t>マスタ</t>
        </is>
      </c>
      <c r="C4" s="16" t="inlineStr">
        <is>
          <t>仕入先管理</t>
        </is>
      </c>
      <c r="D4" s="16" t="inlineStr">
        <is>
          <t>仕入先の登録・編集・無効化。取引条件・連絡先・取引開始日を保持。</t>
        </is>
      </c>
      <c r="E4" s="9" t="inlineStr">
        <is>
          <t>MUST</t>
        </is>
      </c>
      <c r="F4" s="9" t="inlineStr">
        <is>
          <t>SCR-11</t>
        </is>
      </c>
    </row>
    <row r="5">
      <c r="A5" s="9" t="inlineStr">
        <is>
          <t>MST-02</t>
        </is>
      </c>
      <c r="B5" s="9" t="inlineStr">
        <is>
          <t>マスタ</t>
        </is>
      </c>
      <c r="C5" s="16" t="inlineStr">
        <is>
          <t>商品管理</t>
        </is>
      </c>
      <c r="D5" s="16" t="inlineStr">
        <is>
          <t>商品の登録・編集・無効化。形態・由来・保管温度区分・有効期間・最低出荷残期間・規制区分を保持。</t>
        </is>
      </c>
      <c r="E5" s="9" t="inlineStr">
        <is>
          <t>MUST</t>
        </is>
      </c>
      <c r="F5" s="9" t="inlineStr">
        <is>
          <t>SCR-12</t>
        </is>
      </c>
    </row>
    <row r="6">
      <c r="A6" s="9" t="inlineStr">
        <is>
          <t>MST-03</t>
        </is>
      </c>
      <c r="B6" s="9" t="inlineStr">
        <is>
          <t>マスタ</t>
        </is>
      </c>
      <c r="C6" s="16" t="inlineStr">
        <is>
          <t>顧客管理</t>
        </is>
      </c>
      <c r="D6" s="16" t="inlineStr">
        <is>
          <t>顧客（医療機関・サロン・代理店等）と納品先の登録・編集。顧客区分・医療機関コード・与信限度額を保持。</t>
        </is>
      </c>
      <c r="E6" s="9" t="inlineStr">
        <is>
          <t>MUST</t>
        </is>
      </c>
      <c r="F6" s="9" t="inlineStr">
        <is>
          <t>SCR-13</t>
        </is>
      </c>
    </row>
    <row r="7">
      <c r="A7" s="9" t="inlineStr">
        <is>
          <t>MST-04</t>
        </is>
      </c>
      <c r="B7" s="9" t="inlineStr">
        <is>
          <t>マスタ</t>
        </is>
      </c>
      <c r="C7" s="16" t="inlineStr">
        <is>
          <t>保管場所管理</t>
        </is>
      </c>
      <c r="D7" s="16" t="inlineStr">
        <is>
          <t>倉庫・冷凍庫等の保管場所と許容温度範囲の登録。</t>
        </is>
      </c>
      <c r="E7" s="9" t="inlineStr">
        <is>
          <t>MUST</t>
        </is>
      </c>
      <c r="F7" s="9" t="inlineStr">
        <is>
          <t>SCR-14</t>
        </is>
      </c>
    </row>
    <row r="8">
      <c r="A8" s="9" t="inlineStr">
        <is>
          <t>MST-05</t>
        </is>
      </c>
      <c r="B8" s="9" t="inlineStr">
        <is>
          <t>マスタ</t>
        </is>
      </c>
      <c r="C8" s="16" t="inlineStr">
        <is>
          <t>ユーザー・権限管理</t>
        </is>
      </c>
      <c r="D8" s="16" t="inlineStr">
        <is>
          <t>ユーザーの登録、ロール割当、アカウント停止。</t>
        </is>
      </c>
      <c r="E8" s="9" t="inlineStr">
        <is>
          <t>MUST</t>
        </is>
      </c>
      <c r="F8" s="9" t="inlineStr">
        <is>
          <t>SCR-15</t>
        </is>
      </c>
    </row>
    <row r="9">
      <c r="A9" s="9" t="inlineStr">
        <is>
          <t>MST-06</t>
        </is>
      </c>
      <c r="B9" s="9" t="inlineStr">
        <is>
          <t>マスタ</t>
        </is>
      </c>
      <c r="C9" s="16" t="inlineStr">
        <is>
          <t>販売可否ルール管理</t>
        </is>
      </c>
      <c r="D9" s="16" t="inlineStr">
        <is>
          <t>商品の規制区分×顧客区分ごとの販売可否を設定。</t>
        </is>
      </c>
      <c r="E9" s="9" t="inlineStr">
        <is>
          <t>MUST</t>
        </is>
      </c>
      <c r="F9" s="9" t="inlineStr">
        <is>
          <t>SCR-16</t>
        </is>
      </c>
    </row>
    <row r="10">
      <c r="A10" s="9" t="inlineStr">
        <is>
          <t>PUR-01</t>
        </is>
      </c>
      <c r="B10" s="9" t="inlineStr">
        <is>
          <t>仕入</t>
        </is>
      </c>
      <c r="C10" s="16" t="inlineStr">
        <is>
          <t>発注登録</t>
        </is>
      </c>
      <c r="D10" s="16" t="inlineStr">
        <is>
          <t>発注書の作成・編集・取消。</t>
        </is>
      </c>
      <c r="E10" s="9" t="inlineStr">
        <is>
          <t>SHOULD</t>
        </is>
      </c>
      <c r="F10" s="9" t="inlineStr">
        <is>
          <t>SCR-21</t>
        </is>
      </c>
    </row>
    <row r="11">
      <c r="A11" s="9" t="inlineStr">
        <is>
          <t>PUR-02</t>
        </is>
      </c>
      <c r="B11" s="9" t="inlineStr">
        <is>
          <t>仕入</t>
        </is>
      </c>
      <c r="C11" s="16" t="inlineStr">
        <is>
          <t>発注承認・発注書出力</t>
        </is>
      </c>
      <c r="D11" s="16" t="inlineStr">
        <is>
          <t>管理者による承認と発注書PDFの出力。</t>
        </is>
      </c>
      <c r="E11" s="9" t="inlineStr">
        <is>
          <t>SHOULD</t>
        </is>
      </c>
      <c r="F11" s="9" t="inlineStr">
        <is>
          <t>SCR-21</t>
        </is>
      </c>
    </row>
    <row r="12">
      <c r="A12" s="9" t="inlineStr">
        <is>
          <t>RCV-01</t>
        </is>
      </c>
      <c r="B12" s="9" t="inlineStr">
        <is>
          <t>仕入</t>
        </is>
      </c>
      <c r="C12" s="16" t="inlineStr">
        <is>
          <t>入荷登録</t>
        </is>
      </c>
      <c r="D12" s="16" t="inlineStr">
        <is>
          <t>発注引当または発注なしでの入荷登録・取消。ロット自動生成／分納時は既存ロットへ加算。</t>
        </is>
      </c>
      <c r="E12" s="9" t="inlineStr">
        <is>
          <t>MUST</t>
        </is>
      </c>
      <c r="F12" s="9" t="inlineStr">
        <is>
          <t>SCR-22</t>
        </is>
      </c>
    </row>
    <row r="13">
      <c r="A13" s="9" t="inlineStr">
        <is>
          <t>RCV-02</t>
        </is>
      </c>
      <c r="B13" s="9" t="inlineStr">
        <is>
          <t>仕入</t>
        </is>
      </c>
      <c r="C13" s="16" t="inlineStr">
        <is>
          <t>受入検品</t>
        </is>
      </c>
      <c r="D13" s="16" t="inlineStr">
        <is>
          <t>COA添付、検品結果の登録、ロット判定（合格/不合格/保留）、分納受入判定。</t>
        </is>
      </c>
      <c r="E13" s="9" t="inlineStr">
        <is>
          <t>MUST</t>
        </is>
      </c>
      <c r="F13" s="9" t="inlineStr">
        <is>
          <t>SCR-23</t>
        </is>
      </c>
    </row>
    <row r="14">
      <c r="A14" s="9" t="inlineStr">
        <is>
          <t>LOT-01</t>
        </is>
      </c>
      <c r="B14" s="9" t="inlineStr">
        <is>
          <t>ロット</t>
        </is>
      </c>
      <c r="C14" s="16" t="inlineStr">
        <is>
          <t>ロット一覧・詳細</t>
        </is>
      </c>
      <c r="D14" s="16" t="inlineStr">
        <is>
          <t>ロットごとの基本情報・在庫・入出荷履歴・添付書類の参照。</t>
        </is>
      </c>
      <c r="E14" s="9" t="inlineStr">
        <is>
          <t>MUST</t>
        </is>
      </c>
      <c r="F14" s="9" t="inlineStr">
        <is>
          <t>SCR-31,SCR-32</t>
        </is>
      </c>
    </row>
    <row r="15">
      <c r="A15" s="9" t="inlineStr">
        <is>
          <t>LOT-02</t>
        </is>
      </c>
      <c r="B15" s="9" t="inlineStr">
        <is>
          <t>ロット</t>
        </is>
      </c>
      <c r="C15" s="16" t="inlineStr">
        <is>
          <t>ロットステータス変更</t>
        </is>
      </c>
      <c r="D15" s="16" t="inlineStr">
        <is>
          <t>保留・保留解除・不合格判定のステータス変更（理由必須、QA権限、履歴記録）。出荷停止は HOLD/RECALLED で表現。</t>
        </is>
      </c>
      <c r="E15" s="9" t="inlineStr">
        <is>
          <t>MUST</t>
        </is>
      </c>
      <c r="F15" s="9" t="inlineStr">
        <is>
          <t>SCR-32</t>
        </is>
      </c>
    </row>
    <row r="16">
      <c r="A16" s="9" t="inlineStr">
        <is>
          <t>INV-01</t>
        </is>
      </c>
      <c r="B16" s="9" t="inlineStr">
        <is>
          <t>在庫</t>
        </is>
      </c>
      <c r="C16" s="16" t="inlineStr">
        <is>
          <t>在庫照会</t>
        </is>
      </c>
      <c r="D16" s="16" t="inlineStr">
        <is>
          <t>商品×ロット×保管場所の在庫数・引当可能数・使用期限を照会。</t>
        </is>
      </c>
      <c r="E16" s="9" t="inlineStr">
        <is>
          <t>MUST</t>
        </is>
      </c>
      <c r="F16" s="9" t="inlineStr">
        <is>
          <t>SCR-33</t>
        </is>
      </c>
    </row>
    <row r="17">
      <c r="A17" s="9" t="inlineStr">
        <is>
          <t>INV-02</t>
        </is>
      </c>
      <c r="B17" s="9" t="inlineStr">
        <is>
          <t>在庫</t>
        </is>
      </c>
      <c r="C17" s="16" t="inlineStr">
        <is>
          <t>在庫移動（保管場所間）</t>
        </is>
      </c>
      <c r="D17" s="16" t="inlineStr">
        <is>
          <t>保管場所間の移動登録。</t>
        </is>
      </c>
      <c r="E17" s="9" t="inlineStr">
        <is>
          <t>SHOULD</t>
        </is>
      </c>
      <c r="F17" s="9" t="inlineStr">
        <is>
          <t>SCR-34</t>
        </is>
      </c>
    </row>
    <row r="18">
      <c r="A18" s="9" t="inlineStr">
        <is>
          <t>INV-03</t>
        </is>
      </c>
      <c r="B18" s="9" t="inlineStr">
        <is>
          <t>在庫</t>
        </is>
      </c>
      <c r="C18" s="16" t="inlineStr">
        <is>
          <t>棚卸・在庫調整</t>
        </is>
      </c>
      <c r="D18" s="16" t="inlineStr">
        <is>
          <t>棚卸結果の登録と差異調整、破損・期限切れによる廃棄、不合格・回収ロットの仕入先返品。</t>
        </is>
      </c>
      <c r="E18" s="9" t="inlineStr">
        <is>
          <t>MUST</t>
        </is>
      </c>
      <c r="F18" s="9" t="inlineStr">
        <is>
          <t>SCR-34</t>
        </is>
      </c>
    </row>
    <row r="19">
      <c r="A19" s="9" t="inlineStr">
        <is>
          <t>INV-04</t>
        </is>
      </c>
      <c r="B19" s="9" t="inlineStr">
        <is>
          <t>在庫</t>
        </is>
      </c>
      <c r="C19" s="16" t="inlineStr">
        <is>
          <t>温度記録</t>
        </is>
      </c>
      <c r="D19" s="16" t="inlineStr">
        <is>
          <t>保管場所ごとの温度入力（手入力/CSV取込）と逸脱検知。</t>
        </is>
      </c>
      <c r="E19" s="9" t="inlineStr">
        <is>
          <t>SHOULD</t>
        </is>
      </c>
      <c r="F19" s="9" t="inlineStr">
        <is>
          <t>SCR-35</t>
        </is>
      </c>
    </row>
    <row r="20">
      <c r="A20" s="9" t="inlineStr">
        <is>
          <t>INV-05</t>
        </is>
      </c>
      <c r="B20" s="9" t="inlineStr">
        <is>
          <t>在庫</t>
        </is>
      </c>
      <c r="C20" s="16" t="inlineStr">
        <is>
          <t>期限・在庫アラート</t>
        </is>
      </c>
      <c r="D20" s="16" t="inlineStr">
        <is>
          <t>使用期限接近・期限切れ・在庫下限割れ・温度逸脱をダッシュボードとメールで通知。</t>
        </is>
      </c>
      <c r="E20" s="9" t="inlineStr">
        <is>
          <t>MUST</t>
        </is>
      </c>
      <c r="F20" s="9" t="inlineStr">
        <is>
          <t>SCR-01</t>
        </is>
      </c>
    </row>
    <row r="21">
      <c r="A21" s="9" t="inlineStr">
        <is>
          <t>SAL-01</t>
        </is>
      </c>
      <c r="B21" s="9" t="inlineStr">
        <is>
          <t>販売</t>
        </is>
      </c>
      <c r="C21" s="16" t="inlineStr">
        <is>
          <t>受注登録</t>
        </is>
      </c>
      <c r="D21" s="16" t="inlineStr">
        <is>
          <t>受注の登録・編集・取消・打切り。販売可否ルール・与信限度額チェックと与信超過の承認。</t>
        </is>
      </c>
      <c r="E21" s="9" t="inlineStr">
        <is>
          <t>MUST</t>
        </is>
      </c>
      <c r="F21" s="9" t="inlineStr">
        <is>
          <t>SCR-41</t>
        </is>
      </c>
    </row>
    <row r="22">
      <c r="A22" s="9" t="inlineStr">
        <is>
          <t>SHP-01</t>
        </is>
      </c>
      <c r="B22" s="9" t="inlineStr">
        <is>
          <t>販売</t>
        </is>
      </c>
      <c r="C22" s="16" t="inlineStr">
        <is>
          <t>ロット引当</t>
        </is>
      </c>
      <c r="D22" s="16" t="inlineStr">
        <is>
          <t>受注明細へのロット引当（FEFO自動引当＋手動変更）。</t>
        </is>
      </c>
      <c r="E22" s="9" t="inlineStr">
        <is>
          <t>MUST</t>
        </is>
      </c>
      <c r="F22" s="9" t="inlineStr">
        <is>
          <t>SCR-42</t>
        </is>
      </c>
    </row>
    <row r="23">
      <c r="A23" s="9" t="inlineStr">
        <is>
          <t>SHP-02</t>
        </is>
      </c>
      <c r="B23" s="9" t="inlineStr">
        <is>
          <t>販売</t>
        </is>
      </c>
      <c r="C23" s="16" t="inlineStr">
        <is>
          <t>出荷確定・取消</t>
        </is>
      </c>
      <c r="D23" s="16" t="inlineStr">
        <is>
          <t>出荷確定による在庫減算、取消時の赤伝処理。</t>
        </is>
      </c>
      <c r="E23" s="9" t="inlineStr">
        <is>
          <t>MUST</t>
        </is>
      </c>
      <c r="F23" s="9" t="inlineStr">
        <is>
          <t>SCR-42</t>
        </is>
      </c>
    </row>
    <row r="24">
      <c r="A24" s="9" t="inlineStr">
        <is>
          <t>SHP-03</t>
        </is>
      </c>
      <c r="B24" s="9" t="inlineStr">
        <is>
          <t>販売</t>
        </is>
      </c>
      <c r="C24" s="16" t="inlineStr">
        <is>
          <t>納品書出力</t>
        </is>
      </c>
      <c r="D24" s="16" t="inlineStr">
        <is>
          <t>ロット番号・使用期限を記載した納品書PDFの出力。</t>
        </is>
      </c>
      <c r="E24" s="9" t="inlineStr">
        <is>
          <t>MUST</t>
        </is>
      </c>
      <c r="F24" s="9" t="inlineStr">
        <is>
          <t>SCR-42</t>
        </is>
      </c>
    </row>
    <row r="25">
      <c r="A25" s="9" t="inlineStr">
        <is>
          <t>RET-01</t>
        </is>
      </c>
      <c r="B25" s="9" t="inlineStr">
        <is>
          <t>販売</t>
        </is>
      </c>
      <c r="C25" s="16" t="inlineStr">
        <is>
          <t>返品登録</t>
        </is>
      </c>
      <c r="D25" s="16" t="inlineStr">
        <is>
          <t>元出荷明細を指定した返品登録とQA判定（在庫戻し/廃棄）。</t>
        </is>
      </c>
      <c r="E25" s="9" t="inlineStr">
        <is>
          <t>SHOULD</t>
        </is>
      </c>
      <c r="F25" s="9" t="inlineStr">
        <is>
          <t>SCR-43</t>
        </is>
      </c>
    </row>
    <row r="26">
      <c r="A26" s="9" t="inlineStr">
        <is>
          <t>TRC-01</t>
        </is>
      </c>
      <c r="B26" s="9" t="inlineStr">
        <is>
          <t>トレース</t>
        </is>
      </c>
      <c r="C26" s="16" t="inlineStr">
        <is>
          <t>ロット→顧客 追跡</t>
        </is>
      </c>
      <c r="D26" s="16" t="inlineStr">
        <is>
          <t>ロット番号から出荷先顧客・納品先・出荷日・数量を一覧（前方追跡）。</t>
        </is>
      </c>
      <c r="E26" s="9" t="inlineStr">
        <is>
          <t>MUST</t>
        </is>
      </c>
      <c r="F26" s="9" t="inlineStr">
        <is>
          <t>SCR-51</t>
        </is>
      </c>
    </row>
    <row r="27">
      <c r="A27" s="9" t="inlineStr">
        <is>
          <t>TRC-02</t>
        </is>
      </c>
      <c r="B27" s="9" t="inlineStr">
        <is>
          <t>トレース</t>
        </is>
      </c>
      <c r="C27" s="16" t="inlineStr">
        <is>
          <t>顧客→ロット 追跡</t>
        </is>
      </c>
      <c r="D27" s="16" t="inlineStr">
        <is>
          <t>顧客から購入した商品・ロット・数量を一覧（後方追跡）。</t>
        </is>
      </c>
      <c r="E27" s="9" t="inlineStr">
        <is>
          <t>MUST</t>
        </is>
      </c>
      <c r="F27" s="9" t="inlineStr">
        <is>
          <t>SCR-52</t>
        </is>
      </c>
    </row>
    <row r="28">
      <c r="A28" s="9" t="inlineStr">
        <is>
          <t>RCL-01</t>
        </is>
      </c>
      <c r="B28" s="9" t="inlineStr">
        <is>
          <t>品質</t>
        </is>
      </c>
      <c r="C28" s="16" t="inlineStr">
        <is>
          <t>回収案件登録</t>
        </is>
      </c>
      <c r="D28" s="16" t="inlineStr">
        <is>
          <t>回収案件の登録、対象ロット指定、対象顧客の自動抽出、ロットの出荷停止。</t>
        </is>
      </c>
      <c r="E28" s="9" t="inlineStr">
        <is>
          <t>MUST</t>
        </is>
      </c>
      <c r="F28" s="9" t="inlineStr">
        <is>
          <t>SCR-53</t>
        </is>
      </c>
    </row>
    <row r="29">
      <c r="A29" s="9" t="inlineStr">
        <is>
          <t>RCL-02</t>
        </is>
      </c>
      <c r="B29" s="9" t="inlineStr">
        <is>
          <t>品質</t>
        </is>
      </c>
      <c r="C29" s="16" t="inlineStr">
        <is>
          <t>回収進捗管理</t>
        </is>
      </c>
      <c r="D29" s="16" t="inlineStr">
        <is>
          <t>納品先ごとの連絡日・回答・回収数量・回収不能数量・完了の管理。</t>
        </is>
      </c>
      <c r="E29" s="9" t="inlineStr">
        <is>
          <t>MUST</t>
        </is>
      </c>
      <c r="F29" s="9" t="inlineStr">
        <is>
          <t>SCR-53</t>
        </is>
      </c>
    </row>
    <row r="30">
      <c r="A30" s="9" t="inlineStr">
        <is>
          <t>RPT-01</t>
        </is>
      </c>
      <c r="B30" s="9" t="inlineStr">
        <is>
          <t>帳票</t>
        </is>
      </c>
      <c r="C30" s="16" t="inlineStr">
        <is>
          <t>仕入実績表</t>
        </is>
      </c>
      <c r="D30" s="16" t="inlineStr">
        <is>
          <t>期間・仕入先・商品別の仕入数量・金額。</t>
        </is>
      </c>
      <c r="E30" s="9" t="inlineStr">
        <is>
          <t>SHOULD</t>
        </is>
      </c>
      <c r="F30" s="9" t="inlineStr">
        <is>
          <t>SCR-61</t>
        </is>
      </c>
    </row>
    <row r="31">
      <c r="A31" s="9" t="inlineStr">
        <is>
          <t>RPT-02</t>
        </is>
      </c>
      <c r="B31" s="9" t="inlineStr">
        <is>
          <t>帳票</t>
        </is>
      </c>
      <c r="C31" s="16" t="inlineStr">
        <is>
          <t>販売実績表</t>
        </is>
      </c>
      <c r="D31" s="16" t="inlineStr">
        <is>
          <t>期間・顧客・商品別の販売数量・金額・粗利。</t>
        </is>
      </c>
      <c r="E31" s="9" t="inlineStr">
        <is>
          <t>MUST</t>
        </is>
      </c>
      <c r="F31" s="9" t="inlineStr">
        <is>
          <t>SCR-61</t>
        </is>
      </c>
    </row>
    <row r="32">
      <c r="A32" s="9" t="inlineStr">
        <is>
          <t>RPT-03</t>
        </is>
      </c>
      <c r="B32" s="9" t="inlineStr">
        <is>
          <t>帳票</t>
        </is>
      </c>
      <c r="C32" s="16" t="inlineStr">
        <is>
          <t>在庫受払表</t>
        </is>
      </c>
      <c r="D32" s="16" t="inlineStr">
        <is>
          <t>期間・商品・ロット別の期首/入庫/出庫/期末。</t>
        </is>
      </c>
      <c r="E32" s="9" t="inlineStr">
        <is>
          <t>MUST</t>
        </is>
      </c>
      <c r="F32" s="9" t="inlineStr">
        <is>
          <t>SCR-61</t>
        </is>
      </c>
    </row>
    <row r="33">
      <c r="A33" s="9" t="inlineStr">
        <is>
          <t>RPT-04</t>
        </is>
      </c>
      <c r="B33" s="9" t="inlineStr">
        <is>
          <t>帳票</t>
        </is>
      </c>
      <c r="C33" s="16" t="inlineStr">
        <is>
          <t>トレーサビリティ台帳</t>
        </is>
      </c>
      <c r="D33" s="16" t="inlineStr">
        <is>
          <t>ロット別の入荷〜出荷〜返品・回収の全履歴（監査・行政対応用）。</t>
        </is>
      </c>
      <c r="E33" s="9" t="inlineStr">
        <is>
          <t>MUST</t>
        </is>
      </c>
      <c r="F33" s="9" t="inlineStr">
        <is>
          <t>SCR-61</t>
        </is>
      </c>
    </row>
    <row r="34">
      <c r="A34" s="9" t="inlineStr">
        <is>
          <t>RPT-05</t>
        </is>
      </c>
      <c r="B34" s="9" t="inlineStr">
        <is>
          <t>帳票</t>
        </is>
      </c>
      <c r="C34" s="16" t="inlineStr">
        <is>
          <t>会計連携CSV</t>
        </is>
      </c>
      <c r="D34" s="16" t="inlineStr">
        <is>
          <t>売上・仕入データを会計ソフト取込形式で出力。</t>
        </is>
      </c>
      <c r="E34" s="9" t="inlineStr">
        <is>
          <t>SHOULD</t>
        </is>
      </c>
      <c r="F34" s="9" t="inlineStr">
        <is>
          <t>SCR-61</t>
        </is>
      </c>
    </row>
    <row r="35">
      <c r="A35" s="9" t="inlineStr">
        <is>
          <t>SYS-01</t>
        </is>
      </c>
      <c r="B35" s="9" t="inlineStr">
        <is>
          <t>共通</t>
        </is>
      </c>
      <c r="C35" s="16" t="inlineStr">
        <is>
          <t>ログイン・認証</t>
        </is>
      </c>
      <c r="D35" s="16" t="inlineStr">
        <is>
          <t>メール＋パスワード＋2要素認証、一定回数失敗でロック。</t>
        </is>
      </c>
      <c r="E35" s="9" t="inlineStr">
        <is>
          <t>MUST</t>
        </is>
      </c>
      <c r="F35" s="9" t="inlineStr">
        <is>
          <t>SCR-00</t>
        </is>
      </c>
    </row>
    <row r="36">
      <c r="A36" s="9" t="inlineStr">
        <is>
          <t>SYS-02</t>
        </is>
      </c>
      <c r="B36" s="9" t="inlineStr">
        <is>
          <t>共通</t>
        </is>
      </c>
      <c r="C36" s="16" t="inlineStr">
        <is>
          <t>監査ログ</t>
        </is>
      </c>
      <c r="D36" s="16" t="inlineStr">
        <is>
          <t>登録・更新・取消・ステータス変更・ログインの記録と照会。</t>
        </is>
      </c>
      <c r="E36" s="9" t="inlineStr">
        <is>
          <t>MUST</t>
        </is>
      </c>
      <c r="F36" s="9" t="inlineStr">
        <is>
          <t>SCR-62</t>
        </is>
      </c>
    </row>
    <row r="37">
      <c r="A37" s="9" t="inlineStr">
        <is>
          <t>SYS-03</t>
        </is>
      </c>
      <c r="B37" s="9" t="inlineStr">
        <is>
          <t>共通</t>
        </is>
      </c>
      <c r="C37" s="16" t="inlineStr">
        <is>
          <t>ダッシュボード</t>
        </is>
      </c>
      <c r="D37" s="16" t="inlineStr">
        <is>
          <t>アラート、当日の入荷予定・出荷予定、回収案件の状況。</t>
        </is>
      </c>
      <c r="E37" s="9" t="inlineStr">
        <is>
          <t>MUST</t>
        </is>
      </c>
      <c r="F37" s="9" t="inlineStr">
        <is>
          <t>SCR-01</t>
        </is>
      </c>
    </row>
  </sheetData>
  <autoFilter ref="A3:F37"/>
  <hyperlinks>
    <hyperlink xmlns:r="http://schemas.openxmlformats.org/officeDocument/2006/relationships" ref="F1" r:id="rId1"/>
  </hyperlinks>
  <printOptions gridLines="0"/>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E27"/>
  <sheetViews>
    <sheetView zoomScale="90" workbookViewId="0">
      <pane ySplit="3" topLeftCell="A4" activePane="bottomLeft" state="frozen"/>
      <selection pane="bottomLeft" activeCell="A1" sqref="A1"/>
    </sheetView>
  </sheetViews>
  <sheetFormatPr baseColWidth="8" defaultRowHeight="15"/>
  <cols>
    <col width="9" customWidth="1" min="1" max="1"/>
    <col width="20" customWidth="1" min="2" max="2"/>
    <col width="9" customWidth="1" min="3" max="3"/>
    <col width="50" customWidth="1" min="4" max="4"/>
    <col width="50" customWidth="1" min="5" max="5"/>
  </cols>
  <sheetData>
    <row r="1">
      <c r="A1" s="5" t="inlineStr">
        <is>
          <t>画面一覧</t>
        </is>
      </c>
      <c r="E1" s="15" t="inlineStr">
        <is>
          <t>← 表紙へ</t>
        </is>
      </c>
    </row>
    <row r="3">
      <c r="A3" s="8" t="inlineStr">
        <is>
          <t>画面ID</t>
        </is>
      </c>
      <c r="B3" s="8" t="inlineStr">
        <is>
          <t>画面名</t>
        </is>
      </c>
      <c r="C3" s="8" t="inlineStr">
        <is>
          <t>区分</t>
        </is>
      </c>
      <c r="D3" s="8" t="inlineStr">
        <is>
          <t>概要</t>
        </is>
      </c>
      <c r="E3" s="8" t="inlineStr">
        <is>
          <t>主な操作</t>
        </is>
      </c>
    </row>
    <row r="4">
      <c r="A4" s="9" t="inlineStr">
        <is>
          <t>SCR-00</t>
        </is>
      </c>
      <c r="B4" s="16" t="inlineStr">
        <is>
          <t>ログイン</t>
        </is>
      </c>
      <c r="C4" s="9" t="inlineStr">
        <is>
          <t>共通</t>
        </is>
      </c>
      <c r="D4" s="16" t="inlineStr">
        <is>
          <t>認証画面</t>
        </is>
      </c>
      <c r="E4" s="16" t="inlineStr">
        <is>
          <t>ログイン、2要素認証、パスワード再設定</t>
        </is>
      </c>
    </row>
    <row r="5">
      <c r="A5" s="9" t="inlineStr">
        <is>
          <t>SCR-01</t>
        </is>
      </c>
      <c r="B5" s="16" t="inlineStr">
        <is>
          <t>ダッシュボード</t>
        </is>
      </c>
      <c r="C5" s="9" t="inlineStr">
        <is>
          <t>共通</t>
        </is>
      </c>
      <c r="D5" s="16" t="inlineStr">
        <is>
          <t>アラート・当日予定・回収状況の表示</t>
        </is>
      </c>
      <c r="E5" s="16" t="inlineStr">
        <is>
          <t>各アラートから該当画面へ遷移</t>
        </is>
      </c>
    </row>
    <row r="6">
      <c r="A6" s="9" t="inlineStr">
        <is>
          <t>SCR-11</t>
        </is>
      </c>
      <c r="B6" s="16" t="inlineStr">
        <is>
          <t>仕入先一覧・編集</t>
        </is>
      </c>
      <c r="C6" s="9" t="inlineStr">
        <is>
          <t>マスタ</t>
        </is>
      </c>
      <c r="D6" s="16" t="inlineStr">
        <is>
          <t>仕入先の検索・登録・編集</t>
        </is>
      </c>
      <c r="E6" s="16" t="inlineStr">
        <is>
          <t>検索、新規、編集、無効化</t>
        </is>
      </c>
    </row>
    <row r="7">
      <c r="A7" s="9" t="inlineStr">
        <is>
          <t>SCR-12</t>
        </is>
      </c>
      <c r="B7" s="16" t="inlineStr">
        <is>
          <t>商品一覧・編集</t>
        </is>
      </c>
      <c r="C7" s="9" t="inlineStr">
        <is>
          <t>マスタ</t>
        </is>
      </c>
      <c r="D7" s="16" t="inlineStr">
        <is>
          <t>商品の検索・登録・編集</t>
        </is>
      </c>
      <c r="E7" s="16" t="inlineStr">
        <is>
          <t>検索、新規、編集、無効化</t>
        </is>
      </c>
    </row>
    <row r="8">
      <c r="A8" s="9" t="inlineStr">
        <is>
          <t>SCR-13</t>
        </is>
      </c>
      <c r="B8" s="16" t="inlineStr">
        <is>
          <t>顧客一覧・編集</t>
        </is>
      </c>
      <c r="C8" s="9" t="inlineStr">
        <is>
          <t>マスタ</t>
        </is>
      </c>
      <c r="D8" s="16" t="inlineStr">
        <is>
          <t>顧客・納品先の検索・登録・編集</t>
        </is>
      </c>
      <c r="E8" s="16" t="inlineStr">
        <is>
          <t>検索、新規、編集、納品先追加、無効化</t>
        </is>
      </c>
    </row>
    <row r="9">
      <c r="A9" s="9" t="inlineStr">
        <is>
          <t>SCR-14</t>
        </is>
      </c>
      <c r="B9" s="16" t="inlineStr">
        <is>
          <t>保管場所一覧・編集</t>
        </is>
      </c>
      <c r="C9" s="9" t="inlineStr">
        <is>
          <t>マスタ</t>
        </is>
      </c>
      <c r="D9" s="16" t="inlineStr">
        <is>
          <t>保管場所の登録・編集</t>
        </is>
      </c>
      <c r="E9" s="16" t="inlineStr">
        <is>
          <t>新規、編集、無効化</t>
        </is>
      </c>
    </row>
    <row r="10">
      <c r="A10" s="9" t="inlineStr">
        <is>
          <t>SCR-15</t>
        </is>
      </c>
      <c r="B10" s="16" t="inlineStr">
        <is>
          <t>ユーザー管理</t>
        </is>
      </c>
      <c r="C10" s="9" t="inlineStr">
        <is>
          <t>マスタ</t>
        </is>
      </c>
      <c r="D10" s="16" t="inlineStr">
        <is>
          <t>ユーザー・ロールの管理</t>
        </is>
      </c>
      <c r="E10" s="16" t="inlineStr">
        <is>
          <t>新規、ロール変更、停止</t>
        </is>
      </c>
    </row>
    <row r="11">
      <c r="A11" s="9" t="inlineStr">
        <is>
          <t>SCR-16</t>
        </is>
      </c>
      <c r="B11" s="16" t="inlineStr">
        <is>
          <t>販売可否ルール</t>
        </is>
      </c>
      <c r="C11" s="9" t="inlineStr">
        <is>
          <t>マスタ</t>
        </is>
      </c>
      <c r="D11" s="16" t="inlineStr">
        <is>
          <t>規制区分×顧客区分のマトリクス編集</t>
        </is>
      </c>
      <c r="E11" s="16" t="inlineStr">
        <is>
          <t>編集</t>
        </is>
      </c>
    </row>
    <row r="12">
      <c r="A12" s="9" t="inlineStr">
        <is>
          <t>SCR-21</t>
        </is>
      </c>
      <c r="B12" s="16" t="inlineStr">
        <is>
          <t>発注一覧・登録</t>
        </is>
      </c>
      <c r="C12" s="9" t="inlineStr">
        <is>
          <t>仕入</t>
        </is>
      </c>
      <c r="D12" s="16" t="inlineStr">
        <is>
          <t>発注の検索・登録・承認</t>
        </is>
      </c>
      <c r="E12" s="16" t="inlineStr">
        <is>
          <t>新規、編集、承認、取消、発注書PDF</t>
        </is>
      </c>
    </row>
    <row r="13">
      <c r="A13" s="9" t="inlineStr">
        <is>
          <t>SCR-22</t>
        </is>
      </c>
      <c r="B13" s="16" t="inlineStr">
        <is>
          <t>入荷登録</t>
        </is>
      </c>
      <c r="C13" s="9" t="inlineStr">
        <is>
          <t>仕入</t>
        </is>
      </c>
      <c r="D13" s="16" t="inlineStr">
        <is>
          <t>発注を選択して入荷・ロット情報を登録</t>
        </is>
      </c>
      <c r="E13" s="16" t="inlineStr">
        <is>
          <t>発注選択、ロット入力、確定</t>
        </is>
      </c>
    </row>
    <row r="14">
      <c r="A14" s="9" t="inlineStr">
        <is>
          <t>SCR-23</t>
        </is>
      </c>
      <c r="B14" s="16" t="inlineStr">
        <is>
          <t>受入検品</t>
        </is>
      </c>
      <c r="C14" s="9" t="inlineStr">
        <is>
          <t>仕入</t>
        </is>
      </c>
      <c r="D14" s="16" t="inlineStr">
        <is>
          <t>検品待ちロットの判定</t>
        </is>
      </c>
      <c r="E14" s="16" t="inlineStr">
        <is>
          <t>COA添付、判定登録</t>
        </is>
      </c>
    </row>
    <row r="15">
      <c r="A15" s="9" t="inlineStr">
        <is>
          <t>SCR-31</t>
        </is>
      </c>
      <c r="B15" s="16" t="inlineStr">
        <is>
          <t>ロット一覧</t>
        </is>
      </c>
      <c r="C15" s="9" t="inlineStr">
        <is>
          <t>ロット</t>
        </is>
      </c>
      <c r="D15" s="16" t="inlineStr">
        <is>
          <t>ロットの検索（商品・期限・ステータス）</t>
        </is>
      </c>
      <c r="E15" s="16" t="inlineStr">
        <is>
          <t>検索、CSV出力</t>
        </is>
      </c>
    </row>
    <row r="16">
      <c r="A16" s="9" t="inlineStr">
        <is>
          <t>SCR-32</t>
        </is>
      </c>
      <c r="B16" s="16" t="inlineStr">
        <is>
          <t>ロット詳細</t>
        </is>
      </c>
      <c r="C16" s="9" t="inlineStr">
        <is>
          <t>ロット</t>
        </is>
      </c>
      <c r="D16" s="16" t="inlineStr">
        <is>
          <t>ロット情報・在庫・入出荷履歴・添付・ステータス履歴</t>
        </is>
      </c>
      <c r="E16" s="16" t="inlineStr">
        <is>
          <t>ステータス変更、トレース画面へ遷移</t>
        </is>
      </c>
    </row>
    <row r="17">
      <c r="A17" s="9" t="inlineStr">
        <is>
          <t>SCR-33</t>
        </is>
      </c>
      <c r="B17" s="16" t="inlineStr">
        <is>
          <t>在庫照会</t>
        </is>
      </c>
      <c r="C17" s="9" t="inlineStr">
        <is>
          <t>在庫</t>
        </is>
      </c>
      <c r="D17" s="16" t="inlineStr">
        <is>
          <t>商品×ロット×保管場所の在庫</t>
        </is>
      </c>
      <c r="E17" s="16" t="inlineStr">
        <is>
          <t>検索、CSV出力</t>
        </is>
      </c>
    </row>
    <row r="18">
      <c r="A18" s="9" t="inlineStr">
        <is>
          <t>SCR-34</t>
        </is>
      </c>
      <c r="B18" s="16" t="inlineStr">
        <is>
          <t>在庫移動・棚卸</t>
        </is>
      </c>
      <c r="C18" s="9" t="inlineStr">
        <is>
          <t>在庫</t>
        </is>
      </c>
      <c r="D18" s="16" t="inlineStr">
        <is>
          <t>保管場所間移動、棚卸、調整、廃棄</t>
        </is>
      </c>
      <c r="E18" s="16" t="inlineStr">
        <is>
          <t>登録、確定</t>
        </is>
      </c>
    </row>
    <row r="19">
      <c r="A19" s="9" t="inlineStr">
        <is>
          <t>SCR-35</t>
        </is>
      </c>
      <c r="B19" s="16" t="inlineStr">
        <is>
          <t>温度記録</t>
        </is>
      </c>
      <c r="C19" s="9" t="inlineStr">
        <is>
          <t>在庫</t>
        </is>
      </c>
      <c r="D19" s="16" t="inlineStr">
        <is>
          <t>保管場所ごとの温度記録と逸脱一覧</t>
        </is>
      </c>
      <c r="E19" s="16" t="inlineStr">
        <is>
          <t>入力、CSV取込</t>
        </is>
      </c>
    </row>
    <row r="20">
      <c r="A20" s="9" t="inlineStr">
        <is>
          <t>SCR-41</t>
        </is>
      </c>
      <c r="B20" s="16" t="inlineStr">
        <is>
          <t>受注一覧・登録</t>
        </is>
      </c>
      <c r="C20" s="9" t="inlineStr">
        <is>
          <t>販売</t>
        </is>
      </c>
      <c r="D20" s="16" t="inlineStr">
        <is>
          <t>受注の検索・登録</t>
        </is>
      </c>
      <c r="E20" s="16" t="inlineStr">
        <is>
          <t>新規、編集、取消</t>
        </is>
      </c>
    </row>
    <row r="21">
      <c r="A21" s="9" t="inlineStr">
        <is>
          <t>SCR-42</t>
        </is>
      </c>
      <c r="B21" s="16" t="inlineStr">
        <is>
          <t>出荷（引当・確定）</t>
        </is>
      </c>
      <c r="C21" s="9" t="inlineStr">
        <is>
          <t>販売</t>
        </is>
      </c>
      <c r="D21" s="16" t="inlineStr">
        <is>
          <t>ロット引当・出荷確定・納品書出力</t>
        </is>
      </c>
      <c r="E21" s="16" t="inlineStr">
        <is>
          <t>自動引当、手動変更、確定、取消、納品書PDF</t>
        </is>
      </c>
    </row>
    <row r="22">
      <c r="A22" s="9" t="inlineStr">
        <is>
          <t>SCR-43</t>
        </is>
      </c>
      <c r="B22" s="16" t="inlineStr">
        <is>
          <t>返品登録</t>
        </is>
      </c>
      <c r="C22" s="9" t="inlineStr">
        <is>
          <t>販売</t>
        </is>
      </c>
      <c r="D22" s="16" t="inlineStr">
        <is>
          <t>元出荷明細を指定して返品登録</t>
        </is>
      </c>
      <c r="E22" s="16" t="inlineStr">
        <is>
          <t>登録、QA判定</t>
        </is>
      </c>
    </row>
    <row r="23">
      <c r="A23" s="9" t="inlineStr">
        <is>
          <t>SCR-51</t>
        </is>
      </c>
      <c r="B23" s="16" t="inlineStr">
        <is>
          <t>ロット追跡（前方）</t>
        </is>
      </c>
      <c r="C23" s="9" t="inlineStr">
        <is>
          <t>トレース</t>
        </is>
      </c>
      <c r="D23" s="16" t="inlineStr">
        <is>
          <t>ロット→出荷先顧客一覧</t>
        </is>
      </c>
      <c r="E23" s="16" t="inlineStr">
        <is>
          <t>検索、CSV/PDF出力</t>
        </is>
      </c>
    </row>
    <row r="24">
      <c r="A24" s="9" t="inlineStr">
        <is>
          <t>SCR-52</t>
        </is>
      </c>
      <c r="B24" s="16" t="inlineStr">
        <is>
          <t>顧客追跡（後方）</t>
        </is>
      </c>
      <c r="C24" s="9" t="inlineStr">
        <is>
          <t>トレース</t>
        </is>
      </c>
      <c r="D24" s="16" t="inlineStr">
        <is>
          <t>顧客→購入ロット一覧</t>
        </is>
      </c>
      <c r="E24" s="16" t="inlineStr">
        <is>
          <t>検索、CSV/PDF出力</t>
        </is>
      </c>
    </row>
    <row r="25">
      <c r="A25" s="9" t="inlineStr">
        <is>
          <t>SCR-53</t>
        </is>
      </c>
      <c r="B25" s="16" t="inlineStr">
        <is>
          <t>回収管理</t>
        </is>
      </c>
      <c r="C25" s="9" t="inlineStr">
        <is>
          <t>品質</t>
        </is>
      </c>
      <c r="D25" s="16" t="inlineStr">
        <is>
          <t>回収案件・対象顧客・進捗</t>
        </is>
      </c>
      <c r="E25" s="16" t="inlineStr">
        <is>
          <t>新規、対象抽出、進捗更新、完了</t>
        </is>
      </c>
    </row>
    <row r="26">
      <c r="A26" s="9" t="inlineStr">
        <is>
          <t>SCR-61</t>
        </is>
      </c>
      <c r="B26" s="16" t="inlineStr">
        <is>
          <t>帳票出力</t>
        </is>
      </c>
      <c r="C26" s="9" t="inlineStr">
        <is>
          <t>帳票</t>
        </is>
      </c>
      <c r="D26" s="16" t="inlineStr">
        <is>
          <t>各種帳票・CSVの条件指定と出力</t>
        </is>
      </c>
      <c r="E26" s="16" t="inlineStr">
        <is>
          <t>条件指定、出力</t>
        </is>
      </c>
    </row>
    <row r="27">
      <c r="A27" s="9" t="inlineStr">
        <is>
          <t>SCR-62</t>
        </is>
      </c>
      <c r="B27" s="16" t="inlineStr">
        <is>
          <t>監査ログ照会</t>
        </is>
      </c>
      <c r="C27" s="9" t="inlineStr">
        <is>
          <t>共通</t>
        </is>
      </c>
      <c r="D27" s="16" t="inlineStr">
        <is>
          <t>操作履歴の検索</t>
        </is>
      </c>
      <c r="E27" s="16" t="inlineStr">
        <is>
          <t>検索、CSV出力</t>
        </is>
      </c>
    </row>
  </sheetData>
  <autoFilter ref="A3:E27"/>
  <hyperlinks>
    <hyperlink xmlns:r="http://schemas.openxmlformats.org/officeDocument/2006/relationships" ref="E1" r:id="rId1"/>
  </hyperlinks>
  <printOptions gridLines="0"/>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K160"/>
  <sheetViews>
    <sheetView zoomScale="90" workbookViewId="0">
      <pane ySplit="3" topLeftCell="A4" activePane="bottomLeft" state="frozen"/>
      <selection pane="bottomLeft" activeCell="A1" sqref="A1"/>
    </sheetView>
  </sheetViews>
  <sheetFormatPr baseColWidth="8" defaultRowHeight="15"/>
  <cols>
    <col width="9" customWidth="1" min="1" max="1"/>
    <col width="16" customWidth="1" min="2" max="2"/>
    <col width="5" customWidth="1" min="3" max="3"/>
    <col width="20" customWidth="1" min="4" max="4"/>
    <col width="12" customWidth="1" min="5" max="5"/>
    <col width="8" customWidth="1" min="6" max="6"/>
    <col width="9" customWidth="1" min="7" max="7"/>
    <col width="16" customWidth="1" min="8" max="8"/>
    <col width="34" customWidth="1" min="9" max="9"/>
    <col width="16" customWidth="1" min="10" max="10"/>
    <col width="50" customWidth="1" min="11" max="11"/>
  </cols>
  <sheetData>
    <row r="1">
      <c r="A1" s="5" t="inlineStr">
        <is>
          <t>画面項目定義</t>
        </is>
      </c>
      <c r="K1" s="15" t="inlineStr">
        <is>
          <t>← 表紙へ</t>
        </is>
      </c>
    </row>
    <row r="2">
      <c r="A2" s="17" t="inlineStr">
        <is>
          <t>主要画面（入荷・検品・受注・出荷・追跡・回収）の項目。マスタ画面は項目定義シートのカラムをそのまま入力項目とする</t>
        </is>
      </c>
    </row>
    <row r="3">
      <c r="A3" s="8" t="inlineStr">
        <is>
          <t>画面ID</t>
        </is>
      </c>
      <c r="B3" s="8" t="inlineStr">
        <is>
          <t>画面名</t>
        </is>
      </c>
      <c r="C3" s="8" t="inlineStr">
        <is>
          <t>No</t>
        </is>
      </c>
      <c r="D3" s="8" t="inlineStr">
        <is>
          <t>項目名</t>
        </is>
      </c>
      <c r="E3" s="8" t="inlineStr">
        <is>
          <t>種別</t>
        </is>
      </c>
      <c r="F3" s="8" t="inlineStr">
        <is>
          <t>入出力</t>
        </is>
      </c>
      <c r="G3" s="8" t="inlineStr">
        <is>
          <t>必須</t>
        </is>
      </c>
      <c r="H3" s="8" t="inlineStr">
        <is>
          <t>桁/形式</t>
        </is>
      </c>
      <c r="I3" s="8" t="inlineStr">
        <is>
          <t>対応テーブル.カラム</t>
        </is>
      </c>
      <c r="J3" s="8" t="inlineStr">
        <is>
          <t>初期値</t>
        </is>
      </c>
      <c r="K3" s="8" t="inlineStr">
        <is>
          <t>チェック・備考</t>
        </is>
      </c>
    </row>
    <row r="4">
      <c r="A4" s="9" t="inlineStr">
        <is>
          <t>SCR-01</t>
        </is>
      </c>
      <c r="B4" s="16" t="inlineStr">
        <is>
          <t>ダッシュボード</t>
        </is>
      </c>
      <c r="C4" s="9" t="n">
        <v>1</v>
      </c>
      <c r="D4" s="16" t="inlineStr">
        <is>
          <t>アラート一覧</t>
        </is>
      </c>
      <c r="E4" s="16" t="inlineStr">
        <is>
          <t>一覧</t>
        </is>
      </c>
      <c r="F4" s="9" t="inlineStr">
        <is>
          <t>出力</t>
        </is>
      </c>
      <c r="G4" s="9" t="inlineStr"/>
      <c r="H4" s="16" t="inlineStr"/>
      <c r="I4" s="16" t="inlineStr">
        <is>
          <t>（アラート）</t>
        </is>
      </c>
      <c r="J4" s="16" t="inlineStr"/>
      <c r="K4" s="16" t="inlineStr">
        <is>
          <t>BR-16 の種類別件数と明細。クリックで該当画面へ</t>
        </is>
      </c>
    </row>
    <row r="5">
      <c r="A5" s="9" t="inlineStr">
        <is>
          <t>SCR-01</t>
        </is>
      </c>
      <c r="B5" s="16" t="inlineStr">
        <is>
          <t>ダッシュボード</t>
        </is>
      </c>
      <c r="C5" s="9" t="n">
        <v>2</v>
      </c>
      <c r="D5" s="16" t="inlineStr">
        <is>
          <t>本日の入荷予定</t>
        </is>
      </c>
      <c r="E5" s="16" t="inlineStr">
        <is>
          <t>一覧</t>
        </is>
      </c>
      <c r="F5" s="9" t="inlineStr">
        <is>
          <t>出力</t>
        </is>
      </c>
      <c r="G5" s="9" t="inlineStr"/>
      <c r="H5" s="16" t="inlineStr"/>
      <c r="I5" s="16" t="inlineStr">
        <is>
          <t>t_purchase_order</t>
        </is>
      </c>
      <c r="J5" s="16" t="inlineStr"/>
      <c r="K5" s="16" t="inlineStr">
        <is>
          <t>入荷予定日=当日 の APPROVED/PARTIAL</t>
        </is>
      </c>
    </row>
    <row r="6">
      <c r="A6" s="9" t="inlineStr">
        <is>
          <t>SCR-01</t>
        </is>
      </c>
      <c r="B6" s="16" t="inlineStr">
        <is>
          <t>ダッシュボード</t>
        </is>
      </c>
      <c r="C6" s="9" t="n">
        <v>3</v>
      </c>
      <c r="D6" s="16" t="inlineStr">
        <is>
          <t>本日の出荷予定</t>
        </is>
      </c>
      <c r="E6" s="16" t="inlineStr">
        <is>
          <t>一覧</t>
        </is>
      </c>
      <c r="F6" s="9" t="inlineStr">
        <is>
          <t>出力</t>
        </is>
      </c>
      <c r="G6" s="9" t="inlineStr"/>
      <c r="H6" s="16" t="inlineStr"/>
      <c r="I6" s="16" t="inlineStr">
        <is>
          <t>t_sales_order</t>
        </is>
      </c>
      <c r="J6" s="16" t="inlineStr"/>
      <c r="K6" s="16" t="inlineStr">
        <is>
          <t>希望納期&lt;=当日 の OPEN/PARTIAL。CREDIT_PENDING は別枠表示</t>
        </is>
      </c>
    </row>
    <row r="7">
      <c r="A7" s="9" t="inlineStr">
        <is>
          <t>SCR-01</t>
        </is>
      </c>
      <c r="B7" s="16" t="inlineStr">
        <is>
          <t>ダッシュボード</t>
        </is>
      </c>
      <c r="C7" s="9" t="n">
        <v>4</v>
      </c>
      <c r="D7" s="16" t="inlineStr">
        <is>
          <t>検品待ち・分納受入待ち</t>
        </is>
      </c>
      <c r="E7" s="16" t="inlineStr">
        <is>
          <t>件数</t>
        </is>
      </c>
      <c r="F7" s="9" t="inlineStr">
        <is>
          <t>出力</t>
        </is>
      </c>
      <c r="G7" s="9" t="inlineStr"/>
      <c r="H7" s="16" t="inlineStr"/>
      <c r="I7" s="16" t="inlineStr">
        <is>
          <t>t_lot</t>
        </is>
      </c>
      <c r="J7" s="16" t="inlineStr"/>
      <c r="K7" s="16" t="inlineStr">
        <is>
          <t>QAロール向け</t>
        </is>
      </c>
    </row>
    <row r="8">
      <c r="A8" s="9" t="inlineStr">
        <is>
          <t>SCR-01</t>
        </is>
      </c>
      <c r="B8" s="16" t="inlineStr">
        <is>
          <t>ダッシュボード</t>
        </is>
      </c>
      <c r="C8" s="9" t="n">
        <v>5</v>
      </c>
      <c r="D8" s="16" t="inlineStr">
        <is>
          <t>回収案件の状況</t>
        </is>
      </c>
      <c r="E8" s="16" t="inlineStr">
        <is>
          <t>一覧</t>
        </is>
      </c>
      <c r="F8" s="9" t="inlineStr">
        <is>
          <t>出力</t>
        </is>
      </c>
      <c r="G8" s="9" t="inlineStr"/>
      <c r="H8" s="16" t="inlineStr"/>
      <c r="I8" s="16" t="inlineStr">
        <is>
          <t>t_recall, t_recall_target</t>
        </is>
      </c>
      <c r="J8" s="16" t="inlineStr"/>
      <c r="K8" s="16" t="inlineStr">
        <is>
          <t>未完了案件ごとの連絡済率・回収率</t>
        </is>
      </c>
    </row>
    <row r="9">
      <c r="A9" s="9" t="inlineStr">
        <is>
          <t>SCR-11</t>
        </is>
      </c>
      <c r="B9" s="16" t="inlineStr">
        <is>
          <t>仕入先一覧・編集</t>
        </is>
      </c>
      <c r="C9" s="9" t="n">
        <v>1</v>
      </c>
      <c r="D9" s="16" t="inlineStr">
        <is>
          <t>仕入先コード</t>
        </is>
      </c>
      <c r="E9" s="16" t="inlineStr">
        <is>
          <t>テキスト</t>
        </is>
      </c>
      <c r="F9" s="9" t="inlineStr">
        <is>
          <t>入力</t>
        </is>
      </c>
      <c r="G9" s="9" t="inlineStr">
        <is>
          <t>Y</t>
        </is>
      </c>
      <c r="H9" s="16" t="inlineStr">
        <is>
          <t>20</t>
        </is>
      </c>
      <c r="I9" s="16" t="inlineStr">
        <is>
          <t>m_supplier.supplier_code</t>
        </is>
      </c>
      <c r="J9" s="16" t="inlineStr"/>
      <c r="K9" s="16" t="inlineStr">
        <is>
          <t>一意</t>
        </is>
      </c>
    </row>
    <row r="10">
      <c r="A10" s="9" t="inlineStr">
        <is>
          <t>SCR-11</t>
        </is>
      </c>
      <c r="B10" s="16" t="inlineStr">
        <is>
          <t>仕入先一覧・編集</t>
        </is>
      </c>
      <c r="C10" s="9" t="n">
        <v>2</v>
      </c>
      <c r="D10" s="16" t="inlineStr">
        <is>
          <t>仕入先名・国・住所・担当者・電話・メール・支払条件</t>
        </is>
      </c>
      <c r="E10" s="16" t="inlineStr">
        <is>
          <t>テキスト</t>
        </is>
      </c>
      <c r="F10" s="9" t="inlineStr">
        <is>
          <t>入力</t>
        </is>
      </c>
      <c r="G10" s="9" t="inlineStr"/>
      <c r="H10" s="16" t="inlineStr">
        <is>
          <t>項目定義に従う</t>
        </is>
      </c>
      <c r="I10" s="16" t="inlineStr">
        <is>
          <t>m_supplier.name</t>
        </is>
      </c>
      <c r="J10" s="16" t="inlineStr"/>
      <c r="K10" s="16" t="inlineStr">
        <is>
          <t>仕入先名は必須</t>
        </is>
      </c>
    </row>
    <row r="11">
      <c r="A11" s="9" t="inlineStr">
        <is>
          <t>SCR-11</t>
        </is>
      </c>
      <c r="B11" s="16" t="inlineStr">
        <is>
          <t>仕入先一覧・編集</t>
        </is>
      </c>
      <c r="C11" s="9" t="n">
        <v>3</v>
      </c>
      <c r="D11" s="16" t="inlineStr">
        <is>
          <t>有効フラグ</t>
        </is>
      </c>
      <c r="E11" s="16" t="inlineStr">
        <is>
          <t>チェック</t>
        </is>
      </c>
      <c r="F11" s="9" t="inlineStr">
        <is>
          <t>入力</t>
        </is>
      </c>
      <c r="G11" s="9" t="inlineStr">
        <is>
          <t>Y</t>
        </is>
      </c>
      <c r="H11" s="16" t="inlineStr"/>
      <c r="I11" s="16" t="inlineStr">
        <is>
          <t>m_supplier.is_active</t>
        </is>
      </c>
      <c r="J11" s="16" t="inlineStr">
        <is>
          <t>ON</t>
        </is>
      </c>
      <c r="K11" s="16" t="inlineStr">
        <is>
          <t>無効化しても過去伝票は参照可</t>
        </is>
      </c>
    </row>
    <row r="12">
      <c r="A12" s="9" t="inlineStr">
        <is>
          <t>SCR-12</t>
        </is>
      </c>
      <c r="B12" s="16" t="inlineStr">
        <is>
          <t>商品一覧・編集</t>
        </is>
      </c>
      <c r="C12" s="9" t="n">
        <v>1</v>
      </c>
      <c r="D12" s="16" t="inlineStr">
        <is>
          <t>商品コード</t>
        </is>
      </c>
      <c r="E12" s="16" t="inlineStr">
        <is>
          <t>テキスト</t>
        </is>
      </c>
      <c r="F12" s="9" t="inlineStr">
        <is>
          <t>入力</t>
        </is>
      </c>
      <c r="G12" s="9" t="inlineStr">
        <is>
          <t>Y</t>
        </is>
      </c>
      <c r="H12" s="16" t="inlineStr">
        <is>
          <t>20</t>
        </is>
      </c>
      <c r="I12" s="16" t="inlineStr">
        <is>
          <t>m_product.product_code</t>
        </is>
      </c>
      <c r="J12" s="16" t="inlineStr"/>
      <c r="K12" s="16" t="inlineStr">
        <is>
          <t>一意。英数字・ハイフン（ロット番号に使用）</t>
        </is>
      </c>
    </row>
    <row r="13">
      <c r="A13" s="9" t="inlineStr">
        <is>
          <t>SCR-12</t>
        </is>
      </c>
      <c r="B13" s="16" t="inlineStr">
        <is>
          <t>商品一覧・編集</t>
        </is>
      </c>
      <c r="C13" s="9" t="n">
        <v>2</v>
      </c>
      <c r="D13" s="16" t="inlineStr">
        <is>
          <t>商品名</t>
        </is>
      </c>
      <c r="E13" s="16" t="inlineStr">
        <is>
          <t>テキスト</t>
        </is>
      </c>
      <c r="F13" s="9" t="inlineStr">
        <is>
          <t>入力</t>
        </is>
      </c>
      <c r="G13" s="9" t="inlineStr">
        <is>
          <t>Y</t>
        </is>
      </c>
      <c r="H13" s="16" t="inlineStr">
        <is>
          <t>100</t>
        </is>
      </c>
      <c r="I13" s="16" t="inlineStr">
        <is>
          <t>m_product.name</t>
        </is>
      </c>
      <c r="J13" s="16" t="inlineStr"/>
      <c r="K13" s="16" t="inlineStr"/>
    </row>
    <row r="14">
      <c r="A14" s="9" t="inlineStr">
        <is>
          <t>SCR-12</t>
        </is>
      </c>
      <c r="B14" s="16" t="inlineStr">
        <is>
          <t>商品一覧・編集</t>
        </is>
      </c>
      <c r="C14" s="9" t="n">
        <v>3</v>
      </c>
      <c r="D14" s="16" t="inlineStr">
        <is>
          <t>主仕入先</t>
        </is>
      </c>
      <c r="E14" s="16" t="inlineStr">
        <is>
          <t>選択</t>
        </is>
      </c>
      <c r="F14" s="9" t="inlineStr">
        <is>
          <t>入力</t>
        </is>
      </c>
      <c r="G14" s="9" t="inlineStr"/>
      <c r="H14" s="16" t="inlineStr"/>
      <c r="I14" s="16" t="inlineStr">
        <is>
          <t>m_product.supplier_id</t>
        </is>
      </c>
      <c r="J14" s="16" t="inlineStr"/>
      <c r="K14" s="16" t="inlineStr"/>
    </row>
    <row r="15">
      <c r="A15" s="9" t="inlineStr">
        <is>
          <t>SCR-12</t>
        </is>
      </c>
      <c r="B15" s="16" t="inlineStr">
        <is>
          <t>商品一覧・編集</t>
        </is>
      </c>
      <c r="C15" s="9" t="n">
        <v>4</v>
      </c>
      <c r="D15" s="16" t="inlineStr">
        <is>
          <t>由来・形態</t>
        </is>
      </c>
      <c r="E15" s="16" t="inlineStr">
        <is>
          <t>選択</t>
        </is>
      </c>
      <c r="F15" s="9" t="inlineStr">
        <is>
          <t>入力</t>
        </is>
      </c>
      <c r="G15" s="9" t="inlineStr">
        <is>
          <t>Y</t>
        </is>
      </c>
      <c r="H15" s="16" t="inlineStr">
        <is>
          <t>コード定義</t>
        </is>
      </c>
      <c r="I15" s="16" t="inlineStr">
        <is>
          <t>m_product.source_type</t>
        </is>
      </c>
      <c r="J15" s="16" t="inlineStr"/>
      <c r="K15" s="16" t="inlineStr">
        <is>
          <t>形態は m_product.form</t>
        </is>
      </c>
    </row>
    <row r="16">
      <c r="A16" s="9" t="inlineStr">
        <is>
          <t>SCR-12</t>
        </is>
      </c>
      <c r="B16" s="16" t="inlineStr">
        <is>
          <t>商品一覧・編集</t>
        </is>
      </c>
      <c r="C16" s="9" t="n">
        <v>5</v>
      </c>
      <c r="D16" s="16" t="inlineStr">
        <is>
          <t>粒子濃度・内容量・販売単位</t>
        </is>
      </c>
      <c r="E16" s="16" t="inlineStr">
        <is>
          <t>数値/テキスト</t>
        </is>
      </c>
      <c r="F16" s="9" t="inlineStr">
        <is>
          <t>入力</t>
        </is>
      </c>
      <c r="G16" s="9" t="inlineStr"/>
      <c r="H16" s="16" t="inlineStr">
        <is>
          <t>項目定義に従う</t>
        </is>
      </c>
      <c r="I16" s="16" t="inlineStr">
        <is>
          <t>m_product.particle_conc</t>
        </is>
      </c>
      <c r="J16" s="16" t="inlineStr"/>
      <c r="K16" s="16" t="inlineStr"/>
    </row>
    <row r="17">
      <c r="A17" s="9" t="inlineStr">
        <is>
          <t>SCR-12</t>
        </is>
      </c>
      <c r="B17" s="16" t="inlineStr">
        <is>
          <t>商品一覧・編集</t>
        </is>
      </c>
      <c r="C17" s="9" t="n">
        <v>6</v>
      </c>
      <c r="D17" s="16" t="inlineStr">
        <is>
          <t>保管温度区分</t>
        </is>
      </c>
      <c r="E17" s="16" t="inlineStr">
        <is>
          <t>選択</t>
        </is>
      </c>
      <c r="F17" s="9" t="inlineStr">
        <is>
          <t>入力</t>
        </is>
      </c>
      <c r="G17" s="9" t="inlineStr">
        <is>
          <t>Y</t>
        </is>
      </c>
      <c r="H17" s="16" t="inlineStr">
        <is>
          <t>コード定義</t>
        </is>
      </c>
      <c r="I17" s="16" t="inlineStr">
        <is>
          <t>m_product.storage_class</t>
        </is>
      </c>
      <c r="J17" s="16" t="inlineStr"/>
      <c r="K17" s="16" t="inlineStr">
        <is>
          <t>入荷・移動先の保管場所を制限（BR-06）</t>
        </is>
      </c>
    </row>
    <row r="18">
      <c r="A18" s="9" t="inlineStr">
        <is>
          <t>SCR-12</t>
        </is>
      </c>
      <c r="B18" s="16" t="inlineStr">
        <is>
          <t>商品一覧・編集</t>
        </is>
      </c>
      <c r="C18" s="9" t="n">
        <v>7</v>
      </c>
      <c r="D18" s="16" t="inlineStr">
        <is>
          <t>有効期間（日）</t>
        </is>
      </c>
      <c r="E18" s="16" t="inlineStr">
        <is>
          <t>数値</t>
        </is>
      </c>
      <c r="F18" s="9" t="inlineStr">
        <is>
          <t>入力</t>
        </is>
      </c>
      <c r="G18" s="9" t="inlineStr">
        <is>
          <t>Y</t>
        </is>
      </c>
      <c r="H18" s="16" t="inlineStr">
        <is>
          <t>整数</t>
        </is>
      </c>
      <c r="I18" s="16" t="inlineStr">
        <is>
          <t>m_product.shelf_life_days</t>
        </is>
      </c>
      <c r="J18" s="16" t="inlineStr"/>
      <c r="K18" s="16" t="inlineStr">
        <is>
          <t>使用期限の初期値計算用</t>
        </is>
      </c>
    </row>
    <row r="19">
      <c r="A19" s="9" t="inlineStr">
        <is>
          <t>SCR-12</t>
        </is>
      </c>
      <c r="B19" s="16" t="inlineStr">
        <is>
          <t>商品一覧・編集</t>
        </is>
      </c>
      <c r="C19" s="9" t="n">
        <v>8</v>
      </c>
      <c r="D19" s="16" t="inlineStr">
        <is>
          <t>最低出荷残期間（日）</t>
        </is>
      </c>
      <c r="E19" s="16" t="inlineStr">
        <is>
          <t>数値</t>
        </is>
      </c>
      <c r="F19" s="9" t="inlineStr">
        <is>
          <t>入力</t>
        </is>
      </c>
      <c r="G19" s="9" t="inlineStr">
        <is>
          <t>Y</t>
        </is>
      </c>
      <c r="H19" s="16" t="inlineStr">
        <is>
          <t>整数</t>
        </is>
      </c>
      <c r="I19" s="16" t="inlineStr">
        <is>
          <t>m_product.min_remaining_days</t>
        </is>
      </c>
      <c r="J19" s="16" t="inlineStr">
        <is>
          <t>90</t>
        </is>
      </c>
      <c r="K19" s="16" t="inlineStr">
        <is>
          <t>BR-04</t>
        </is>
      </c>
    </row>
    <row r="20">
      <c r="A20" s="9" t="inlineStr">
        <is>
          <t>SCR-12</t>
        </is>
      </c>
      <c r="B20" s="16" t="inlineStr">
        <is>
          <t>商品一覧・編集</t>
        </is>
      </c>
      <c r="C20" s="9" t="n">
        <v>9</v>
      </c>
      <c r="D20" s="16" t="inlineStr">
        <is>
          <t>規制区分</t>
        </is>
      </c>
      <c r="E20" s="16" t="inlineStr">
        <is>
          <t>選択</t>
        </is>
      </c>
      <c r="F20" s="9" t="inlineStr">
        <is>
          <t>入力</t>
        </is>
      </c>
      <c r="G20" s="9" t="inlineStr">
        <is>
          <t>Y</t>
        </is>
      </c>
      <c r="H20" s="16" t="inlineStr">
        <is>
          <t>コード定義</t>
        </is>
      </c>
      <c r="I20" s="16" t="inlineStr">
        <is>
          <t>m_product.regulatory_class</t>
        </is>
      </c>
      <c r="J20" s="16" t="inlineStr"/>
      <c r="K20" s="16" t="inlineStr">
        <is>
          <t>販売可否ルール（BR-09）の判定キー</t>
        </is>
      </c>
    </row>
    <row r="21">
      <c r="A21" s="9" t="inlineStr">
        <is>
          <t>SCR-12</t>
        </is>
      </c>
      <c r="B21" s="16" t="inlineStr">
        <is>
          <t>商品一覧・編集</t>
        </is>
      </c>
      <c r="C21" s="9" t="n">
        <v>10</v>
      </c>
      <c r="D21" s="16" t="inlineStr">
        <is>
          <t>標準原価・標準売価・発注点</t>
        </is>
      </c>
      <c r="E21" s="16" t="inlineStr">
        <is>
          <t>数値</t>
        </is>
      </c>
      <c r="F21" s="9" t="inlineStr">
        <is>
          <t>入力</t>
        </is>
      </c>
      <c r="G21" s="9" t="inlineStr"/>
      <c r="H21" s="16" t="inlineStr">
        <is>
          <t>項目定義に従う</t>
        </is>
      </c>
      <c r="I21" s="16" t="inlineStr">
        <is>
          <t>m_product.list_price</t>
        </is>
      </c>
      <c r="J21" s="16" t="inlineStr"/>
      <c r="K21" s="16" t="inlineStr">
        <is>
          <t>発注点は在庫下限アラート（BR-16）</t>
        </is>
      </c>
    </row>
    <row r="22">
      <c r="A22" s="9" t="inlineStr">
        <is>
          <t>SCR-12</t>
        </is>
      </c>
      <c r="B22" s="16" t="inlineStr">
        <is>
          <t>商品一覧・編集</t>
        </is>
      </c>
      <c r="C22" s="9" t="n">
        <v>11</v>
      </c>
      <c r="D22" s="16" t="inlineStr">
        <is>
          <t>有効フラグ</t>
        </is>
      </c>
      <c r="E22" s="16" t="inlineStr">
        <is>
          <t>チェック</t>
        </is>
      </c>
      <c r="F22" s="9" t="inlineStr">
        <is>
          <t>入力</t>
        </is>
      </c>
      <c r="G22" s="9" t="inlineStr">
        <is>
          <t>Y</t>
        </is>
      </c>
      <c r="H22" s="16" t="inlineStr"/>
      <c r="I22" s="16" t="inlineStr">
        <is>
          <t>m_product.is_active</t>
        </is>
      </c>
      <c r="J22" s="16" t="inlineStr">
        <is>
          <t>ON</t>
        </is>
      </c>
      <c r="K22" s="16" t="inlineStr"/>
    </row>
    <row r="23">
      <c r="A23" s="9" t="inlineStr">
        <is>
          <t>SCR-13</t>
        </is>
      </c>
      <c r="B23" s="16" t="inlineStr">
        <is>
          <t>顧客一覧・編集</t>
        </is>
      </c>
      <c r="C23" s="9" t="n">
        <v>1</v>
      </c>
      <c r="D23" s="16" t="inlineStr">
        <is>
          <t>顧客コード・顧客名</t>
        </is>
      </c>
      <c r="E23" s="16" t="inlineStr">
        <is>
          <t>テキスト</t>
        </is>
      </c>
      <c r="F23" s="9" t="inlineStr">
        <is>
          <t>入力</t>
        </is>
      </c>
      <c r="G23" s="9" t="inlineStr">
        <is>
          <t>Y</t>
        </is>
      </c>
      <c r="H23" s="16" t="inlineStr">
        <is>
          <t>20/100</t>
        </is>
      </c>
      <c r="I23" s="16" t="inlineStr">
        <is>
          <t>m_customer.customer_code</t>
        </is>
      </c>
      <c r="J23" s="16" t="inlineStr"/>
      <c r="K23" s="16" t="inlineStr">
        <is>
          <t>コードは一意</t>
        </is>
      </c>
    </row>
    <row r="24">
      <c r="A24" s="9" t="inlineStr">
        <is>
          <t>SCR-13</t>
        </is>
      </c>
      <c r="B24" s="16" t="inlineStr">
        <is>
          <t>顧客一覧・編集</t>
        </is>
      </c>
      <c r="C24" s="9" t="n">
        <v>2</v>
      </c>
      <c r="D24" s="16" t="inlineStr">
        <is>
          <t>顧客区分</t>
        </is>
      </c>
      <c r="E24" s="16" t="inlineStr">
        <is>
          <t>選択</t>
        </is>
      </c>
      <c r="F24" s="9" t="inlineStr">
        <is>
          <t>入力</t>
        </is>
      </c>
      <c r="G24" s="9" t="inlineStr">
        <is>
          <t>Y</t>
        </is>
      </c>
      <c r="H24" s="16" t="inlineStr">
        <is>
          <t>コード定義</t>
        </is>
      </c>
      <c r="I24" s="16" t="inlineStr">
        <is>
          <t>m_customer.customer_type</t>
        </is>
      </c>
      <c r="J24" s="16" t="inlineStr"/>
      <c r="K24" s="16" t="inlineStr">
        <is>
          <t>販売可否ルールの判定キー</t>
        </is>
      </c>
    </row>
    <row r="25">
      <c r="A25" s="9" t="inlineStr">
        <is>
          <t>SCR-13</t>
        </is>
      </c>
      <c r="B25" s="16" t="inlineStr">
        <is>
          <t>顧客一覧・編集</t>
        </is>
      </c>
      <c r="C25" s="9" t="n">
        <v>3</v>
      </c>
      <c r="D25" s="16" t="inlineStr">
        <is>
          <t>医療機関コード</t>
        </is>
      </c>
      <c r="E25" s="16" t="inlineStr">
        <is>
          <t>テキスト</t>
        </is>
      </c>
      <c r="F25" s="9" t="inlineStr">
        <is>
          <t>入力</t>
        </is>
      </c>
      <c r="G25" s="9" t="inlineStr">
        <is>
          <t>医療機関Y</t>
        </is>
      </c>
      <c r="H25" s="16" t="inlineStr">
        <is>
          <t>20</t>
        </is>
      </c>
      <c r="I25" s="16" t="inlineStr">
        <is>
          <t>m_customer.medical_inst_code</t>
        </is>
      </c>
      <c r="J25" s="16" t="inlineStr"/>
      <c r="K25" s="16" t="inlineStr">
        <is>
          <t>BR-10</t>
        </is>
      </c>
    </row>
    <row r="26">
      <c r="A26" s="9" t="inlineStr">
        <is>
          <t>SCR-13</t>
        </is>
      </c>
      <c r="B26" s="16" t="inlineStr">
        <is>
          <t>顧客一覧・編集</t>
        </is>
      </c>
      <c r="C26" s="9" t="n">
        <v>4</v>
      </c>
      <c r="D26" s="16" t="inlineStr">
        <is>
          <t>代表者・担当者・住所・電話・メール</t>
        </is>
      </c>
      <c r="E26" s="16" t="inlineStr">
        <is>
          <t>テキスト</t>
        </is>
      </c>
      <c r="F26" s="9" t="inlineStr">
        <is>
          <t>入力</t>
        </is>
      </c>
      <c r="G26" s="9" t="inlineStr"/>
      <c r="H26" s="16" t="inlineStr">
        <is>
          <t>項目定義に従う</t>
        </is>
      </c>
      <c r="I26" s="16" t="inlineStr">
        <is>
          <t>m_customer.contact_name</t>
        </is>
      </c>
      <c r="J26" s="16" t="inlineStr"/>
      <c r="K26" s="16" t="inlineStr">
        <is>
          <t>住所は必須</t>
        </is>
      </c>
    </row>
    <row r="27">
      <c r="A27" s="9" t="inlineStr">
        <is>
          <t>SCR-13</t>
        </is>
      </c>
      <c r="B27" s="16" t="inlineStr">
        <is>
          <t>顧客一覧・編集</t>
        </is>
      </c>
      <c r="C27" s="9" t="n">
        <v>5</v>
      </c>
      <c r="D27" s="16" t="inlineStr">
        <is>
          <t>与信限度額（円）</t>
        </is>
      </c>
      <c r="E27" s="16" t="inlineStr">
        <is>
          <t>数値</t>
        </is>
      </c>
      <c r="F27" s="9" t="inlineStr">
        <is>
          <t>入力</t>
        </is>
      </c>
      <c r="G27" s="9" t="inlineStr"/>
      <c r="H27" s="16" t="inlineStr">
        <is>
          <t>12,0</t>
        </is>
      </c>
      <c r="I27" s="16" t="inlineStr">
        <is>
          <t>m_customer.credit_limit</t>
        </is>
      </c>
      <c r="J27" s="16" t="inlineStr"/>
      <c r="K27" s="16" t="inlineStr">
        <is>
          <t>未入力は無制限（BR-11）</t>
        </is>
      </c>
    </row>
    <row r="28">
      <c r="A28" s="9" t="inlineStr">
        <is>
          <t>SCR-13</t>
        </is>
      </c>
      <c r="B28" s="16" t="inlineStr">
        <is>
          <t>顧客一覧・編集</t>
        </is>
      </c>
      <c r="C28" s="9" t="n">
        <v>6</v>
      </c>
      <c r="D28" s="16" t="inlineStr">
        <is>
          <t>納品先一覧</t>
        </is>
      </c>
      <c r="E28" s="16" t="inlineStr">
        <is>
          <t>一覧（編集可）</t>
        </is>
      </c>
      <c r="F28" s="9" t="inlineStr">
        <is>
          <t>入出力</t>
        </is>
      </c>
      <c r="G28" s="9" t="inlineStr"/>
      <c r="H28" s="16" t="inlineStr"/>
      <c r="I28" s="16" t="inlineStr">
        <is>
          <t>m_ship_to</t>
        </is>
      </c>
      <c r="J28" s="16" t="inlineStr"/>
      <c r="K28" s="16" t="inlineStr">
        <is>
          <t>名称・住所・電話・担当者・メール（回収連絡先）・既定・有効</t>
        </is>
      </c>
    </row>
    <row r="29">
      <c r="A29" s="9" t="inlineStr">
        <is>
          <t>SCR-13</t>
        </is>
      </c>
      <c r="B29" s="16" t="inlineStr">
        <is>
          <t>顧客一覧・編集</t>
        </is>
      </c>
      <c r="C29" s="9" t="n">
        <v>7</v>
      </c>
      <c r="D29" s="16" t="inlineStr">
        <is>
          <t>納品先 担当者・メール</t>
        </is>
      </c>
      <c r="E29" s="16" t="inlineStr">
        <is>
          <t>テキスト</t>
        </is>
      </c>
      <c r="F29" s="9" t="inlineStr">
        <is>
          <t>入力</t>
        </is>
      </c>
      <c r="G29" s="9" t="inlineStr"/>
      <c r="H29" s="16" t="inlineStr">
        <is>
          <t>50/254</t>
        </is>
      </c>
      <c r="I29" s="16" t="inlineStr">
        <is>
          <t>m_ship_to.email</t>
        </is>
      </c>
      <c r="J29" s="16" t="inlineStr"/>
      <c r="K29" s="16" t="inlineStr">
        <is>
          <t>回収連絡に使用（担当者は m_ship_to.contact_name）</t>
        </is>
      </c>
    </row>
    <row r="30">
      <c r="A30" s="9" t="inlineStr">
        <is>
          <t>SCR-13</t>
        </is>
      </c>
      <c r="B30" s="16" t="inlineStr">
        <is>
          <t>顧客一覧・編集</t>
        </is>
      </c>
      <c r="C30" s="9" t="n">
        <v>8</v>
      </c>
      <c r="D30" s="16" t="inlineStr">
        <is>
          <t>有効フラグ</t>
        </is>
      </c>
      <c r="E30" s="16" t="inlineStr">
        <is>
          <t>チェック</t>
        </is>
      </c>
      <c r="F30" s="9" t="inlineStr">
        <is>
          <t>入力</t>
        </is>
      </c>
      <c r="G30" s="9" t="inlineStr">
        <is>
          <t>Y</t>
        </is>
      </c>
      <c r="H30" s="16" t="inlineStr"/>
      <c r="I30" s="16" t="inlineStr">
        <is>
          <t>m_customer.is_active</t>
        </is>
      </c>
      <c r="J30" s="16" t="inlineStr">
        <is>
          <t>ON</t>
        </is>
      </c>
      <c r="K30" s="16" t="inlineStr">
        <is>
          <t>無効顧客は受注・出荷不可（P-03/P-05）</t>
        </is>
      </c>
    </row>
    <row r="31">
      <c r="A31" s="9" t="inlineStr">
        <is>
          <t>SCR-14</t>
        </is>
      </c>
      <c r="B31" s="16" t="inlineStr">
        <is>
          <t>保管場所一覧・編集</t>
        </is>
      </c>
      <c r="C31" s="9" t="n">
        <v>1</v>
      </c>
      <c r="D31" s="16" t="inlineStr">
        <is>
          <t>保管場所コード・名称</t>
        </is>
      </c>
      <c r="E31" s="16" t="inlineStr">
        <is>
          <t>テキスト</t>
        </is>
      </c>
      <c r="F31" s="9" t="inlineStr">
        <is>
          <t>入力</t>
        </is>
      </c>
      <c r="G31" s="9" t="inlineStr">
        <is>
          <t>Y</t>
        </is>
      </c>
      <c r="H31" s="16" t="inlineStr">
        <is>
          <t>20/50</t>
        </is>
      </c>
      <c r="I31" s="16" t="inlineStr">
        <is>
          <t>m_location.location_code</t>
        </is>
      </c>
      <c r="J31" s="16" t="inlineStr"/>
      <c r="K31" s="16" t="inlineStr">
        <is>
          <t>コードは一意</t>
        </is>
      </c>
    </row>
    <row r="32">
      <c r="A32" s="9" t="inlineStr">
        <is>
          <t>SCR-14</t>
        </is>
      </c>
      <c r="B32" s="16" t="inlineStr">
        <is>
          <t>保管場所一覧・編集</t>
        </is>
      </c>
      <c r="C32" s="9" t="n">
        <v>2</v>
      </c>
      <c r="D32" s="16" t="inlineStr">
        <is>
          <t>保管温度区分</t>
        </is>
      </c>
      <c r="E32" s="16" t="inlineStr">
        <is>
          <t>選択</t>
        </is>
      </c>
      <c r="F32" s="9" t="inlineStr">
        <is>
          <t>入力</t>
        </is>
      </c>
      <c r="G32" s="9" t="inlineStr">
        <is>
          <t>Y</t>
        </is>
      </c>
      <c r="H32" s="16" t="inlineStr">
        <is>
          <t>コード定義</t>
        </is>
      </c>
      <c r="I32" s="16" t="inlineStr">
        <is>
          <t>m_location.storage_class</t>
        </is>
      </c>
      <c r="J32" s="16" t="inlineStr"/>
      <c r="K32" s="16" t="inlineStr"/>
    </row>
    <row r="33">
      <c r="A33" s="9" t="inlineStr">
        <is>
          <t>SCR-14</t>
        </is>
      </c>
      <c r="B33" s="16" t="inlineStr">
        <is>
          <t>保管場所一覧・編集</t>
        </is>
      </c>
      <c r="C33" s="9" t="n">
        <v>3</v>
      </c>
      <c r="D33" s="16" t="inlineStr">
        <is>
          <t>許容温度下限・上限（℃）</t>
        </is>
      </c>
      <c r="E33" s="16" t="inlineStr">
        <is>
          <t>数値</t>
        </is>
      </c>
      <c r="F33" s="9" t="inlineStr">
        <is>
          <t>入力</t>
        </is>
      </c>
      <c r="G33" s="9" t="inlineStr">
        <is>
          <t>Y</t>
        </is>
      </c>
      <c r="H33" s="16" t="inlineStr">
        <is>
          <t>5,1</t>
        </is>
      </c>
      <c r="I33" s="16" t="inlineStr">
        <is>
          <t>m_location.temp_min</t>
        </is>
      </c>
      <c r="J33" s="16" t="inlineStr">
        <is>
          <t>区分の許容例</t>
        </is>
      </c>
      <c r="K33" s="16" t="inlineStr">
        <is>
          <t>下限 &lt; 上限。温度逸脱判定（BR-07）</t>
        </is>
      </c>
    </row>
    <row r="34">
      <c r="A34" s="9" t="inlineStr">
        <is>
          <t>SCR-14</t>
        </is>
      </c>
      <c r="B34" s="16" t="inlineStr">
        <is>
          <t>保管場所一覧・編集</t>
        </is>
      </c>
      <c r="C34" s="9" t="n">
        <v>4</v>
      </c>
      <c r="D34" s="16" t="inlineStr">
        <is>
          <t>隔離保管フラグ</t>
        </is>
      </c>
      <c r="E34" s="16" t="inlineStr">
        <is>
          <t>チェック</t>
        </is>
      </c>
      <c r="F34" s="9" t="inlineStr">
        <is>
          <t>入力</t>
        </is>
      </c>
      <c r="G34" s="9" t="inlineStr">
        <is>
          <t>Y</t>
        </is>
      </c>
      <c r="H34" s="16" t="inlineStr"/>
      <c r="I34" s="16" t="inlineStr">
        <is>
          <t>m_location.is_quarantine</t>
        </is>
      </c>
      <c r="J34" s="16" t="inlineStr">
        <is>
          <t>OFF</t>
        </is>
      </c>
      <c r="K34" s="16" t="inlineStr">
        <is>
          <t>返品・分納受入待ち用。引当対象外（BR-04/BR-20）</t>
        </is>
      </c>
    </row>
    <row r="35">
      <c r="A35" s="9" t="inlineStr">
        <is>
          <t>SCR-14</t>
        </is>
      </c>
      <c r="B35" s="16" t="inlineStr">
        <is>
          <t>保管場所一覧・編集</t>
        </is>
      </c>
      <c r="C35" s="9" t="n">
        <v>5</v>
      </c>
      <c r="D35" s="16" t="inlineStr">
        <is>
          <t>有効フラグ</t>
        </is>
      </c>
      <c r="E35" s="16" t="inlineStr">
        <is>
          <t>チェック</t>
        </is>
      </c>
      <c r="F35" s="9" t="inlineStr">
        <is>
          <t>入力</t>
        </is>
      </c>
      <c r="G35" s="9" t="inlineStr">
        <is>
          <t>Y</t>
        </is>
      </c>
      <c r="H35" s="16" t="inlineStr"/>
      <c r="I35" s="16" t="inlineStr">
        <is>
          <t>m_location.is_active</t>
        </is>
      </c>
      <c r="J35" s="16" t="inlineStr">
        <is>
          <t>ON</t>
        </is>
      </c>
      <c r="K35" s="16" t="inlineStr">
        <is>
          <t>在庫がある場所は無効化不可</t>
        </is>
      </c>
    </row>
    <row r="36">
      <c r="A36" s="9" t="inlineStr">
        <is>
          <t>SCR-15</t>
        </is>
      </c>
      <c r="B36" s="16" t="inlineStr">
        <is>
          <t>ユーザー管理</t>
        </is>
      </c>
      <c r="C36" s="9" t="n">
        <v>1</v>
      </c>
      <c r="D36" s="16" t="inlineStr">
        <is>
          <t>メール（ログインID）・氏名</t>
        </is>
      </c>
      <c r="E36" s="16" t="inlineStr">
        <is>
          <t>テキスト</t>
        </is>
      </c>
      <c r="F36" s="9" t="inlineStr">
        <is>
          <t>入力</t>
        </is>
      </c>
      <c r="G36" s="9" t="inlineStr">
        <is>
          <t>Y</t>
        </is>
      </c>
      <c r="H36" s="16" t="inlineStr">
        <is>
          <t>254/50</t>
        </is>
      </c>
      <c r="I36" s="16" t="inlineStr">
        <is>
          <t>m_user.email</t>
        </is>
      </c>
      <c r="J36" s="16" t="inlineStr"/>
      <c r="K36" s="16" t="inlineStr">
        <is>
          <t>メールは一意</t>
        </is>
      </c>
    </row>
    <row r="37">
      <c r="A37" s="9" t="inlineStr">
        <is>
          <t>SCR-15</t>
        </is>
      </c>
      <c r="B37" s="16" t="inlineStr">
        <is>
          <t>ユーザー管理</t>
        </is>
      </c>
      <c r="C37" s="9" t="n">
        <v>2</v>
      </c>
      <c r="D37" s="16" t="inlineStr">
        <is>
          <t>ロール</t>
        </is>
      </c>
      <c r="E37" s="16" t="inlineStr">
        <is>
          <t>選択</t>
        </is>
      </c>
      <c r="F37" s="9" t="inlineStr">
        <is>
          <t>入力</t>
        </is>
      </c>
      <c r="G37" s="9" t="inlineStr">
        <is>
          <t>Y</t>
        </is>
      </c>
      <c r="H37" s="16" t="inlineStr">
        <is>
          <t>コード定義</t>
        </is>
      </c>
      <c r="I37" s="16" t="inlineStr">
        <is>
          <t>m_user.role</t>
        </is>
      </c>
      <c r="J37" s="16" t="inlineStr"/>
      <c r="K37" s="16" t="inlineStr">
        <is>
          <t>権限マトリクス参照</t>
        </is>
      </c>
    </row>
    <row r="38">
      <c r="A38" s="9" t="inlineStr">
        <is>
          <t>SCR-15</t>
        </is>
      </c>
      <c r="B38" s="16" t="inlineStr">
        <is>
          <t>ユーザー管理</t>
        </is>
      </c>
      <c r="C38" s="9" t="n">
        <v>3</v>
      </c>
      <c r="D38" s="16" t="inlineStr">
        <is>
          <t>有効フラグ</t>
        </is>
      </c>
      <c r="E38" s="16" t="inlineStr">
        <is>
          <t>チェック</t>
        </is>
      </c>
      <c r="F38" s="9" t="inlineStr">
        <is>
          <t>入力</t>
        </is>
      </c>
      <c r="G38" s="9" t="inlineStr">
        <is>
          <t>Y</t>
        </is>
      </c>
      <c r="H38" s="16" t="inlineStr"/>
      <c r="I38" s="16" t="inlineStr">
        <is>
          <t>m_user.is_active</t>
        </is>
      </c>
      <c r="J38" s="16" t="inlineStr">
        <is>
          <t>ON</t>
        </is>
      </c>
      <c r="K38" s="16" t="inlineStr">
        <is>
          <t>停止で即時ログイン不可</t>
        </is>
      </c>
    </row>
    <row r="39">
      <c r="A39" s="9" t="inlineStr">
        <is>
          <t>SCR-15</t>
        </is>
      </c>
      <c r="B39" s="16" t="inlineStr">
        <is>
          <t>ユーザー管理</t>
        </is>
      </c>
      <c r="C39" s="9" t="n">
        <v>4</v>
      </c>
      <c r="D39" s="16" t="inlineStr">
        <is>
          <t>2要素認証リセット／ロック解除ボタン</t>
        </is>
      </c>
      <c r="E39" s="16" t="inlineStr">
        <is>
          <t>ボタン</t>
        </is>
      </c>
      <c r="F39" s="9" t="inlineStr">
        <is>
          <t>—</t>
        </is>
      </c>
      <c r="G39" s="9" t="inlineStr"/>
      <c r="H39" s="16" t="inlineStr"/>
      <c r="I39" s="16" t="inlineStr">
        <is>
          <t>m_user.failed_login_count</t>
        </is>
      </c>
      <c r="J39" s="16" t="inlineStr"/>
      <c r="K39" s="16" t="inlineStr">
        <is>
          <t>ADMINのみ。監査ログ記録</t>
        </is>
      </c>
    </row>
    <row r="40">
      <c r="A40" s="9" t="inlineStr">
        <is>
          <t>SCR-16</t>
        </is>
      </c>
      <c r="B40" s="16" t="inlineStr">
        <is>
          <t>販売可否ルール</t>
        </is>
      </c>
      <c r="C40" s="9" t="n">
        <v>1</v>
      </c>
      <c r="D40" s="16" t="inlineStr">
        <is>
          <t>販売可否マトリクス</t>
        </is>
      </c>
      <c r="E40" s="16" t="inlineStr">
        <is>
          <t>マトリクス（チェック）</t>
        </is>
      </c>
      <c r="F40" s="9" t="inlineStr">
        <is>
          <t>入出力</t>
        </is>
      </c>
      <c r="G40" s="9" t="inlineStr"/>
      <c r="H40" s="16" t="inlineStr">
        <is>
          <t>規制区分×顧客区分</t>
        </is>
      </c>
      <c r="I40" s="16" t="inlineStr">
        <is>
          <t>m_sales_rule.allowed</t>
        </is>
      </c>
      <c r="J40" s="16" t="inlineStr">
        <is>
          <t>全て不可</t>
        </is>
      </c>
      <c r="K40" s="16" t="inlineStr">
        <is>
          <t>ADMIN が編集し QA が承認して有効化。変更は監査ログ記録</t>
        </is>
      </c>
    </row>
    <row r="41">
      <c r="A41" s="9" t="inlineStr">
        <is>
          <t>SCR-22</t>
        </is>
      </c>
      <c r="B41" s="16" t="inlineStr">
        <is>
          <t>入荷登録</t>
        </is>
      </c>
      <c r="C41" s="9" t="n">
        <v>1</v>
      </c>
      <c r="D41" s="16" t="inlineStr">
        <is>
          <t>発注番号</t>
        </is>
      </c>
      <c r="E41" s="16" t="inlineStr">
        <is>
          <t>検索選択</t>
        </is>
      </c>
      <c r="F41" s="9" t="inlineStr">
        <is>
          <t>入力</t>
        </is>
      </c>
      <c r="G41" s="9" t="inlineStr"/>
      <c r="H41" s="16" t="inlineStr"/>
      <c r="I41" s="16" t="inlineStr">
        <is>
          <t>t_receipt.purchase_order_id</t>
        </is>
      </c>
      <c r="J41" s="16" t="inlineStr"/>
      <c r="K41" s="16" t="inlineStr">
        <is>
          <t>APPROVED/PARTIAL の発注のみ選択可。選択で明細を展開</t>
        </is>
      </c>
    </row>
    <row r="42">
      <c r="A42" s="9" t="inlineStr">
        <is>
          <t>SCR-22</t>
        </is>
      </c>
      <c r="B42" s="16" t="inlineStr">
        <is>
          <t>入荷登録</t>
        </is>
      </c>
      <c r="C42" s="9" t="n">
        <v>2</v>
      </c>
      <c r="D42" s="16" t="inlineStr">
        <is>
          <t>仕入先</t>
        </is>
      </c>
      <c r="E42" s="16" t="inlineStr">
        <is>
          <t>選択</t>
        </is>
      </c>
      <c r="F42" s="9" t="inlineStr">
        <is>
          <t>入力</t>
        </is>
      </c>
      <c r="G42" s="9" t="inlineStr">
        <is>
          <t>Y</t>
        </is>
      </c>
      <c r="H42" s="16" t="inlineStr"/>
      <c r="I42" s="16" t="inlineStr">
        <is>
          <t>t_receipt.supplier_id</t>
        </is>
      </c>
      <c r="J42" s="16" t="inlineStr">
        <is>
          <t>発注の仕入先</t>
        </is>
      </c>
      <c r="K42" s="16" t="inlineStr">
        <is>
          <t>発注選択時は変更不可</t>
        </is>
      </c>
    </row>
    <row r="43">
      <c r="A43" s="9" t="inlineStr">
        <is>
          <t>SCR-22</t>
        </is>
      </c>
      <c r="B43" s="16" t="inlineStr">
        <is>
          <t>入荷登録</t>
        </is>
      </c>
      <c r="C43" s="9" t="n">
        <v>3</v>
      </c>
      <c r="D43" s="16" t="inlineStr">
        <is>
          <t>入荷日</t>
        </is>
      </c>
      <c r="E43" s="16" t="inlineStr">
        <is>
          <t>日付</t>
        </is>
      </c>
      <c r="F43" s="9" t="inlineStr">
        <is>
          <t>入力</t>
        </is>
      </c>
      <c r="G43" s="9" t="inlineStr">
        <is>
          <t>Y</t>
        </is>
      </c>
      <c r="H43" s="16" t="inlineStr">
        <is>
          <t>YYYY-MM-DD</t>
        </is>
      </c>
      <c r="I43" s="16" t="inlineStr">
        <is>
          <t>t_receipt.receipt_date</t>
        </is>
      </c>
      <c r="J43" s="16" t="inlineStr">
        <is>
          <t>当日</t>
        </is>
      </c>
      <c r="K43" s="16" t="inlineStr">
        <is>
          <t>未来日不可（MSG-E22）</t>
        </is>
      </c>
    </row>
    <row r="44">
      <c r="A44" s="9" t="inlineStr">
        <is>
          <t>SCR-22</t>
        </is>
      </c>
      <c r="B44" s="16" t="inlineStr">
        <is>
          <t>入荷登録</t>
        </is>
      </c>
      <c r="C44" s="9" t="n">
        <v>4</v>
      </c>
      <c r="D44" s="16" t="inlineStr">
        <is>
          <t>到着時温度（℃）</t>
        </is>
      </c>
      <c r="E44" s="16" t="inlineStr">
        <is>
          <t>数値</t>
        </is>
      </c>
      <c r="F44" s="9" t="inlineStr">
        <is>
          <t>入力</t>
        </is>
      </c>
      <c r="G44" s="9" t="inlineStr"/>
      <c r="H44" s="16" t="inlineStr">
        <is>
          <t>5,1</t>
        </is>
      </c>
      <c r="I44" s="16" t="inlineStr">
        <is>
          <t>t_receipt_line.arrival_temp</t>
        </is>
      </c>
      <c r="J44" s="16" t="inlineStr"/>
      <c r="K44" s="16" t="inlineStr">
        <is>
          <t>明細ごと。保管温度区分の許容範囲外なら警告（MSG-W01）</t>
        </is>
      </c>
    </row>
    <row r="45">
      <c r="A45" s="9" t="inlineStr">
        <is>
          <t>SCR-22</t>
        </is>
      </c>
      <c r="B45" s="16" t="inlineStr">
        <is>
          <t>入荷登録</t>
        </is>
      </c>
      <c r="C45" s="9" t="n">
        <v>5</v>
      </c>
      <c r="D45" s="16" t="inlineStr">
        <is>
          <t>商品</t>
        </is>
      </c>
      <c r="E45" s="16" t="inlineStr">
        <is>
          <t>選択</t>
        </is>
      </c>
      <c r="F45" s="9" t="inlineStr">
        <is>
          <t>入力</t>
        </is>
      </c>
      <c r="G45" s="9" t="inlineStr">
        <is>
          <t>Y</t>
        </is>
      </c>
      <c r="H45" s="16" t="inlineStr"/>
      <c r="I45" s="16" t="inlineStr">
        <is>
          <t>t_receipt_line.product_id</t>
        </is>
      </c>
      <c r="J45" s="16" t="inlineStr">
        <is>
          <t>発注明細</t>
        </is>
      </c>
      <c r="K45" s="16" t="inlineStr">
        <is>
          <t>明細行</t>
        </is>
      </c>
    </row>
    <row r="46">
      <c r="A46" s="9" t="inlineStr">
        <is>
          <t>SCR-22</t>
        </is>
      </c>
      <c r="B46" s="16" t="inlineStr">
        <is>
          <t>入荷登録</t>
        </is>
      </c>
      <c r="C46" s="9" t="n">
        <v>6</v>
      </c>
      <c r="D46" s="16" t="inlineStr">
        <is>
          <t>仕入先ロット番号</t>
        </is>
      </c>
      <c r="E46" s="16" t="inlineStr">
        <is>
          <t>テキスト</t>
        </is>
      </c>
      <c r="F46" s="9" t="inlineStr">
        <is>
          <t>入力</t>
        </is>
      </c>
      <c r="G46" s="9" t="inlineStr">
        <is>
          <t>Y</t>
        </is>
      </c>
      <c r="H46" s="16" t="inlineStr">
        <is>
          <t>50</t>
        </is>
      </c>
      <c r="I46" s="16" t="inlineStr">
        <is>
          <t>t_receipt_line.supplier_lot_no</t>
        </is>
      </c>
      <c r="J46" s="16" t="inlineStr"/>
      <c r="K46" s="16" t="inlineStr">
        <is>
          <t>既存ロットがあれば「分納」と表示し使用期限を自動表示（BR-15、MSG-E05）</t>
        </is>
      </c>
    </row>
    <row r="47">
      <c r="A47" s="9" t="inlineStr">
        <is>
          <t>SCR-22</t>
        </is>
      </c>
      <c r="B47" s="16" t="inlineStr">
        <is>
          <t>入荷登録</t>
        </is>
      </c>
      <c r="C47" s="9" t="n">
        <v>7</v>
      </c>
      <c r="D47" s="16" t="inlineStr">
        <is>
          <t>製造日</t>
        </is>
      </c>
      <c r="E47" s="16" t="inlineStr">
        <is>
          <t>日付</t>
        </is>
      </c>
      <c r="F47" s="9" t="inlineStr">
        <is>
          <t>入力</t>
        </is>
      </c>
      <c r="G47" s="9" t="inlineStr"/>
      <c r="H47" s="16" t="inlineStr">
        <is>
          <t>YYYY-MM-DD</t>
        </is>
      </c>
      <c r="I47" s="16" t="inlineStr">
        <is>
          <t>t_receipt_line.manufactured_on</t>
        </is>
      </c>
      <c r="J47" s="16" t="inlineStr"/>
      <c r="K47" s="16" t="inlineStr">
        <is>
          <t>入荷日以前（MSG-E22）</t>
        </is>
      </c>
    </row>
    <row r="48">
      <c r="A48" s="9" t="inlineStr">
        <is>
          <t>SCR-22</t>
        </is>
      </c>
      <c r="B48" s="16" t="inlineStr">
        <is>
          <t>入荷登録</t>
        </is>
      </c>
      <c r="C48" s="9" t="n">
        <v>8</v>
      </c>
      <c r="D48" s="16" t="inlineStr">
        <is>
          <t>使用期限</t>
        </is>
      </c>
      <c r="E48" s="16" t="inlineStr">
        <is>
          <t>日付</t>
        </is>
      </c>
      <c r="F48" s="9" t="inlineStr">
        <is>
          <t>入力</t>
        </is>
      </c>
      <c r="G48" s="9" t="inlineStr">
        <is>
          <t>Y</t>
        </is>
      </c>
      <c r="H48" s="16" t="inlineStr">
        <is>
          <t>YYYY-MM-DD</t>
        </is>
      </c>
      <c r="I48" s="16" t="inlineStr">
        <is>
          <t>t_receipt_line.expires_on</t>
        </is>
      </c>
      <c r="J48" s="16" t="inlineStr">
        <is>
          <t>製造日＋有効期間</t>
        </is>
      </c>
      <c r="K48" s="16" t="inlineStr">
        <is>
          <t>入荷日より後（MSG-E06）</t>
        </is>
      </c>
    </row>
    <row r="49">
      <c r="A49" s="9" t="inlineStr">
        <is>
          <t>SCR-22</t>
        </is>
      </c>
      <c r="B49" s="16" t="inlineStr">
        <is>
          <t>入荷登録</t>
        </is>
      </c>
      <c r="C49" s="9" t="n">
        <v>9</v>
      </c>
      <c r="D49" s="16" t="inlineStr">
        <is>
          <t>入荷数量</t>
        </is>
      </c>
      <c r="E49" s="16" t="inlineStr">
        <is>
          <t>数値</t>
        </is>
      </c>
      <c r="F49" s="9" t="inlineStr">
        <is>
          <t>入力</t>
        </is>
      </c>
      <c r="G49" s="9" t="inlineStr">
        <is>
          <t>Y</t>
        </is>
      </c>
      <c r="H49" s="16" t="inlineStr">
        <is>
          <t>整数</t>
        </is>
      </c>
      <c r="I49" s="16" t="inlineStr">
        <is>
          <t>t_receipt_line.quantity</t>
        </is>
      </c>
      <c r="J49" s="16" t="inlineStr">
        <is>
          <t>発注残数</t>
        </is>
      </c>
      <c r="K49" s="16" t="inlineStr">
        <is>
          <t>1以上。発注残超過は警告（MSG-W02）</t>
        </is>
      </c>
    </row>
    <row r="50">
      <c r="A50" s="9" t="inlineStr">
        <is>
          <t>SCR-22</t>
        </is>
      </c>
      <c r="B50" s="16" t="inlineStr">
        <is>
          <t>入荷登録</t>
        </is>
      </c>
      <c r="C50" s="9" t="n">
        <v>10</v>
      </c>
      <c r="D50" s="16" t="inlineStr">
        <is>
          <t>仕入単価（円）</t>
        </is>
      </c>
      <c r="E50" s="16" t="inlineStr">
        <is>
          <t>数値</t>
        </is>
      </c>
      <c r="F50" s="9" t="inlineStr">
        <is>
          <t>入力</t>
        </is>
      </c>
      <c r="G50" s="9" t="inlineStr">
        <is>
          <t>Y</t>
        </is>
      </c>
      <c r="H50" s="16" t="inlineStr">
        <is>
          <t>12,2</t>
        </is>
      </c>
      <c r="I50" s="16" t="inlineStr">
        <is>
          <t>t_receipt_line.unit_price</t>
        </is>
      </c>
      <c r="J50" s="16" t="inlineStr">
        <is>
          <t>発注単価</t>
        </is>
      </c>
      <c r="K50" s="16" t="inlineStr">
        <is>
          <t>0以上</t>
        </is>
      </c>
    </row>
    <row r="51">
      <c r="A51" s="9" t="inlineStr">
        <is>
          <t>SCR-22</t>
        </is>
      </c>
      <c r="B51" s="16" t="inlineStr">
        <is>
          <t>入荷登録</t>
        </is>
      </c>
      <c r="C51" s="9" t="n">
        <v>11</v>
      </c>
      <c r="D51" s="16" t="inlineStr">
        <is>
          <t>入庫保管場所</t>
        </is>
      </c>
      <c r="E51" s="16" t="inlineStr">
        <is>
          <t>選択</t>
        </is>
      </c>
      <c r="F51" s="9" t="inlineStr">
        <is>
          <t>入力</t>
        </is>
      </c>
      <c r="G51" s="9" t="inlineStr">
        <is>
          <t>Y</t>
        </is>
      </c>
      <c r="H51" s="16" t="inlineStr"/>
      <c r="I51" s="16" t="inlineStr">
        <is>
          <t>t_receipt_line.location_id</t>
        </is>
      </c>
      <c r="J51" s="16" t="inlineStr"/>
      <c r="K51" s="16" t="inlineStr">
        <is>
          <t>商品と同一保管温度区分のみ表示（BR-06）</t>
        </is>
      </c>
    </row>
    <row r="52">
      <c r="A52" s="9" t="inlineStr">
        <is>
          <t>SCR-22</t>
        </is>
      </c>
      <c r="B52" s="16" t="inlineStr">
        <is>
          <t>入荷登録</t>
        </is>
      </c>
      <c r="C52" s="9" t="n">
        <v>12</v>
      </c>
      <c r="D52" s="16" t="inlineStr">
        <is>
          <t>社内ロット番号</t>
        </is>
      </c>
      <c r="E52" s="16" t="inlineStr">
        <is>
          <t>ラベル</t>
        </is>
      </c>
      <c r="F52" s="9" t="inlineStr">
        <is>
          <t>出力</t>
        </is>
      </c>
      <c r="G52" s="9" t="inlineStr"/>
      <c r="H52" s="16" t="inlineStr"/>
      <c r="I52" s="16" t="inlineStr">
        <is>
          <t>t_lot.lot_no</t>
        </is>
      </c>
      <c r="J52" s="16" t="inlineStr"/>
      <c r="K52" s="16" t="inlineStr">
        <is>
          <t>確定時に採番して表示</t>
        </is>
      </c>
    </row>
    <row r="53">
      <c r="A53" s="9" t="inlineStr">
        <is>
          <t>SCR-22</t>
        </is>
      </c>
      <c r="B53" s="16" t="inlineStr">
        <is>
          <t>入荷登録</t>
        </is>
      </c>
      <c r="C53" s="9" t="n">
        <v>13</v>
      </c>
      <c r="D53" s="16" t="inlineStr">
        <is>
          <t>確定ボタン</t>
        </is>
      </c>
      <c r="E53" s="16" t="inlineStr">
        <is>
          <t>ボタン</t>
        </is>
      </c>
      <c r="F53" s="9" t="inlineStr">
        <is>
          <t>—</t>
        </is>
      </c>
      <c r="G53" s="9" t="inlineStr"/>
      <c r="H53" s="16" t="inlineStr"/>
      <c r="I53" s="16" t="inlineStr"/>
      <c r="J53" s="16" t="inlineStr"/>
      <c r="K53" s="16" t="inlineStr">
        <is>
          <t>処理詳細 P-01 を実行</t>
        </is>
      </c>
    </row>
    <row r="54">
      <c r="A54" s="9" t="inlineStr">
        <is>
          <t>SCR-22</t>
        </is>
      </c>
      <c r="B54" s="16" t="inlineStr">
        <is>
          <t>入荷登録</t>
        </is>
      </c>
      <c r="C54" s="9" t="n">
        <v>14</v>
      </c>
      <c r="D54" s="16" t="inlineStr">
        <is>
          <t>入荷取消ボタン</t>
        </is>
      </c>
      <c r="E54" s="16" t="inlineStr">
        <is>
          <t>ボタン</t>
        </is>
      </c>
      <c r="F54" s="9" t="inlineStr">
        <is>
          <t>—</t>
        </is>
      </c>
      <c r="G54" s="9" t="inlineStr"/>
      <c r="H54" s="16" t="inlineStr"/>
      <c r="I54" s="16" t="inlineStr"/>
      <c r="J54" s="16" t="inlineStr"/>
      <c r="K54" s="16" t="inlineStr">
        <is>
          <t>ADMINのみ。CONFIRMED で有効。処理詳細 P-12</t>
        </is>
      </c>
    </row>
    <row r="55">
      <c r="A55" s="9" t="inlineStr">
        <is>
          <t>SCR-22</t>
        </is>
      </c>
      <c r="B55" s="16" t="inlineStr">
        <is>
          <t>入荷登録</t>
        </is>
      </c>
      <c r="C55" s="9" t="n">
        <v>15</v>
      </c>
      <c r="D55" s="16" t="inlineStr">
        <is>
          <t>下書き破棄ボタン</t>
        </is>
      </c>
      <c r="E55" s="16" t="inlineStr">
        <is>
          <t>ボタン</t>
        </is>
      </c>
      <c r="F55" s="9" t="inlineStr">
        <is>
          <t>—</t>
        </is>
      </c>
      <c r="G55" s="9" t="inlineStr"/>
      <c r="H55" s="16" t="inlineStr"/>
      <c r="I55" s="16" t="inlineStr"/>
      <c r="J55" s="16" t="inlineStr"/>
      <c r="K55" s="16" t="inlineStr">
        <is>
          <t>DRAFT で有効。処理詳細 P-20</t>
        </is>
      </c>
    </row>
    <row r="56">
      <c r="A56" s="9" t="inlineStr">
        <is>
          <t>SCR-23</t>
        </is>
      </c>
      <c r="B56" s="16" t="inlineStr">
        <is>
          <t>受入検品</t>
        </is>
      </c>
      <c r="C56" s="9" t="n">
        <v>1</v>
      </c>
      <c r="D56" s="16" t="inlineStr">
        <is>
          <t>検品待ちロット一覧</t>
        </is>
      </c>
      <c r="E56" s="16" t="inlineStr">
        <is>
          <t>一覧</t>
        </is>
      </c>
      <c r="F56" s="9" t="inlineStr">
        <is>
          <t>出力</t>
        </is>
      </c>
      <c r="G56" s="9" t="inlineStr"/>
      <c r="H56" s="16" t="inlineStr"/>
      <c r="I56" s="16" t="inlineStr">
        <is>
          <t>t_lot (status=QUARANTINE)</t>
        </is>
      </c>
      <c r="J56" s="16" t="inlineStr"/>
      <c r="K56" s="16" t="inlineStr">
        <is>
          <t>初回入荷日昇順。温度逸脱履歴ありは警告アイコン（MSG-W06）</t>
        </is>
      </c>
    </row>
    <row r="57">
      <c r="A57" s="9" t="inlineStr">
        <is>
          <t>SCR-23</t>
        </is>
      </c>
      <c r="B57" s="16" t="inlineStr">
        <is>
          <t>受入検品</t>
        </is>
      </c>
      <c r="C57" s="9" t="n">
        <v>2</v>
      </c>
      <c r="D57" s="16" t="inlineStr">
        <is>
          <t>COA添付</t>
        </is>
      </c>
      <c r="E57" s="16" t="inlineStr">
        <is>
          <t>ファイル</t>
        </is>
      </c>
      <c r="F57" s="9" t="inlineStr">
        <is>
          <t>入力</t>
        </is>
      </c>
      <c r="G57" s="9" t="inlineStr">
        <is>
          <t>合格時Y</t>
        </is>
      </c>
      <c r="H57" s="16" t="inlineStr">
        <is>
          <t>PDF/画像 10MB以下</t>
        </is>
      </c>
      <c r="I57" s="16" t="inlineStr">
        <is>
          <t>t_attachment</t>
        </is>
      </c>
      <c r="J57" s="16" t="inlineStr"/>
      <c r="K57" s="16" t="inlineStr">
        <is>
          <t>BR-08</t>
        </is>
      </c>
    </row>
    <row r="58">
      <c r="A58" s="9" t="inlineStr">
        <is>
          <t>SCR-23</t>
        </is>
      </c>
      <c r="B58" s="16" t="inlineStr">
        <is>
          <t>受入検品</t>
        </is>
      </c>
      <c r="C58" s="9" t="n">
        <v>3</v>
      </c>
      <c r="D58" s="16" t="inlineStr">
        <is>
          <t>実測粒子濃度（個/mL）</t>
        </is>
      </c>
      <c r="E58" s="16" t="inlineStr">
        <is>
          <t>数値</t>
        </is>
      </c>
      <c r="F58" s="9" t="inlineStr">
        <is>
          <t>入力</t>
        </is>
      </c>
      <c r="G58" s="9" t="inlineStr"/>
      <c r="H58" s="16" t="inlineStr">
        <is>
          <t>20,0</t>
        </is>
      </c>
      <c r="I58" s="16" t="inlineStr">
        <is>
          <t>t_lot.measured_particle_conc</t>
        </is>
      </c>
      <c r="J58" s="16" t="inlineStr"/>
      <c r="K58" s="16" t="inlineStr">
        <is>
          <t>COA記載値</t>
        </is>
      </c>
    </row>
    <row r="59">
      <c r="A59" s="9" t="inlineStr">
        <is>
          <t>SCR-23</t>
        </is>
      </c>
      <c r="B59" s="16" t="inlineStr">
        <is>
          <t>受入検品</t>
        </is>
      </c>
      <c r="C59" s="9" t="n">
        <v>4</v>
      </c>
      <c r="D59" s="16" t="inlineStr">
        <is>
          <t>判定</t>
        </is>
      </c>
      <c r="E59" s="16" t="inlineStr">
        <is>
          <t>ラジオ</t>
        </is>
      </c>
      <c r="F59" s="9" t="inlineStr">
        <is>
          <t>入力</t>
        </is>
      </c>
      <c r="G59" s="9" t="inlineStr">
        <is>
          <t>Y</t>
        </is>
      </c>
      <c r="H59" s="16" t="inlineStr">
        <is>
          <t>合格/不合格/保留</t>
        </is>
      </c>
      <c r="I59" s="16" t="inlineStr">
        <is>
          <t>t_lot.status</t>
        </is>
      </c>
      <c r="J59" s="16" t="inlineStr"/>
      <c r="K59" s="16" t="inlineStr"/>
    </row>
    <row r="60">
      <c r="A60" s="9" t="inlineStr">
        <is>
          <t>SCR-23</t>
        </is>
      </c>
      <c r="B60" s="16" t="inlineStr">
        <is>
          <t>受入検品</t>
        </is>
      </c>
      <c r="C60" s="9" t="n">
        <v>5</v>
      </c>
      <c r="D60" s="16" t="inlineStr">
        <is>
          <t>判定理由</t>
        </is>
      </c>
      <c r="E60" s="16" t="inlineStr">
        <is>
          <t>テキストエリア</t>
        </is>
      </c>
      <c r="F60" s="9" t="inlineStr">
        <is>
          <t>入力</t>
        </is>
      </c>
      <c r="G60" s="9" t="inlineStr">
        <is>
          <t>不合格・保留時Y</t>
        </is>
      </c>
      <c r="H60" s="16" t="inlineStr">
        <is>
          <t>1000</t>
        </is>
      </c>
      <c r="I60" s="16" t="inlineStr">
        <is>
          <t>t_lot.status_reason</t>
        </is>
      </c>
      <c r="J60" s="16" t="inlineStr"/>
      <c r="K60" s="16" t="inlineStr"/>
    </row>
    <row r="61">
      <c r="A61" s="9" t="inlineStr">
        <is>
          <t>SCR-23</t>
        </is>
      </c>
      <c r="B61" s="16" t="inlineStr">
        <is>
          <t>受入検品</t>
        </is>
      </c>
      <c r="C61" s="9" t="n">
        <v>6</v>
      </c>
      <c r="D61" s="16" t="inlineStr">
        <is>
          <t>判定ボタン</t>
        </is>
      </c>
      <c r="E61" s="16" t="inlineStr">
        <is>
          <t>ボタン</t>
        </is>
      </c>
      <c r="F61" s="9" t="inlineStr">
        <is>
          <t>—</t>
        </is>
      </c>
      <c r="G61" s="9" t="inlineStr"/>
      <c r="H61" s="16" t="inlineStr"/>
      <c r="I61" s="16" t="inlineStr"/>
      <c r="J61" s="16" t="inlineStr"/>
      <c r="K61" s="16" t="inlineStr">
        <is>
          <t>処理詳細 P-02 を実行</t>
        </is>
      </c>
    </row>
    <row r="62">
      <c r="A62" s="9" t="inlineStr">
        <is>
          <t>SCR-23</t>
        </is>
      </c>
      <c r="B62" s="16" t="inlineStr">
        <is>
          <t>受入検品</t>
        </is>
      </c>
      <c r="C62" s="9" t="n">
        <v>7</v>
      </c>
      <c r="D62" s="16" t="inlineStr">
        <is>
          <t>分納受入待ち一覧</t>
        </is>
      </c>
      <c r="E62" s="16" t="inlineStr">
        <is>
          <t>一覧</t>
        </is>
      </c>
      <c r="F62" s="9" t="inlineStr">
        <is>
          <t>出力</t>
        </is>
      </c>
      <c r="G62" s="9" t="inlineStr"/>
      <c r="H62" s="16" t="inlineStr"/>
      <c r="I62" s="16" t="inlineStr">
        <is>
          <t>t_receipt_line.split_status</t>
        </is>
      </c>
      <c r="J62" s="16" t="inlineStr"/>
      <c r="K62" s="16" t="inlineStr">
        <is>
          <t>split_status=PENDING の入荷明細（BR-19）。入荷番号・ロット・数量・到着時温度を表示</t>
        </is>
      </c>
    </row>
    <row r="63">
      <c r="A63" s="9" t="inlineStr">
        <is>
          <t>SCR-23</t>
        </is>
      </c>
      <c r="B63" s="16" t="inlineStr">
        <is>
          <t>受入検品</t>
        </is>
      </c>
      <c r="C63" s="9" t="n">
        <v>8</v>
      </c>
      <c r="D63" s="16" t="inlineStr">
        <is>
          <t>分納判定</t>
        </is>
      </c>
      <c r="E63" s="16" t="inlineStr">
        <is>
          <t>ラジオ</t>
        </is>
      </c>
      <c r="F63" s="9" t="inlineStr">
        <is>
          <t>入力</t>
        </is>
      </c>
      <c r="G63" s="9" t="inlineStr">
        <is>
          <t>Y</t>
        </is>
      </c>
      <c r="H63" s="16" t="inlineStr">
        <is>
          <t>合格/廃棄/仕入先返品</t>
        </is>
      </c>
      <c r="I63" s="16" t="inlineStr">
        <is>
          <t>t_stock_movement.movement_type</t>
        </is>
      </c>
      <c r="J63" s="16" t="inlineStr"/>
      <c r="K63" s="16" t="inlineStr">
        <is>
          <t>合格は移動先保管場所を選択。処理詳細 P-16</t>
        </is>
      </c>
    </row>
    <row r="64">
      <c r="A64" s="9" t="inlineStr">
        <is>
          <t>SCR-31</t>
        </is>
      </c>
      <c r="B64" s="16" t="inlineStr">
        <is>
          <t>ロット一覧</t>
        </is>
      </c>
      <c r="C64" s="9" t="n">
        <v>1</v>
      </c>
      <c r="D64" s="16" t="inlineStr">
        <is>
          <t>商品</t>
        </is>
      </c>
      <c r="E64" s="16" t="inlineStr">
        <is>
          <t>検索選択</t>
        </is>
      </c>
      <c r="F64" s="9" t="inlineStr">
        <is>
          <t>入力</t>
        </is>
      </c>
      <c r="G64" s="9" t="inlineStr"/>
      <c r="H64" s="16" t="inlineStr"/>
      <c r="I64" s="16" t="inlineStr">
        <is>
          <t>t_lot.product_id</t>
        </is>
      </c>
      <c r="J64" s="16" t="inlineStr"/>
      <c r="K64" s="16" t="inlineStr">
        <is>
          <t>検索条件</t>
        </is>
      </c>
    </row>
    <row r="65">
      <c r="A65" s="9" t="inlineStr">
        <is>
          <t>SCR-31</t>
        </is>
      </c>
      <c r="B65" s="16" t="inlineStr">
        <is>
          <t>ロット一覧</t>
        </is>
      </c>
      <c r="C65" s="9" t="n">
        <v>2</v>
      </c>
      <c r="D65" s="16" t="inlineStr">
        <is>
          <t>ロット番号</t>
        </is>
      </c>
      <c r="E65" s="16" t="inlineStr">
        <is>
          <t>テキスト</t>
        </is>
      </c>
      <c r="F65" s="9" t="inlineStr">
        <is>
          <t>入力</t>
        </is>
      </c>
      <c r="G65" s="9" t="inlineStr"/>
      <c r="H65" s="16" t="inlineStr">
        <is>
          <t>30</t>
        </is>
      </c>
      <c r="I65" s="16" t="inlineStr">
        <is>
          <t>t_lot.lot_no</t>
        </is>
      </c>
      <c r="J65" s="16" t="inlineStr"/>
      <c r="K65" s="16" t="inlineStr">
        <is>
          <t>社内・仕入先ロット番号の部分一致</t>
        </is>
      </c>
    </row>
    <row r="66">
      <c r="A66" s="9" t="inlineStr">
        <is>
          <t>SCR-31</t>
        </is>
      </c>
      <c r="B66" s="16" t="inlineStr">
        <is>
          <t>ロット一覧</t>
        </is>
      </c>
      <c r="C66" s="9" t="n">
        <v>3</v>
      </c>
      <c r="D66" s="16" t="inlineStr">
        <is>
          <t>ステータス</t>
        </is>
      </c>
      <c r="E66" s="16" t="inlineStr">
        <is>
          <t>複数選択</t>
        </is>
      </c>
      <c r="F66" s="9" t="inlineStr">
        <is>
          <t>入力</t>
        </is>
      </c>
      <c r="G66" s="9" t="inlineStr"/>
      <c r="H66" s="16" t="inlineStr"/>
      <c r="I66" s="16" t="inlineStr">
        <is>
          <t>t_lot.status</t>
        </is>
      </c>
      <c r="J66" s="16" t="inlineStr">
        <is>
          <t>VOID以外</t>
        </is>
      </c>
      <c r="K66" s="16" t="inlineStr">
        <is>
          <t>検索条件</t>
        </is>
      </c>
    </row>
    <row r="67">
      <c r="A67" s="9" t="inlineStr">
        <is>
          <t>SCR-31</t>
        </is>
      </c>
      <c r="B67" s="16" t="inlineStr">
        <is>
          <t>ロット一覧</t>
        </is>
      </c>
      <c r="C67" s="9" t="n">
        <v>4</v>
      </c>
      <c r="D67" s="16" t="inlineStr">
        <is>
          <t>使用期限（範囲）</t>
        </is>
      </c>
      <c r="E67" s="16" t="inlineStr">
        <is>
          <t>日付範囲</t>
        </is>
      </c>
      <c r="F67" s="9" t="inlineStr">
        <is>
          <t>入力</t>
        </is>
      </c>
      <c r="G67" s="9" t="inlineStr"/>
      <c r="H67" s="16" t="inlineStr">
        <is>
          <t>YYYY-MM-DD</t>
        </is>
      </c>
      <c r="I67" s="16" t="inlineStr">
        <is>
          <t>t_lot.expires_on</t>
        </is>
      </c>
      <c r="J67" s="16" t="inlineStr"/>
      <c r="K67" s="16" t="inlineStr">
        <is>
          <t>検索条件</t>
        </is>
      </c>
    </row>
    <row r="68">
      <c r="A68" s="9" t="inlineStr">
        <is>
          <t>SCR-31</t>
        </is>
      </c>
      <c r="B68" s="16" t="inlineStr">
        <is>
          <t>ロット一覧</t>
        </is>
      </c>
      <c r="C68" s="9" t="n">
        <v>5</v>
      </c>
      <c r="D68" s="16" t="inlineStr">
        <is>
          <t>検索結果</t>
        </is>
      </c>
      <c r="E68" s="16" t="inlineStr">
        <is>
          <t>一覧</t>
        </is>
      </c>
      <c r="F68" s="9" t="inlineStr">
        <is>
          <t>出力</t>
        </is>
      </c>
      <c r="G68" s="9" t="inlineStr"/>
      <c r="H68" s="16" t="inlineStr"/>
      <c r="I68" s="16" t="inlineStr">
        <is>
          <t>t_lot, m_product, t_inventory</t>
        </is>
      </c>
      <c r="J68" s="16" t="inlineStr"/>
      <c r="K68" s="16" t="inlineStr">
        <is>
          <t>ロット番号・商品・使用期限・残日数・ステータス・現在庫合計。行クリックで SCR-32</t>
        </is>
      </c>
    </row>
    <row r="69">
      <c r="A69" s="9" t="inlineStr">
        <is>
          <t>SCR-31</t>
        </is>
      </c>
      <c r="B69" s="16" t="inlineStr">
        <is>
          <t>ロット一覧</t>
        </is>
      </c>
      <c r="C69" s="9" t="n">
        <v>6</v>
      </c>
      <c r="D69" s="16" t="inlineStr">
        <is>
          <t>CSV出力ボタン</t>
        </is>
      </c>
      <c r="E69" s="16" t="inlineStr">
        <is>
          <t>ボタン</t>
        </is>
      </c>
      <c r="F69" s="9" t="inlineStr">
        <is>
          <t>—</t>
        </is>
      </c>
      <c r="G69" s="9" t="inlineStr"/>
      <c r="H69" s="16" t="inlineStr"/>
      <c r="I69" s="16" t="inlineStr"/>
      <c r="J69" s="16" t="inlineStr"/>
      <c r="K69" s="16" t="inlineStr">
        <is>
          <t>監査ログ EXPORT 記録</t>
        </is>
      </c>
    </row>
    <row r="70">
      <c r="A70" s="9" t="inlineStr">
        <is>
          <t>SCR-32</t>
        </is>
      </c>
      <c r="B70" s="16" t="inlineStr">
        <is>
          <t>ロット詳細</t>
        </is>
      </c>
      <c r="C70" s="9" t="n">
        <v>1</v>
      </c>
      <c r="D70" s="16" t="inlineStr">
        <is>
          <t>ロット基本情報</t>
        </is>
      </c>
      <c r="E70" s="16" t="inlineStr">
        <is>
          <t>表示</t>
        </is>
      </c>
      <c r="F70" s="9" t="inlineStr">
        <is>
          <t>出力</t>
        </is>
      </c>
      <c r="G70" s="9" t="inlineStr"/>
      <c r="H70" s="16" t="inlineStr"/>
      <c r="I70" s="16" t="inlineStr">
        <is>
          <t>t_lot, m_product, m_supplier</t>
        </is>
      </c>
      <c r="J70" s="16" t="inlineStr"/>
      <c r="K70" s="16" t="inlineStr">
        <is>
          <t>社内/仕入先ロット番号・商品・製造日・使用期限・残日数・初回入荷日・原価・実測粒子濃度</t>
        </is>
      </c>
    </row>
    <row r="71">
      <c r="A71" s="9" t="inlineStr">
        <is>
          <t>SCR-32</t>
        </is>
      </c>
      <c r="B71" s="16" t="inlineStr">
        <is>
          <t>ロット詳細</t>
        </is>
      </c>
      <c r="C71" s="9" t="n">
        <v>2</v>
      </c>
      <c r="D71" s="16" t="inlineStr">
        <is>
          <t>ステータス</t>
        </is>
      </c>
      <c r="E71" s="16" t="inlineStr">
        <is>
          <t>表示</t>
        </is>
      </c>
      <c r="F71" s="9" t="inlineStr">
        <is>
          <t>出力</t>
        </is>
      </c>
      <c r="G71" s="9" t="inlineStr"/>
      <c r="H71" s="16" t="inlineStr"/>
      <c r="I71" s="16" t="inlineStr">
        <is>
          <t>t_lot.status</t>
        </is>
      </c>
      <c r="J71" s="16" t="inlineStr"/>
      <c r="K71" s="16" t="inlineStr">
        <is>
          <t>色分け表示（RELEASED=緑、HOLD=黄、RECALLED/REJECTED=赤）</t>
        </is>
      </c>
    </row>
    <row r="72">
      <c r="A72" s="9" t="inlineStr">
        <is>
          <t>SCR-32</t>
        </is>
      </c>
      <c r="B72" s="16" t="inlineStr">
        <is>
          <t>ロット詳細</t>
        </is>
      </c>
      <c r="C72" s="9" t="n">
        <v>3</v>
      </c>
      <c r="D72" s="16" t="inlineStr">
        <is>
          <t>在庫（保管場所別）</t>
        </is>
      </c>
      <c r="E72" s="16" t="inlineStr">
        <is>
          <t>一覧</t>
        </is>
      </c>
      <c r="F72" s="9" t="inlineStr">
        <is>
          <t>出力</t>
        </is>
      </c>
      <c r="G72" s="9" t="inlineStr"/>
      <c r="H72" s="16" t="inlineStr"/>
      <c r="I72" s="16" t="inlineStr">
        <is>
          <t>t_inventory, m_location</t>
        </is>
      </c>
      <c r="J72" s="16" t="inlineStr"/>
      <c r="K72" s="16" t="inlineStr">
        <is>
          <t>現在庫・引当済・引当可能</t>
        </is>
      </c>
    </row>
    <row r="73">
      <c r="A73" s="9" t="inlineStr">
        <is>
          <t>SCR-32</t>
        </is>
      </c>
      <c r="B73" s="16" t="inlineStr">
        <is>
          <t>ロット詳細</t>
        </is>
      </c>
      <c r="C73" s="9" t="n">
        <v>4</v>
      </c>
      <c r="D73" s="16" t="inlineStr">
        <is>
          <t>入出荷履歴</t>
        </is>
      </c>
      <c r="E73" s="16" t="inlineStr">
        <is>
          <t>一覧</t>
        </is>
      </c>
      <c r="F73" s="9" t="inlineStr">
        <is>
          <t>出力</t>
        </is>
      </c>
      <c r="G73" s="9" t="inlineStr"/>
      <c r="H73" s="16" t="inlineStr"/>
      <c r="I73" s="16" t="inlineStr">
        <is>
          <t>t_stock_movement</t>
        </is>
      </c>
      <c r="J73" s="16" t="inlineStr"/>
      <c r="K73" s="16" t="inlineStr">
        <is>
          <t>発生日時・区分・保管場所・数量・参照伝票（リンク）</t>
        </is>
      </c>
    </row>
    <row r="74">
      <c r="A74" s="9" t="inlineStr">
        <is>
          <t>SCR-32</t>
        </is>
      </c>
      <c r="B74" s="16" t="inlineStr">
        <is>
          <t>ロット詳細</t>
        </is>
      </c>
      <c r="C74" s="9" t="n">
        <v>5</v>
      </c>
      <c r="D74" s="16" t="inlineStr">
        <is>
          <t>添付書類</t>
        </is>
      </c>
      <c r="E74" s="16" t="inlineStr">
        <is>
          <t>一覧</t>
        </is>
      </c>
      <c r="F74" s="9" t="inlineStr">
        <is>
          <t>入出力</t>
        </is>
      </c>
      <c r="G74" s="9" t="inlineStr"/>
      <c r="H74" s="16" t="inlineStr">
        <is>
          <t>PDF/画像 10MB以下</t>
        </is>
      </c>
      <c r="I74" s="16" t="inlineStr">
        <is>
          <t>t_attachment</t>
        </is>
      </c>
      <c r="J74" s="16" t="inlineStr"/>
      <c r="K74" s="16" t="inlineStr">
        <is>
          <t>COA等の表示・追加</t>
        </is>
      </c>
    </row>
    <row r="75">
      <c r="A75" s="9" t="inlineStr">
        <is>
          <t>SCR-32</t>
        </is>
      </c>
      <c r="B75" s="16" t="inlineStr">
        <is>
          <t>ロット詳細</t>
        </is>
      </c>
      <c r="C75" s="9" t="n">
        <v>6</v>
      </c>
      <c r="D75" s="16" t="inlineStr">
        <is>
          <t>ステータス履歴</t>
        </is>
      </c>
      <c r="E75" s="16" t="inlineStr">
        <is>
          <t>一覧</t>
        </is>
      </c>
      <c r="F75" s="9" t="inlineStr">
        <is>
          <t>出力</t>
        </is>
      </c>
      <c r="G75" s="9" t="inlineStr"/>
      <c r="H75" s="16" t="inlineStr"/>
      <c r="I75" s="16" t="inlineStr">
        <is>
          <t>t_lot_status_history</t>
        </is>
      </c>
      <c r="J75" s="16" t="inlineStr"/>
      <c r="K75" s="16" t="inlineStr">
        <is>
          <t>日時・変更前→後・理由・関連温度記録/回収案件・実行者</t>
        </is>
      </c>
    </row>
    <row r="76">
      <c r="A76" s="9" t="inlineStr">
        <is>
          <t>SCR-32</t>
        </is>
      </c>
      <c r="B76" s="16" t="inlineStr">
        <is>
          <t>ロット詳細</t>
        </is>
      </c>
      <c r="C76" s="9" t="n">
        <v>7</v>
      </c>
      <c r="D76" s="16" t="inlineStr">
        <is>
          <t>変更後ステータス</t>
        </is>
      </c>
      <c r="E76" s="16" t="inlineStr">
        <is>
          <t>選択</t>
        </is>
      </c>
      <c r="F76" s="9" t="inlineStr">
        <is>
          <t>入力</t>
        </is>
      </c>
      <c r="G76" s="9" t="inlineStr">
        <is>
          <t>Y</t>
        </is>
      </c>
      <c r="H76" s="16" t="inlineStr">
        <is>
          <t>HOLD/RELEASED/QUARANTINE/REJECTED</t>
        </is>
      </c>
      <c r="I76" s="16" t="inlineStr">
        <is>
          <t>t_lot.status</t>
        </is>
      </c>
      <c r="J76" s="16" t="inlineStr"/>
      <c r="K76" s="16" t="inlineStr">
        <is>
          <t>QAのみ。現状態から遷移可能なもののみ表示（状態遷移 参照、MSG-E29）。解除先は BR-17 により検品済=RELEASED／未検品=QUARANTINE</t>
        </is>
      </c>
    </row>
    <row r="77">
      <c r="A77" s="9" t="inlineStr">
        <is>
          <t>SCR-32</t>
        </is>
      </c>
      <c r="B77" s="16" t="inlineStr">
        <is>
          <t>ロット詳細</t>
        </is>
      </c>
      <c r="C77" s="9" t="n">
        <v>8</v>
      </c>
      <c r="D77" s="16" t="inlineStr">
        <is>
          <t>変更理由</t>
        </is>
      </c>
      <c r="E77" s="16" t="inlineStr">
        <is>
          <t>テキストエリア</t>
        </is>
      </c>
      <c r="F77" s="9" t="inlineStr">
        <is>
          <t>入力</t>
        </is>
      </c>
      <c r="G77" s="9" t="inlineStr">
        <is>
          <t>Y</t>
        </is>
      </c>
      <c r="H77" s="16" t="inlineStr">
        <is>
          <t>1000</t>
        </is>
      </c>
      <c r="I77" s="16" t="inlineStr">
        <is>
          <t>t_lot_status_history.reason</t>
        </is>
      </c>
      <c r="J77" s="16" t="inlineStr"/>
      <c r="K77" s="16" t="inlineStr">
        <is>
          <t>MSG-E09</t>
        </is>
      </c>
    </row>
    <row r="78">
      <c r="A78" s="9" t="inlineStr">
        <is>
          <t>SCR-32</t>
        </is>
      </c>
      <c r="B78" s="16" t="inlineStr">
        <is>
          <t>ロット詳細</t>
        </is>
      </c>
      <c r="C78" s="9" t="n">
        <v>9</v>
      </c>
      <c r="D78" s="16" t="inlineStr">
        <is>
          <t>ステータス変更ボタン</t>
        </is>
      </c>
      <c r="E78" s="16" t="inlineStr">
        <is>
          <t>ボタン</t>
        </is>
      </c>
      <c r="F78" s="9" t="inlineStr">
        <is>
          <t>—</t>
        </is>
      </c>
      <c r="G78" s="9" t="inlineStr"/>
      <c r="H78" s="16" t="inlineStr"/>
      <c r="I78" s="16" t="inlineStr"/>
      <c r="J78" s="16" t="inlineStr"/>
      <c r="K78" s="16" t="inlineStr">
        <is>
          <t>処理詳細 P-15</t>
        </is>
      </c>
    </row>
    <row r="79">
      <c r="A79" s="9" t="inlineStr">
        <is>
          <t>SCR-32</t>
        </is>
      </c>
      <c r="B79" s="16" t="inlineStr">
        <is>
          <t>ロット詳細</t>
        </is>
      </c>
      <c r="C79" s="9" t="n">
        <v>10</v>
      </c>
      <c r="D79" s="16" t="inlineStr">
        <is>
          <t>トレースボタン</t>
        </is>
      </c>
      <c r="E79" s="16" t="inlineStr">
        <is>
          <t>ボタン</t>
        </is>
      </c>
      <c r="F79" s="9" t="inlineStr">
        <is>
          <t>—</t>
        </is>
      </c>
      <c r="G79" s="9" t="inlineStr"/>
      <c r="H79" s="16" t="inlineStr"/>
      <c r="I79" s="16" t="inlineStr"/>
      <c r="J79" s="16" t="inlineStr"/>
      <c r="K79" s="16" t="inlineStr">
        <is>
          <t>SCR-51 へロット番号を引継ぎ遷移</t>
        </is>
      </c>
    </row>
    <row r="80">
      <c r="A80" s="9" t="inlineStr">
        <is>
          <t>SCR-33</t>
        </is>
      </c>
      <c r="B80" s="16" t="inlineStr">
        <is>
          <t>在庫照会</t>
        </is>
      </c>
      <c r="C80" s="9" t="n">
        <v>1</v>
      </c>
      <c r="D80" s="16" t="inlineStr">
        <is>
          <t>商品</t>
        </is>
      </c>
      <c r="E80" s="16" t="inlineStr">
        <is>
          <t>検索選択</t>
        </is>
      </c>
      <c r="F80" s="9" t="inlineStr">
        <is>
          <t>入力</t>
        </is>
      </c>
      <c r="G80" s="9" t="inlineStr"/>
      <c r="H80" s="16" t="inlineStr"/>
      <c r="I80" s="16" t="inlineStr">
        <is>
          <t>t_lot.product_id</t>
        </is>
      </c>
      <c r="J80" s="16" t="inlineStr"/>
      <c r="K80" s="16" t="inlineStr">
        <is>
          <t>検索条件</t>
        </is>
      </c>
    </row>
    <row r="81">
      <c r="A81" s="9" t="inlineStr">
        <is>
          <t>SCR-33</t>
        </is>
      </c>
      <c r="B81" s="16" t="inlineStr">
        <is>
          <t>在庫照会</t>
        </is>
      </c>
      <c r="C81" s="9" t="n">
        <v>2</v>
      </c>
      <c r="D81" s="16" t="inlineStr">
        <is>
          <t>保管場所</t>
        </is>
      </c>
      <c r="E81" s="16" t="inlineStr">
        <is>
          <t>選択</t>
        </is>
      </c>
      <c r="F81" s="9" t="inlineStr">
        <is>
          <t>入力</t>
        </is>
      </c>
      <c r="G81" s="9" t="inlineStr"/>
      <c r="H81" s="16" t="inlineStr"/>
      <c r="I81" s="16" t="inlineStr">
        <is>
          <t>t_inventory.location_id</t>
        </is>
      </c>
      <c r="J81" s="16" t="inlineStr"/>
      <c r="K81" s="16" t="inlineStr">
        <is>
          <t>検索条件</t>
        </is>
      </c>
    </row>
    <row r="82">
      <c r="A82" s="9" t="inlineStr">
        <is>
          <t>SCR-33</t>
        </is>
      </c>
      <c r="B82" s="16" t="inlineStr">
        <is>
          <t>在庫照会</t>
        </is>
      </c>
      <c r="C82" s="9" t="n">
        <v>3</v>
      </c>
      <c r="D82" s="16" t="inlineStr">
        <is>
          <t>引当可能のみ</t>
        </is>
      </c>
      <c r="E82" s="16" t="inlineStr">
        <is>
          <t>チェック</t>
        </is>
      </c>
      <c r="F82" s="9" t="inlineStr">
        <is>
          <t>入力</t>
        </is>
      </c>
      <c r="G82" s="9" t="inlineStr"/>
      <c r="H82" s="16" t="inlineStr"/>
      <c r="I82" s="16" t="inlineStr">
        <is>
          <t>（条件）</t>
        </is>
      </c>
      <c r="J82" s="16" t="inlineStr">
        <is>
          <t>OFF</t>
        </is>
      </c>
      <c r="K82" s="16" t="inlineStr">
        <is>
          <t>BR-04 を満たす在庫に限定</t>
        </is>
      </c>
    </row>
    <row r="83">
      <c r="A83" s="9" t="inlineStr">
        <is>
          <t>SCR-33</t>
        </is>
      </c>
      <c r="B83" s="16" t="inlineStr">
        <is>
          <t>在庫照会</t>
        </is>
      </c>
      <c r="C83" s="9" t="n">
        <v>4</v>
      </c>
      <c r="D83" s="16" t="inlineStr">
        <is>
          <t>在庫一覧</t>
        </is>
      </c>
      <c r="E83" s="16" t="inlineStr">
        <is>
          <t>一覧</t>
        </is>
      </c>
      <c r="F83" s="9" t="inlineStr">
        <is>
          <t>出力</t>
        </is>
      </c>
      <c r="G83" s="9" t="inlineStr"/>
      <c r="H83" s="16" t="inlineStr"/>
      <c r="I83" s="16" t="inlineStr">
        <is>
          <t>t_inventory, t_lot, m_product, m_location</t>
        </is>
      </c>
      <c r="J83" s="16" t="inlineStr"/>
      <c r="K83" s="16" t="inlineStr">
        <is>
          <t>商品・ロット・保管場所・使用期限・ステータス・現在庫・引当済・引当可能。商品別小計</t>
        </is>
      </c>
    </row>
    <row r="84">
      <c r="A84" s="9" t="inlineStr">
        <is>
          <t>SCR-33</t>
        </is>
      </c>
      <c r="B84" s="16" t="inlineStr">
        <is>
          <t>在庫照会</t>
        </is>
      </c>
      <c r="C84" s="9" t="n">
        <v>5</v>
      </c>
      <c r="D84" s="16" t="inlineStr">
        <is>
          <t>CSV出力ボタン</t>
        </is>
      </c>
      <c r="E84" s="16" t="inlineStr">
        <is>
          <t>ボタン</t>
        </is>
      </c>
      <c r="F84" s="9" t="inlineStr">
        <is>
          <t>—</t>
        </is>
      </c>
      <c r="G84" s="9" t="inlineStr"/>
      <c r="H84" s="16" t="inlineStr"/>
      <c r="I84" s="16" t="inlineStr"/>
      <c r="J84" s="16" t="inlineStr"/>
      <c r="K84" s="16" t="inlineStr">
        <is>
          <t>監査ログ EXPORT 記録</t>
        </is>
      </c>
    </row>
    <row r="85">
      <c r="A85" s="9" t="inlineStr">
        <is>
          <t>SCR-34</t>
        </is>
      </c>
      <c r="B85" s="16" t="inlineStr">
        <is>
          <t>在庫移動・棚卸</t>
        </is>
      </c>
      <c r="C85" s="9" t="n">
        <v>1</v>
      </c>
      <c r="D85" s="16" t="inlineStr">
        <is>
          <t>処理区分</t>
        </is>
      </c>
      <c r="E85" s="16" t="inlineStr">
        <is>
          <t>ラジオ</t>
        </is>
      </c>
      <c r="F85" s="9" t="inlineStr">
        <is>
          <t>入力</t>
        </is>
      </c>
      <c r="G85" s="9" t="inlineStr">
        <is>
          <t>Y</t>
        </is>
      </c>
      <c r="H85" s="16" t="inlineStr">
        <is>
          <t>移動/棚卸調整/廃棄/仕入先返品</t>
        </is>
      </c>
      <c r="I85" s="16" t="inlineStr">
        <is>
          <t>t_stock_movement.movement_type</t>
        </is>
      </c>
      <c r="J85" s="16" t="inlineStr">
        <is>
          <t>移動</t>
        </is>
      </c>
      <c r="K85" s="16" t="inlineStr">
        <is>
          <t>TRANSFER/ADJUST/DISPOSE/SUPPLIER_RETURN。仕入先返品は P-17、その他は P-10</t>
        </is>
      </c>
    </row>
    <row r="86">
      <c r="A86" s="9" t="inlineStr">
        <is>
          <t>SCR-34</t>
        </is>
      </c>
      <c r="B86" s="16" t="inlineStr">
        <is>
          <t>在庫移動・棚卸</t>
        </is>
      </c>
      <c r="C86" s="9" t="n">
        <v>2</v>
      </c>
      <c r="D86" s="16" t="inlineStr">
        <is>
          <t>ロット</t>
        </is>
      </c>
      <c r="E86" s="16" t="inlineStr">
        <is>
          <t>検索選択</t>
        </is>
      </c>
      <c r="F86" s="9" t="inlineStr">
        <is>
          <t>入力</t>
        </is>
      </c>
      <c r="G86" s="9" t="inlineStr">
        <is>
          <t>Y</t>
        </is>
      </c>
      <c r="H86" s="16" t="inlineStr"/>
      <c r="I86" s="16" t="inlineStr">
        <is>
          <t>t_stock_movement.lot_id</t>
        </is>
      </c>
      <c r="J86" s="16" t="inlineStr"/>
      <c r="K86" s="16" t="inlineStr">
        <is>
          <t>在庫のあるロットのみ</t>
        </is>
      </c>
    </row>
    <row r="87">
      <c r="A87" s="9" t="inlineStr">
        <is>
          <t>SCR-34</t>
        </is>
      </c>
      <c r="B87" s="16" t="inlineStr">
        <is>
          <t>在庫移動・棚卸</t>
        </is>
      </c>
      <c r="C87" s="9" t="n">
        <v>3</v>
      </c>
      <c r="D87" s="16" t="inlineStr">
        <is>
          <t>保管場所（元）</t>
        </is>
      </c>
      <c r="E87" s="16" t="inlineStr">
        <is>
          <t>選択</t>
        </is>
      </c>
      <c r="F87" s="9" t="inlineStr">
        <is>
          <t>入力</t>
        </is>
      </c>
      <c r="G87" s="9" t="inlineStr">
        <is>
          <t>Y</t>
        </is>
      </c>
      <c r="H87" s="16" t="inlineStr"/>
      <c r="I87" s="16" t="inlineStr">
        <is>
          <t>t_stock_movement.location_id</t>
        </is>
      </c>
      <c r="J87" s="16" t="inlineStr"/>
      <c r="K87" s="16" t="inlineStr">
        <is>
          <t>選択ロットの在庫がある場所。現在庫・引当済を表示。隔離保管場所は、仕入先返品、または QA の調整・廃棄（差異処理）のみ選択可（BR-20、MSG-E28）</t>
        </is>
      </c>
    </row>
    <row r="88">
      <c r="A88" s="9" t="inlineStr">
        <is>
          <t>SCR-34</t>
        </is>
      </c>
      <c r="B88" s="16" t="inlineStr">
        <is>
          <t>在庫移動・棚卸</t>
        </is>
      </c>
      <c r="C88" s="9" t="n">
        <v>4</v>
      </c>
      <c r="D88" s="16" t="inlineStr">
        <is>
          <t>移動先保管場所</t>
        </is>
      </c>
      <c r="E88" s="16" t="inlineStr">
        <is>
          <t>選択</t>
        </is>
      </c>
      <c r="F88" s="9" t="inlineStr">
        <is>
          <t>入力</t>
        </is>
      </c>
      <c r="G88" s="9" t="inlineStr">
        <is>
          <t>移動時Y</t>
        </is>
      </c>
      <c r="H88" s="16" t="inlineStr"/>
      <c r="I88" s="16" t="inlineStr">
        <is>
          <t>t_stock_movement.location_id</t>
        </is>
      </c>
      <c r="J88" s="16" t="inlineStr"/>
      <c r="K88" s="16" t="inlineStr">
        <is>
          <t>同一温度区分のみ（BR-06、MSG-E07）</t>
        </is>
      </c>
    </row>
    <row r="89">
      <c r="A89" s="9" t="inlineStr">
        <is>
          <t>SCR-34</t>
        </is>
      </c>
      <c r="B89" s="16" t="inlineStr">
        <is>
          <t>在庫移動・棚卸</t>
        </is>
      </c>
      <c r="C89" s="9" t="n">
        <v>5</v>
      </c>
      <c r="D89" s="16" t="inlineStr">
        <is>
          <t>数量（移動・廃棄）／実棚数（調整）</t>
        </is>
      </c>
      <c r="E89" s="16" t="inlineStr">
        <is>
          <t>数値</t>
        </is>
      </c>
      <c r="F89" s="9" t="inlineStr">
        <is>
          <t>入力</t>
        </is>
      </c>
      <c r="G89" s="9" t="inlineStr">
        <is>
          <t>Y</t>
        </is>
      </c>
      <c r="H89" s="16" t="inlineStr">
        <is>
          <t>整数</t>
        </is>
      </c>
      <c r="I89" s="16" t="inlineStr">
        <is>
          <t>t_stock_movement.quantity</t>
        </is>
      </c>
      <c r="J89" s="16" t="inlineStr"/>
      <c r="K89" s="16" t="inlineStr">
        <is>
          <t>通常保管場所の調整は実棚数−現在庫を差異として記録（結果が引当済未満ならMSG-E18）。隔離保管場所では項目9の減少数量を使用し、本項目は使わない</t>
        </is>
      </c>
    </row>
    <row r="90">
      <c r="A90" s="9" t="inlineStr">
        <is>
          <t>SCR-34</t>
        </is>
      </c>
      <c r="B90" s="16" t="inlineStr">
        <is>
          <t>在庫移動・棚卸</t>
        </is>
      </c>
      <c r="C90" s="9" t="n">
        <v>6</v>
      </c>
      <c r="D90" s="16" t="inlineStr">
        <is>
          <t>理由</t>
        </is>
      </c>
      <c r="E90" s="16" t="inlineStr">
        <is>
          <t>テキストエリア</t>
        </is>
      </c>
      <c r="F90" s="9" t="inlineStr">
        <is>
          <t>入力</t>
        </is>
      </c>
      <c r="G90" s="9" t="inlineStr">
        <is>
          <t>調整・廃棄時Y</t>
        </is>
      </c>
      <c r="H90" s="16" t="inlineStr">
        <is>
          <t>1000</t>
        </is>
      </c>
      <c r="I90" s="16" t="inlineStr">
        <is>
          <t>t_stock_movement.reason</t>
        </is>
      </c>
      <c r="J90" s="16" t="inlineStr"/>
      <c r="K90" s="16" t="inlineStr">
        <is>
          <t>例：棚卸差異、破損、期限切れ</t>
        </is>
      </c>
    </row>
    <row r="91">
      <c r="A91" s="9" t="inlineStr">
        <is>
          <t>SCR-34</t>
        </is>
      </c>
      <c r="B91" s="16" t="inlineStr">
        <is>
          <t>在庫移動・棚卸</t>
        </is>
      </c>
      <c r="C91" s="9" t="n">
        <v>7</v>
      </c>
      <c r="D91" s="16" t="inlineStr">
        <is>
          <t>確定ボタン</t>
        </is>
      </c>
      <c r="E91" s="16" t="inlineStr">
        <is>
          <t>ボタン</t>
        </is>
      </c>
      <c r="F91" s="9" t="inlineStr">
        <is>
          <t>—</t>
        </is>
      </c>
      <c r="G91" s="9" t="inlineStr"/>
      <c r="H91" s="16" t="inlineStr"/>
      <c r="I91" s="16" t="inlineStr"/>
      <c r="J91" s="16" t="inlineStr"/>
      <c r="K91" s="16" t="inlineStr">
        <is>
          <t>処理詳細 P-10</t>
        </is>
      </c>
    </row>
    <row r="92">
      <c r="A92" s="9" t="inlineStr">
        <is>
          <t>SCR-34</t>
        </is>
      </c>
      <c r="B92" s="16" t="inlineStr">
        <is>
          <t>在庫移動・棚卸</t>
        </is>
      </c>
      <c r="C92" s="9" t="n">
        <v>8</v>
      </c>
      <c r="D92" s="16" t="inlineStr">
        <is>
          <t>返品元入荷明細（仕入先返品時）</t>
        </is>
      </c>
      <c r="E92" s="16" t="inlineStr">
        <is>
          <t>選択</t>
        </is>
      </c>
      <c r="F92" s="9" t="inlineStr">
        <is>
          <t>入力</t>
        </is>
      </c>
      <c r="G92" s="9" t="inlineStr">
        <is>
          <t>仕入先返品時Y</t>
        </is>
      </c>
      <c r="H92" s="16" t="inlineStr"/>
      <c r="I92" s="16" t="inlineStr">
        <is>
          <t>t_stock_movement.ref_id</t>
        </is>
      </c>
      <c r="J92" s="16" t="inlineStr"/>
      <c r="K92" s="16" t="inlineStr">
        <is>
          <t>入荷番号・入荷数量・返品可能数を表示。移行ロットは『移行』を選択（P-17、MSG-E30）</t>
        </is>
      </c>
    </row>
    <row r="93">
      <c r="A93" s="9" t="inlineStr">
        <is>
          <t>SCR-34</t>
        </is>
      </c>
      <c r="B93" s="16" t="inlineStr">
        <is>
          <t>在庫移動・棚卸</t>
        </is>
      </c>
      <c r="C93" s="9" t="n">
        <v>9</v>
      </c>
      <c r="D93" s="16" t="inlineStr">
        <is>
          <t>出所伝票（隔離保管場所の差異処理時）</t>
        </is>
      </c>
      <c r="E93" s="16" t="inlineStr">
        <is>
          <t>選択</t>
        </is>
      </c>
      <c r="F93" s="9" t="inlineStr">
        <is>
          <t>入力</t>
        </is>
      </c>
      <c r="G93" s="9" t="inlineStr">
        <is>
          <t>隔離時Y</t>
        </is>
      </c>
      <c r="H93" s="16" t="inlineStr">
        <is>
          <t>入荷明細／返品</t>
        </is>
      </c>
      <c r="I93" s="16" t="inlineStr">
        <is>
          <t>t_stock_movement.ref_id</t>
        </is>
      </c>
      <c r="J93" s="16" t="inlineStr"/>
      <c r="K93" s="16" t="inlineStr">
        <is>
          <t>QAのみ。出所ごとの払出し可能数を表示し、その出所の減少数量を入力（1以上・払出し可能数以下、MSG-E30）。誤入力の戻しは ADMIN が P-10 ステップ5で行う</t>
        </is>
      </c>
    </row>
    <row r="94">
      <c r="A94" s="9" t="inlineStr">
        <is>
          <t>SCR-41</t>
        </is>
      </c>
      <c r="B94" s="16" t="inlineStr">
        <is>
          <t>受注一覧・登録</t>
        </is>
      </c>
      <c r="C94" s="9" t="n">
        <v>1</v>
      </c>
      <c r="D94" s="16" t="inlineStr">
        <is>
          <t>受注番号</t>
        </is>
      </c>
      <c r="E94" s="16" t="inlineStr">
        <is>
          <t>ラベル</t>
        </is>
      </c>
      <c r="F94" s="9" t="inlineStr">
        <is>
          <t>出力</t>
        </is>
      </c>
      <c r="G94" s="9" t="inlineStr"/>
      <c r="H94" s="16" t="inlineStr"/>
      <c r="I94" s="16" t="inlineStr">
        <is>
          <t>t_sales_order.so_no</t>
        </is>
      </c>
      <c r="J94" s="16" t="inlineStr"/>
      <c r="K94" s="16" t="inlineStr">
        <is>
          <t>保存時採番</t>
        </is>
      </c>
    </row>
    <row r="95">
      <c r="A95" s="9" t="inlineStr">
        <is>
          <t>SCR-41</t>
        </is>
      </c>
      <c r="B95" s="16" t="inlineStr">
        <is>
          <t>受注一覧・登録</t>
        </is>
      </c>
      <c r="C95" s="9" t="n">
        <v>2</v>
      </c>
      <c r="D95" s="16" t="inlineStr">
        <is>
          <t>顧客</t>
        </is>
      </c>
      <c r="E95" s="16" t="inlineStr">
        <is>
          <t>検索選択</t>
        </is>
      </c>
      <c r="F95" s="9" t="inlineStr">
        <is>
          <t>入力</t>
        </is>
      </c>
      <c r="G95" s="9" t="inlineStr">
        <is>
          <t>Y</t>
        </is>
      </c>
      <c r="H95" s="16" t="inlineStr"/>
      <c r="I95" s="16" t="inlineStr">
        <is>
          <t>t_sales_order.customer_id</t>
        </is>
      </c>
      <c r="J95" s="16" t="inlineStr"/>
      <c r="K95" s="16" t="inlineStr">
        <is>
          <t>有効顧客のみ</t>
        </is>
      </c>
    </row>
    <row r="96">
      <c r="A96" s="9" t="inlineStr">
        <is>
          <t>SCR-41</t>
        </is>
      </c>
      <c r="B96" s="16" t="inlineStr">
        <is>
          <t>受注一覧・登録</t>
        </is>
      </c>
      <c r="C96" s="9" t="n">
        <v>3</v>
      </c>
      <c r="D96" s="16" t="inlineStr">
        <is>
          <t>納品先</t>
        </is>
      </c>
      <c r="E96" s="16" t="inlineStr">
        <is>
          <t>選択</t>
        </is>
      </c>
      <c r="F96" s="9" t="inlineStr">
        <is>
          <t>入力</t>
        </is>
      </c>
      <c r="G96" s="9" t="inlineStr">
        <is>
          <t>Y</t>
        </is>
      </c>
      <c r="H96" s="16" t="inlineStr"/>
      <c r="I96" s="16" t="inlineStr">
        <is>
          <t>t_sales_order.ship_to_id</t>
        </is>
      </c>
      <c r="J96" s="16" t="inlineStr">
        <is>
          <t>既定納品先</t>
        </is>
      </c>
      <c r="K96" s="16" t="inlineStr">
        <is>
          <t>選択顧客の納品先のみ</t>
        </is>
      </c>
    </row>
    <row r="97">
      <c r="A97" s="9" t="inlineStr">
        <is>
          <t>SCR-41</t>
        </is>
      </c>
      <c r="B97" s="16" t="inlineStr">
        <is>
          <t>受注一覧・登録</t>
        </is>
      </c>
      <c r="C97" s="9" t="n">
        <v>4</v>
      </c>
      <c r="D97" s="16" t="inlineStr">
        <is>
          <t>受注日</t>
        </is>
      </c>
      <c r="E97" s="16" t="inlineStr">
        <is>
          <t>日付</t>
        </is>
      </c>
      <c r="F97" s="9" t="inlineStr">
        <is>
          <t>入力</t>
        </is>
      </c>
      <c r="G97" s="9" t="inlineStr">
        <is>
          <t>Y</t>
        </is>
      </c>
      <c r="H97" s="16" t="inlineStr">
        <is>
          <t>YYYY-MM-DD</t>
        </is>
      </c>
      <c r="I97" s="16" t="inlineStr">
        <is>
          <t>t_sales_order.order_date</t>
        </is>
      </c>
      <c r="J97" s="16" t="inlineStr">
        <is>
          <t>当日</t>
        </is>
      </c>
      <c r="K97" s="16" t="inlineStr"/>
    </row>
    <row r="98">
      <c r="A98" s="9" t="inlineStr">
        <is>
          <t>SCR-41</t>
        </is>
      </c>
      <c r="B98" s="16" t="inlineStr">
        <is>
          <t>受注一覧・登録</t>
        </is>
      </c>
      <c r="C98" s="9" t="n">
        <v>5</v>
      </c>
      <c r="D98" s="16" t="inlineStr">
        <is>
          <t>希望納期</t>
        </is>
      </c>
      <c r="E98" s="16" t="inlineStr">
        <is>
          <t>日付</t>
        </is>
      </c>
      <c r="F98" s="9" t="inlineStr">
        <is>
          <t>入力</t>
        </is>
      </c>
      <c r="G98" s="9" t="inlineStr"/>
      <c r="H98" s="16" t="inlineStr">
        <is>
          <t>YYYY-MM-DD</t>
        </is>
      </c>
      <c r="I98" s="16" t="inlineStr">
        <is>
          <t>t_sales_order.requested_date</t>
        </is>
      </c>
      <c r="J98" s="16" t="inlineStr"/>
      <c r="K98" s="16" t="inlineStr">
        <is>
          <t>受注日以降</t>
        </is>
      </c>
    </row>
    <row r="99">
      <c r="A99" s="9" t="inlineStr">
        <is>
          <t>SCR-41</t>
        </is>
      </c>
      <c r="B99" s="16" t="inlineStr">
        <is>
          <t>受注一覧・登録</t>
        </is>
      </c>
      <c r="C99" s="9" t="n">
        <v>6</v>
      </c>
      <c r="D99" s="16" t="inlineStr">
        <is>
          <t>営業担当</t>
        </is>
      </c>
      <c r="E99" s="16" t="inlineStr">
        <is>
          <t>選択</t>
        </is>
      </c>
      <c r="F99" s="9" t="inlineStr">
        <is>
          <t>入力</t>
        </is>
      </c>
      <c r="G99" s="9" t="inlineStr">
        <is>
          <t>Y</t>
        </is>
      </c>
      <c r="H99" s="16" t="inlineStr"/>
      <c r="I99" s="16" t="inlineStr">
        <is>
          <t>t_sales_order.sales_user_id</t>
        </is>
      </c>
      <c r="J99" s="16" t="inlineStr">
        <is>
          <t>ログインユーザー</t>
        </is>
      </c>
      <c r="K99" s="16" t="inlineStr"/>
    </row>
    <row r="100">
      <c r="A100" s="9" t="inlineStr">
        <is>
          <t>SCR-41</t>
        </is>
      </c>
      <c r="B100" s="16" t="inlineStr">
        <is>
          <t>受注一覧・登録</t>
        </is>
      </c>
      <c r="C100" s="9" t="n">
        <v>7</v>
      </c>
      <c r="D100" s="16" t="inlineStr">
        <is>
          <t>商品</t>
        </is>
      </c>
      <c r="E100" s="16" t="inlineStr">
        <is>
          <t>検索選択</t>
        </is>
      </c>
      <c r="F100" s="9" t="inlineStr">
        <is>
          <t>入力</t>
        </is>
      </c>
      <c r="G100" s="9" t="inlineStr">
        <is>
          <t>Y</t>
        </is>
      </c>
      <c r="H100" s="16" t="inlineStr"/>
      <c r="I100" s="16" t="inlineStr">
        <is>
          <t>t_sales_order_line.product_id</t>
        </is>
      </c>
      <c r="J100" s="16" t="inlineStr"/>
      <c r="K100" s="16" t="inlineStr">
        <is>
          <t>BR-09 販売可否チェック（MSG-E10）</t>
        </is>
      </c>
    </row>
    <row r="101">
      <c r="A101" s="9" t="inlineStr">
        <is>
          <t>SCR-41</t>
        </is>
      </c>
      <c r="B101" s="16" t="inlineStr">
        <is>
          <t>受注一覧・登録</t>
        </is>
      </c>
      <c r="C101" s="9" t="n">
        <v>8</v>
      </c>
      <c r="D101" s="16" t="inlineStr">
        <is>
          <t>引当可能数</t>
        </is>
      </c>
      <c r="E101" s="16" t="inlineStr">
        <is>
          <t>ラベル</t>
        </is>
      </c>
      <c r="F101" s="9" t="inlineStr">
        <is>
          <t>出力</t>
        </is>
      </c>
      <c r="G101" s="9" t="inlineStr"/>
      <c r="H101" s="16" t="inlineStr"/>
      <c r="I101" s="16" t="inlineStr">
        <is>
          <t>（集計）</t>
        </is>
      </c>
      <c r="J101" s="16" t="inlineStr"/>
      <c r="K101" s="16" t="inlineStr">
        <is>
          <t>BR-04 条件を満たすロットの (現在庫−引当済) 合計</t>
        </is>
      </c>
    </row>
    <row r="102">
      <c r="A102" s="9" t="inlineStr">
        <is>
          <t>SCR-41</t>
        </is>
      </c>
      <c r="B102" s="16" t="inlineStr">
        <is>
          <t>受注一覧・登録</t>
        </is>
      </c>
      <c r="C102" s="9" t="n">
        <v>9</v>
      </c>
      <c r="D102" s="16" t="inlineStr">
        <is>
          <t>受注数量</t>
        </is>
      </c>
      <c r="E102" s="16" t="inlineStr">
        <is>
          <t>数値</t>
        </is>
      </c>
      <c r="F102" s="9" t="inlineStr">
        <is>
          <t>入力</t>
        </is>
      </c>
      <c r="G102" s="9" t="inlineStr">
        <is>
          <t>Y</t>
        </is>
      </c>
      <c r="H102" s="16" t="inlineStr">
        <is>
          <t>整数</t>
        </is>
      </c>
      <c r="I102" s="16" t="inlineStr">
        <is>
          <t>t_sales_order_line.quantity</t>
        </is>
      </c>
      <c r="J102" s="16" t="inlineStr"/>
      <c r="K102" s="16" t="inlineStr">
        <is>
          <t>1以上</t>
        </is>
      </c>
    </row>
    <row r="103">
      <c r="A103" s="9" t="inlineStr">
        <is>
          <t>SCR-41</t>
        </is>
      </c>
      <c r="B103" s="16" t="inlineStr">
        <is>
          <t>受注一覧・登録</t>
        </is>
      </c>
      <c r="C103" s="9" t="n">
        <v>10</v>
      </c>
      <c r="D103" s="16" t="inlineStr">
        <is>
          <t>販売単価（円）</t>
        </is>
      </c>
      <c r="E103" s="16" t="inlineStr">
        <is>
          <t>数値</t>
        </is>
      </c>
      <c r="F103" s="9" t="inlineStr">
        <is>
          <t>入力</t>
        </is>
      </c>
      <c r="G103" s="9" t="inlineStr">
        <is>
          <t>Y</t>
        </is>
      </c>
      <c r="H103" s="16" t="inlineStr">
        <is>
          <t>12,2</t>
        </is>
      </c>
      <c r="I103" s="16" t="inlineStr">
        <is>
          <t>t_sales_order_line.unit_price</t>
        </is>
      </c>
      <c r="J103" s="16" t="inlineStr">
        <is>
          <t>商品.標準売価</t>
        </is>
      </c>
      <c r="K103" s="16" t="inlineStr">
        <is>
          <t>0以上</t>
        </is>
      </c>
    </row>
    <row r="104">
      <c r="A104" s="9" t="inlineStr">
        <is>
          <t>SCR-41</t>
        </is>
      </c>
      <c r="B104" s="16" t="inlineStr">
        <is>
          <t>受注一覧・登録</t>
        </is>
      </c>
      <c r="C104" s="9" t="n">
        <v>11</v>
      </c>
      <c r="D104" s="16" t="inlineStr">
        <is>
          <t>合計金額（税抜）</t>
        </is>
      </c>
      <c r="E104" s="16" t="inlineStr">
        <is>
          <t>ラベル</t>
        </is>
      </c>
      <c r="F104" s="9" t="inlineStr">
        <is>
          <t>出力</t>
        </is>
      </c>
      <c r="G104" s="9" t="inlineStr"/>
      <c r="H104" s="16" t="inlineStr"/>
      <c r="I104" s="16" t="inlineStr">
        <is>
          <t>（計算）</t>
        </is>
      </c>
      <c r="J104" s="16" t="inlineStr"/>
      <c r="K104" s="16" t="inlineStr">
        <is>
          <t>Σ数量×単価。与信チェック BR-11（MSG-W03）</t>
        </is>
      </c>
    </row>
    <row r="105">
      <c r="A105" s="9" t="inlineStr">
        <is>
          <t>SCR-41</t>
        </is>
      </c>
      <c r="B105" s="16" t="inlineStr">
        <is>
          <t>受注一覧・登録</t>
        </is>
      </c>
      <c r="C105" s="9" t="n">
        <v>12</v>
      </c>
      <c r="D105" s="16" t="inlineStr">
        <is>
          <t>保存ボタン</t>
        </is>
      </c>
      <c r="E105" s="16" t="inlineStr">
        <is>
          <t>ボタン</t>
        </is>
      </c>
      <c r="F105" s="9" t="inlineStr">
        <is>
          <t>—</t>
        </is>
      </c>
      <c r="G105" s="9" t="inlineStr"/>
      <c r="H105" s="16" t="inlineStr"/>
      <c r="I105" s="16" t="inlineStr"/>
      <c r="J105" s="16" t="inlineStr"/>
      <c r="K105" s="16" t="inlineStr">
        <is>
          <t>処理詳細 P-03 を実行</t>
        </is>
      </c>
    </row>
    <row r="106">
      <c r="A106" s="9" t="inlineStr">
        <is>
          <t>SCR-41</t>
        </is>
      </c>
      <c r="B106" s="16" t="inlineStr">
        <is>
          <t>受注一覧・登録</t>
        </is>
      </c>
      <c r="C106" s="9" t="n">
        <v>13</v>
      </c>
      <c r="D106" s="16" t="inlineStr">
        <is>
          <t>ステータス</t>
        </is>
      </c>
      <c r="E106" s="16" t="inlineStr">
        <is>
          <t>ラベル</t>
        </is>
      </c>
      <c r="F106" s="9" t="inlineStr">
        <is>
          <t>出力</t>
        </is>
      </c>
      <c r="G106" s="9" t="inlineStr"/>
      <c r="H106" s="16" t="inlineStr"/>
      <c r="I106" s="16" t="inlineStr">
        <is>
          <t>t_sales_order.status</t>
        </is>
      </c>
      <c r="J106" s="16" t="inlineStr"/>
      <c r="K106" s="16" t="inlineStr">
        <is>
          <t>CREDIT_PENDING は『与信承認待ち』と強調表示</t>
        </is>
      </c>
    </row>
    <row r="107">
      <c r="A107" s="9" t="inlineStr">
        <is>
          <t>SCR-41</t>
        </is>
      </c>
      <c r="B107" s="16" t="inlineStr">
        <is>
          <t>受注一覧・登録</t>
        </is>
      </c>
      <c r="C107" s="9" t="n">
        <v>14</v>
      </c>
      <c r="D107" s="16" t="inlineStr">
        <is>
          <t>与信承認者・承認日時</t>
        </is>
      </c>
      <c r="E107" s="16" t="inlineStr">
        <is>
          <t>ラベル</t>
        </is>
      </c>
      <c r="F107" s="9" t="inlineStr">
        <is>
          <t>出力</t>
        </is>
      </c>
      <c r="G107" s="9" t="inlineStr"/>
      <c r="H107" s="16" t="inlineStr"/>
      <c r="I107" s="16" t="inlineStr">
        <is>
          <t>t_sales_order.credit_approved_by</t>
        </is>
      </c>
      <c r="J107" s="16" t="inlineStr"/>
      <c r="K107" s="16" t="inlineStr">
        <is>
          <t>承認済の場合に表示</t>
        </is>
      </c>
    </row>
    <row r="108">
      <c r="A108" s="9" t="inlineStr">
        <is>
          <t>SCR-41</t>
        </is>
      </c>
      <c r="B108" s="16" t="inlineStr">
        <is>
          <t>受注一覧・登録</t>
        </is>
      </c>
      <c r="C108" s="9" t="n">
        <v>15</v>
      </c>
      <c r="D108" s="16" t="inlineStr">
        <is>
          <t>与信承認ボタン</t>
        </is>
      </c>
      <c r="E108" s="16" t="inlineStr">
        <is>
          <t>ボタン</t>
        </is>
      </c>
      <c r="F108" s="9" t="inlineStr">
        <is>
          <t>—</t>
        </is>
      </c>
      <c r="G108" s="9" t="inlineStr"/>
      <c r="H108" s="16" t="inlineStr"/>
      <c r="I108" s="16" t="inlineStr"/>
      <c r="J108" s="16" t="inlineStr"/>
      <c r="K108" s="16" t="inlineStr">
        <is>
          <t>ADMINのみ。CREDIT_PENDING で有効（API-063）</t>
        </is>
      </c>
    </row>
    <row r="109">
      <c r="A109" s="9" t="inlineStr">
        <is>
          <t>SCR-41</t>
        </is>
      </c>
      <c r="B109" s="16" t="inlineStr">
        <is>
          <t>受注一覧・登録</t>
        </is>
      </c>
      <c r="C109" s="9" t="n">
        <v>16</v>
      </c>
      <c r="D109" s="16" t="inlineStr">
        <is>
          <t>打切り／取消ボタン</t>
        </is>
      </c>
      <c r="E109" s="16" t="inlineStr">
        <is>
          <t>ボタン</t>
        </is>
      </c>
      <c r="F109" s="9" t="inlineStr">
        <is>
          <t>—</t>
        </is>
      </c>
      <c r="G109" s="9" t="inlineStr"/>
      <c r="H109" s="16" t="inlineStr"/>
      <c r="I109" s="16" t="inlineStr"/>
      <c r="J109" s="16" t="inlineStr"/>
      <c r="K109" s="16" t="inlineStr">
        <is>
          <t>MSG-E19 の条件で無効化</t>
        </is>
      </c>
    </row>
    <row r="110">
      <c r="A110" s="9" t="inlineStr">
        <is>
          <t>SCR-42</t>
        </is>
      </c>
      <c r="B110" s="16" t="inlineStr">
        <is>
          <t>出荷（引当・確定）</t>
        </is>
      </c>
      <c r="C110" s="9" t="n">
        <v>1</v>
      </c>
      <c r="D110" s="16" t="inlineStr">
        <is>
          <t>受注番号</t>
        </is>
      </c>
      <c r="E110" s="16" t="inlineStr">
        <is>
          <t>検索選択</t>
        </is>
      </c>
      <c r="F110" s="9" t="inlineStr">
        <is>
          <t>入力</t>
        </is>
      </c>
      <c r="G110" s="9" t="inlineStr">
        <is>
          <t>Y</t>
        </is>
      </c>
      <c r="H110" s="16" t="inlineStr"/>
      <c r="I110" s="16" t="inlineStr">
        <is>
          <t>t_shipment.sales_order_id</t>
        </is>
      </c>
      <c r="J110" s="16" t="inlineStr"/>
      <c r="K110" s="16" t="inlineStr">
        <is>
          <t>OPEN/PARTIAL の受注のみ</t>
        </is>
      </c>
    </row>
    <row r="111">
      <c r="A111" s="9" t="inlineStr">
        <is>
          <t>SCR-42</t>
        </is>
      </c>
      <c r="B111" s="16" t="inlineStr">
        <is>
          <t>出荷（引当・確定）</t>
        </is>
      </c>
      <c r="C111" s="9" t="n">
        <v>2</v>
      </c>
      <c r="D111" s="16" t="inlineStr">
        <is>
          <t>出荷日</t>
        </is>
      </c>
      <c r="E111" s="16" t="inlineStr">
        <is>
          <t>日付</t>
        </is>
      </c>
      <c r="F111" s="9" t="inlineStr">
        <is>
          <t>入力</t>
        </is>
      </c>
      <c r="G111" s="9" t="inlineStr">
        <is>
          <t>Y</t>
        </is>
      </c>
      <c r="H111" s="16" t="inlineStr">
        <is>
          <t>YYYY-MM-DD</t>
        </is>
      </c>
      <c r="I111" s="16" t="inlineStr">
        <is>
          <t>t_shipment.shipped_on</t>
        </is>
      </c>
      <c r="J111" s="16" t="inlineStr">
        <is>
          <t>当日</t>
        </is>
      </c>
      <c r="K111" s="16" t="inlineStr"/>
    </row>
    <row r="112">
      <c r="A112" s="9" t="inlineStr">
        <is>
          <t>SCR-42</t>
        </is>
      </c>
      <c r="B112" s="16" t="inlineStr">
        <is>
          <t>出荷（引当・確定）</t>
        </is>
      </c>
      <c r="C112" s="9" t="n">
        <v>3</v>
      </c>
      <c r="D112" s="16" t="inlineStr">
        <is>
          <t>受注明細（商品・残数量）</t>
        </is>
      </c>
      <c r="E112" s="16" t="inlineStr">
        <is>
          <t>一覧</t>
        </is>
      </c>
      <c r="F112" s="9" t="inlineStr">
        <is>
          <t>出力</t>
        </is>
      </c>
      <c r="G112" s="9" t="inlineStr"/>
      <c r="H112" s="16" t="inlineStr"/>
      <c r="I112" s="16" t="inlineStr">
        <is>
          <t>t_sales_order_line</t>
        </is>
      </c>
      <c r="J112" s="16" t="inlineStr"/>
      <c r="K112" s="16" t="inlineStr">
        <is>
          <t>受注数量−出荷済数量</t>
        </is>
      </c>
    </row>
    <row r="113">
      <c r="A113" s="9" t="inlineStr">
        <is>
          <t>SCR-42</t>
        </is>
      </c>
      <c r="B113" s="16" t="inlineStr">
        <is>
          <t>出荷（引当・確定）</t>
        </is>
      </c>
      <c r="C113" s="9" t="n">
        <v>4</v>
      </c>
      <c r="D113" s="16" t="inlineStr">
        <is>
          <t>自動引当ボタン</t>
        </is>
      </c>
      <c r="E113" s="16" t="inlineStr">
        <is>
          <t>ボタン</t>
        </is>
      </c>
      <c r="F113" s="9" t="inlineStr">
        <is>
          <t>—</t>
        </is>
      </c>
      <c r="G113" s="9" t="inlineStr"/>
      <c r="H113" s="16" t="inlineStr"/>
      <c r="I113" s="16" t="inlineStr"/>
      <c r="J113" s="16" t="inlineStr"/>
      <c r="K113" s="16" t="inlineStr">
        <is>
          <t>処理詳細 P-04（FEFO）</t>
        </is>
      </c>
    </row>
    <row r="114">
      <c r="A114" s="9" t="inlineStr">
        <is>
          <t>SCR-42</t>
        </is>
      </c>
      <c r="B114" s="16" t="inlineStr">
        <is>
          <t>出荷（引当・確定）</t>
        </is>
      </c>
      <c r="C114" s="9" t="n">
        <v>5</v>
      </c>
      <c r="D114" s="16" t="inlineStr">
        <is>
          <t>引当ロット</t>
        </is>
      </c>
      <c r="E114" s="16" t="inlineStr">
        <is>
          <t>選択</t>
        </is>
      </c>
      <c r="F114" s="9" t="inlineStr">
        <is>
          <t>入力</t>
        </is>
      </c>
      <c r="G114" s="9" t="inlineStr">
        <is>
          <t>Y</t>
        </is>
      </c>
      <c r="H114" s="16" t="inlineStr"/>
      <c r="I114" s="16" t="inlineStr">
        <is>
          <t>t_shipment_line.lot_id</t>
        </is>
      </c>
      <c r="J114" s="16" t="inlineStr">
        <is>
          <t>自動引当結果</t>
        </is>
      </c>
      <c r="K114" s="16" t="inlineStr">
        <is>
          <t>BR-04 条件を満たすロットのみ表示。使用期限・残期間を併記。変更は P-13</t>
        </is>
      </c>
    </row>
    <row r="115">
      <c r="A115" s="9" t="inlineStr">
        <is>
          <t>SCR-42</t>
        </is>
      </c>
      <c r="B115" s="16" t="inlineStr">
        <is>
          <t>出荷（引当・確定）</t>
        </is>
      </c>
      <c r="C115" s="9" t="n">
        <v>6</v>
      </c>
      <c r="D115" s="16" t="inlineStr">
        <is>
          <t>出庫保管場所</t>
        </is>
      </c>
      <c r="E115" s="16" t="inlineStr">
        <is>
          <t>選択</t>
        </is>
      </c>
      <c r="F115" s="9" t="inlineStr">
        <is>
          <t>入力</t>
        </is>
      </c>
      <c r="G115" s="9" t="inlineStr">
        <is>
          <t>Y</t>
        </is>
      </c>
      <c r="H115" s="16" t="inlineStr"/>
      <c r="I115" s="16" t="inlineStr">
        <is>
          <t>t_shipment_line.location_id</t>
        </is>
      </c>
      <c r="J115" s="16" t="inlineStr">
        <is>
          <t>自動引当結果</t>
        </is>
      </c>
      <c r="K115" s="16" t="inlineStr">
        <is>
          <t>選択ロットの在庫がある場所のみ</t>
        </is>
      </c>
    </row>
    <row r="116">
      <c r="A116" s="9" t="inlineStr">
        <is>
          <t>SCR-42</t>
        </is>
      </c>
      <c r="B116" s="16" t="inlineStr">
        <is>
          <t>出荷（引当・確定）</t>
        </is>
      </c>
      <c r="C116" s="9" t="n">
        <v>7</v>
      </c>
      <c r="D116" s="16" t="inlineStr">
        <is>
          <t>出荷数量</t>
        </is>
      </c>
      <c r="E116" s="16" t="inlineStr">
        <is>
          <t>数値</t>
        </is>
      </c>
      <c r="F116" s="9" t="inlineStr">
        <is>
          <t>入力</t>
        </is>
      </c>
      <c r="G116" s="9" t="inlineStr">
        <is>
          <t>Y</t>
        </is>
      </c>
      <c r="H116" s="16" t="inlineStr">
        <is>
          <t>整数</t>
        </is>
      </c>
      <c r="I116" s="16" t="inlineStr">
        <is>
          <t>t_shipment_line.quantity</t>
        </is>
      </c>
      <c r="J116" s="16" t="inlineStr">
        <is>
          <t>自動引当結果</t>
        </is>
      </c>
      <c r="K116" s="16" t="inlineStr">
        <is>
          <t>1以上・引当可能数以下（MSG-E12）・受注残以下（MSG-E23）</t>
        </is>
      </c>
    </row>
    <row r="117">
      <c r="A117" s="9" t="inlineStr">
        <is>
          <t>SCR-42</t>
        </is>
      </c>
      <c r="B117" s="16" t="inlineStr">
        <is>
          <t>出荷（引当・確定）</t>
        </is>
      </c>
      <c r="C117" s="9" t="n">
        <v>8</v>
      </c>
      <c r="D117" s="16" t="inlineStr">
        <is>
          <t>配送業者</t>
        </is>
      </c>
      <c r="E117" s="16" t="inlineStr">
        <is>
          <t>選択</t>
        </is>
      </c>
      <c r="F117" s="9" t="inlineStr">
        <is>
          <t>入力</t>
        </is>
      </c>
      <c r="G117" s="9" t="inlineStr"/>
      <c r="H117" s="16" t="inlineStr"/>
      <c r="I117" s="16" t="inlineStr">
        <is>
          <t>t_shipment.carrier</t>
        </is>
      </c>
      <c r="J117" s="16" t="inlineStr"/>
      <c r="K117" s="16" t="inlineStr">
        <is>
          <t>温度区分に応じたクール便区分</t>
        </is>
      </c>
    </row>
    <row r="118">
      <c r="A118" s="9" t="inlineStr">
        <is>
          <t>SCR-42</t>
        </is>
      </c>
      <c r="B118" s="16" t="inlineStr">
        <is>
          <t>出荷（引当・確定）</t>
        </is>
      </c>
      <c r="C118" s="9" t="n">
        <v>9</v>
      </c>
      <c r="D118" s="16" t="inlineStr">
        <is>
          <t>送り状番号</t>
        </is>
      </c>
      <c r="E118" s="16" t="inlineStr">
        <is>
          <t>テキスト</t>
        </is>
      </c>
      <c r="F118" s="9" t="inlineStr">
        <is>
          <t>入力</t>
        </is>
      </c>
      <c r="G118" s="9" t="inlineStr"/>
      <c r="H118" s="16" t="inlineStr">
        <is>
          <t>50</t>
        </is>
      </c>
      <c r="I118" s="16" t="inlineStr">
        <is>
          <t>t_shipment.tracking_no</t>
        </is>
      </c>
      <c r="J118" s="16" t="inlineStr"/>
      <c r="K118" s="16" t="inlineStr"/>
    </row>
    <row r="119">
      <c r="A119" s="9" t="inlineStr">
        <is>
          <t>SCR-42</t>
        </is>
      </c>
      <c r="B119" s="16" t="inlineStr">
        <is>
          <t>出荷（引当・確定）</t>
        </is>
      </c>
      <c r="C119" s="9" t="n">
        <v>10</v>
      </c>
      <c r="D119" s="16" t="inlineStr">
        <is>
          <t>出荷確定ボタン</t>
        </is>
      </c>
      <c r="E119" s="16" t="inlineStr">
        <is>
          <t>ボタン</t>
        </is>
      </c>
      <c r="F119" s="9" t="inlineStr">
        <is>
          <t>—</t>
        </is>
      </c>
      <c r="G119" s="9" t="inlineStr"/>
      <c r="H119" s="16" t="inlineStr"/>
      <c r="I119" s="16" t="inlineStr"/>
      <c r="J119" s="16" t="inlineStr"/>
      <c r="K119" s="16" t="inlineStr">
        <is>
          <t>処理詳細 P-05</t>
        </is>
      </c>
    </row>
    <row r="120">
      <c r="A120" s="9" t="inlineStr">
        <is>
          <t>SCR-42</t>
        </is>
      </c>
      <c r="B120" s="16" t="inlineStr">
        <is>
          <t>出荷（引当・確定）</t>
        </is>
      </c>
      <c r="C120" s="9" t="n">
        <v>11</v>
      </c>
      <c r="D120" s="16" t="inlineStr">
        <is>
          <t>納品書出力ボタン</t>
        </is>
      </c>
      <c r="E120" s="16" t="inlineStr">
        <is>
          <t>ボタン</t>
        </is>
      </c>
      <c r="F120" s="9" t="inlineStr">
        <is>
          <t>—</t>
        </is>
      </c>
      <c r="G120" s="9" t="inlineStr"/>
      <c r="H120" s="16" t="inlineStr"/>
      <c r="I120" s="16" t="inlineStr"/>
      <c r="J120" s="16" t="inlineStr"/>
      <c r="K120" s="16" t="inlineStr">
        <is>
          <t>SHIPPED のみ有効。RP-02</t>
        </is>
      </c>
    </row>
    <row r="121">
      <c r="A121" s="9" t="inlineStr">
        <is>
          <t>SCR-42</t>
        </is>
      </c>
      <c r="B121" s="16" t="inlineStr">
        <is>
          <t>出荷（引当・確定）</t>
        </is>
      </c>
      <c r="C121" s="9" t="n">
        <v>12</v>
      </c>
      <c r="D121" s="16" t="inlineStr">
        <is>
          <t>出荷取消ボタン</t>
        </is>
      </c>
      <c r="E121" s="16" t="inlineStr">
        <is>
          <t>ボタン</t>
        </is>
      </c>
      <c r="F121" s="9" t="inlineStr">
        <is>
          <t>—</t>
        </is>
      </c>
      <c r="G121" s="9" t="inlineStr"/>
      <c r="H121" s="16" t="inlineStr"/>
      <c r="I121" s="16" t="inlineStr"/>
      <c r="J121" s="16" t="inlineStr"/>
      <c r="K121" s="16" t="inlineStr">
        <is>
          <t>ADMINのみ。処理詳細 P-06</t>
        </is>
      </c>
    </row>
    <row r="122">
      <c r="A122" s="9" t="inlineStr">
        <is>
          <t>SCR-43</t>
        </is>
      </c>
      <c r="B122" s="16" t="inlineStr">
        <is>
          <t>返品登録</t>
        </is>
      </c>
      <c r="C122" s="9" t="n">
        <v>1</v>
      </c>
      <c r="D122" s="16" t="inlineStr">
        <is>
          <t>出荷番号／ロット番号</t>
        </is>
      </c>
      <c r="E122" s="16" t="inlineStr">
        <is>
          <t>検索</t>
        </is>
      </c>
      <c r="F122" s="9" t="inlineStr">
        <is>
          <t>入力</t>
        </is>
      </c>
      <c r="G122" s="9" t="inlineStr">
        <is>
          <t>Y</t>
        </is>
      </c>
      <c r="H122" s="16" t="inlineStr"/>
      <c r="I122" s="16" t="inlineStr">
        <is>
          <t>t_shipment.shipment_no</t>
        </is>
      </c>
      <c r="J122" s="16" t="inlineStr"/>
      <c r="K122" s="16" t="inlineStr">
        <is>
          <t>顧客・ロットで元出荷明細を検索</t>
        </is>
      </c>
    </row>
    <row r="123">
      <c r="A123" s="9" t="inlineStr">
        <is>
          <t>SCR-43</t>
        </is>
      </c>
      <c r="B123" s="16" t="inlineStr">
        <is>
          <t>返品登録</t>
        </is>
      </c>
      <c r="C123" s="9" t="n">
        <v>2</v>
      </c>
      <c r="D123" s="16" t="inlineStr">
        <is>
          <t>元出荷明細</t>
        </is>
      </c>
      <c r="E123" s="16" t="inlineStr">
        <is>
          <t>選択</t>
        </is>
      </c>
      <c r="F123" s="9" t="inlineStr">
        <is>
          <t>入力</t>
        </is>
      </c>
      <c r="G123" s="9" t="inlineStr">
        <is>
          <t>Y</t>
        </is>
      </c>
      <c r="H123" s="16" t="inlineStr"/>
      <c r="I123" s="16" t="inlineStr">
        <is>
          <t>t_return.shipment_line_id</t>
        </is>
      </c>
      <c r="J123" s="16" t="inlineStr"/>
      <c r="K123" s="16" t="inlineStr">
        <is>
          <t>出荷数量・既返品数量・返品可能数を表示</t>
        </is>
      </c>
    </row>
    <row r="124">
      <c r="A124" s="9" t="inlineStr">
        <is>
          <t>SCR-43</t>
        </is>
      </c>
      <c r="B124" s="16" t="inlineStr">
        <is>
          <t>返品登録</t>
        </is>
      </c>
      <c r="C124" s="9" t="n">
        <v>3</v>
      </c>
      <c r="D124" s="16" t="inlineStr">
        <is>
          <t>回収対象</t>
        </is>
      </c>
      <c r="E124" s="16" t="inlineStr">
        <is>
          <t>選択</t>
        </is>
      </c>
      <c r="F124" s="9" t="inlineStr">
        <is>
          <t>入力</t>
        </is>
      </c>
      <c r="G124" s="9" t="inlineStr"/>
      <c r="H124" s="16" t="inlineStr"/>
      <c r="I124" s="16" t="inlineStr">
        <is>
          <t>t_return.recall_target_id</t>
        </is>
      </c>
      <c r="J124" s="16" t="inlineStr"/>
      <c r="K124" s="16" t="inlineStr">
        <is>
          <t>ロットが回収中の場合に表示・必須（回収品として登録）</t>
        </is>
      </c>
    </row>
    <row r="125">
      <c r="A125" s="9" t="inlineStr">
        <is>
          <t>SCR-43</t>
        </is>
      </c>
      <c r="B125" s="16" t="inlineStr">
        <is>
          <t>返品登録</t>
        </is>
      </c>
      <c r="C125" s="9" t="n">
        <v>4</v>
      </c>
      <c r="D125" s="16" t="inlineStr">
        <is>
          <t>返品日</t>
        </is>
      </c>
      <c r="E125" s="16" t="inlineStr">
        <is>
          <t>日付</t>
        </is>
      </c>
      <c r="F125" s="9" t="inlineStr">
        <is>
          <t>入力</t>
        </is>
      </c>
      <c r="G125" s="9" t="inlineStr">
        <is>
          <t>Y</t>
        </is>
      </c>
      <c r="H125" s="16" t="inlineStr">
        <is>
          <t>YYYY-MM-DD</t>
        </is>
      </c>
      <c r="I125" s="16" t="inlineStr">
        <is>
          <t>t_return.returned_on</t>
        </is>
      </c>
      <c r="J125" s="16" t="inlineStr">
        <is>
          <t>当日</t>
        </is>
      </c>
      <c r="K125" s="16" t="inlineStr"/>
    </row>
    <row r="126">
      <c r="A126" s="9" t="inlineStr">
        <is>
          <t>SCR-43</t>
        </is>
      </c>
      <c r="B126" s="16" t="inlineStr">
        <is>
          <t>返品登録</t>
        </is>
      </c>
      <c r="C126" s="9" t="n">
        <v>5</v>
      </c>
      <c r="D126" s="16" t="inlineStr">
        <is>
          <t>返品数量</t>
        </is>
      </c>
      <c r="E126" s="16" t="inlineStr">
        <is>
          <t>数値</t>
        </is>
      </c>
      <c r="F126" s="9" t="inlineStr">
        <is>
          <t>入力</t>
        </is>
      </c>
      <c r="G126" s="9" t="inlineStr">
        <is>
          <t>Y</t>
        </is>
      </c>
      <c r="H126" s="16" t="inlineStr">
        <is>
          <t>整数</t>
        </is>
      </c>
      <c r="I126" s="16" t="inlineStr">
        <is>
          <t>t_return.quantity</t>
        </is>
      </c>
      <c r="J126" s="16" t="inlineStr"/>
      <c r="K126" s="16" t="inlineStr">
        <is>
          <t>返品可能数以下（BR-12、MSG-E15）</t>
        </is>
      </c>
    </row>
    <row r="127">
      <c r="A127" s="9" t="inlineStr">
        <is>
          <t>SCR-43</t>
        </is>
      </c>
      <c r="B127" s="16" t="inlineStr">
        <is>
          <t>返品登録</t>
        </is>
      </c>
      <c r="C127" s="9" t="n">
        <v>6</v>
      </c>
      <c r="D127" s="16" t="inlineStr">
        <is>
          <t>返品理由</t>
        </is>
      </c>
      <c r="E127" s="16" t="inlineStr">
        <is>
          <t>テキストエリア</t>
        </is>
      </c>
      <c r="F127" s="9" t="inlineStr">
        <is>
          <t>入力</t>
        </is>
      </c>
      <c r="G127" s="9" t="inlineStr">
        <is>
          <t>Y</t>
        </is>
      </c>
      <c r="H127" s="16" t="inlineStr">
        <is>
          <t>1000</t>
        </is>
      </c>
      <c r="I127" s="16" t="inlineStr">
        <is>
          <t>t_return.reason</t>
        </is>
      </c>
      <c r="J127" s="16" t="inlineStr"/>
      <c r="K127" s="16" t="inlineStr"/>
    </row>
    <row r="128">
      <c r="A128" s="9" t="inlineStr">
        <is>
          <t>SCR-43</t>
        </is>
      </c>
      <c r="B128" s="16" t="inlineStr">
        <is>
          <t>返品登録</t>
        </is>
      </c>
      <c r="C128" s="9" t="n">
        <v>7</v>
      </c>
      <c r="D128" s="16" t="inlineStr">
        <is>
          <t>受入保管場所</t>
        </is>
      </c>
      <c r="E128" s="16" t="inlineStr">
        <is>
          <t>選択</t>
        </is>
      </c>
      <c r="F128" s="9" t="inlineStr">
        <is>
          <t>入力</t>
        </is>
      </c>
      <c r="G128" s="9" t="inlineStr">
        <is>
          <t>Y</t>
        </is>
      </c>
      <c r="H128" s="16" t="inlineStr"/>
      <c r="I128" s="16" t="inlineStr">
        <is>
          <t>t_return.location_id</t>
        </is>
      </c>
      <c r="J128" s="16" t="inlineStr"/>
      <c r="K128" s="16" t="inlineStr">
        <is>
          <t>is_quarantine=true かつ温度区分一致の場所のみ</t>
        </is>
      </c>
    </row>
    <row r="129">
      <c r="A129" s="9" t="inlineStr">
        <is>
          <t>SCR-43</t>
        </is>
      </c>
      <c r="B129" s="16" t="inlineStr">
        <is>
          <t>返品登録</t>
        </is>
      </c>
      <c r="C129" s="9" t="n">
        <v>8</v>
      </c>
      <c r="D129" s="16" t="inlineStr">
        <is>
          <t>処置（QA判定）</t>
        </is>
      </c>
      <c r="E129" s="16" t="inlineStr">
        <is>
          <t>ラジオ</t>
        </is>
      </c>
      <c r="F129" s="9" t="inlineStr">
        <is>
          <t>入力</t>
        </is>
      </c>
      <c r="G129" s="9" t="inlineStr">
        <is>
          <t>判定時Y</t>
        </is>
      </c>
      <c r="H129" s="16" t="inlineStr">
        <is>
          <t>RESTOCK/DISPOSE</t>
        </is>
      </c>
      <c r="I129" s="16" t="inlineStr">
        <is>
          <t>t_return.disposition</t>
        </is>
      </c>
      <c r="J129" s="16" t="inlineStr"/>
      <c r="K129" s="16" t="inlineStr">
        <is>
          <t>QAのみ。回収品はDISPOSEのみ（BR-18、MSG-E16）</t>
        </is>
      </c>
    </row>
    <row r="130">
      <c r="A130" s="9" t="inlineStr">
        <is>
          <t>SCR-43</t>
        </is>
      </c>
      <c r="B130" s="16" t="inlineStr">
        <is>
          <t>返品登録</t>
        </is>
      </c>
      <c r="C130" s="9" t="n">
        <v>9</v>
      </c>
      <c r="D130" s="16" t="inlineStr">
        <is>
          <t>戻し保管場所</t>
        </is>
      </c>
      <c r="E130" s="16" t="inlineStr">
        <is>
          <t>選択</t>
        </is>
      </c>
      <c r="F130" s="9" t="inlineStr">
        <is>
          <t>入力</t>
        </is>
      </c>
      <c r="G130" s="9" t="inlineStr">
        <is>
          <t>RESTOCK時Y</t>
        </is>
      </c>
      <c r="H130" s="16" t="inlineStr"/>
      <c r="I130" s="16" t="inlineStr">
        <is>
          <t>t_return.restock_location_id</t>
        </is>
      </c>
      <c r="J130" s="16" t="inlineStr"/>
      <c r="K130" s="16" t="inlineStr">
        <is>
          <t>通常保管場所・温度区分一致</t>
        </is>
      </c>
    </row>
    <row r="131">
      <c r="A131" s="9" t="inlineStr">
        <is>
          <t>SCR-43</t>
        </is>
      </c>
      <c r="B131" s="16" t="inlineStr">
        <is>
          <t>返品登録</t>
        </is>
      </c>
      <c r="C131" s="9" t="n">
        <v>10</v>
      </c>
      <c r="D131" s="16" t="inlineStr">
        <is>
          <t>登録／判定ボタン</t>
        </is>
      </c>
      <c r="E131" s="16" t="inlineStr">
        <is>
          <t>ボタン</t>
        </is>
      </c>
      <c r="F131" s="9" t="inlineStr">
        <is>
          <t>—</t>
        </is>
      </c>
      <c r="G131" s="9" t="inlineStr"/>
      <c r="H131" s="16" t="inlineStr"/>
      <c r="I131" s="16" t="inlineStr"/>
      <c r="J131" s="16" t="inlineStr"/>
      <c r="K131" s="16" t="inlineStr">
        <is>
          <t>処理詳細 P-07</t>
        </is>
      </c>
    </row>
    <row r="132">
      <c r="A132" s="9" t="inlineStr">
        <is>
          <t>SCR-51</t>
        </is>
      </c>
      <c r="B132" s="16" t="inlineStr">
        <is>
          <t>ロット追跡（前方）</t>
        </is>
      </c>
      <c r="C132" s="9" t="n">
        <v>1</v>
      </c>
      <c r="D132" s="16" t="inlineStr">
        <is>
          <t>ロット番号</t>
        </is>
      </c>
      <c r="E132" s="16" t="inlineStr">
        <is>
          <t>テキスト</t>
        </is>
      </c>
      <c r="F132" s="9" t="inlineStr">
        <is>
          <t>入力</t>
        </is>
      </c>
      <c r="G132" s="9" t="inlineStr">
        <is>
          <t>Y</t>
        </is>
      </c>
      <c r="H132" s="16" t="inlineStr">
        <is>
          <t>30</t>
        </is>
      </c>
      <c r="I132" s="16" t="inlineStr">
        <is>
          <t>t_lot.lot_no / supplier_lot_no</t>
        </is>
      </c>
      <c r="J132" s="16" t="inlineStr"/>
      <c r="K132" s="16" t="inlineStr">
        <is>
          <t>社内・仕入先どちらの番号でも検索可（部分一致）</t>
        </is>
      </c>
    </row>
    <row r="133">
      <c r="A133" s="9" t="inlineStr">
        <is>
          <t>SCR-51</t>
        </is>
      </c>
      <c r="B133" s="16" t="inlineStr">
        <is>
          <t>ロット追跡（前方）</t>
        </is>
      </c>
      <c r="C133" s="9" t="n">
        <v>2</v>
      </c>
      <c r="D133" s="16" t="inlineStr">
        <is>
          <t>ロット基本情報</t>
        </is>
      </c>
      <c r="E133" s="16" t="inlineStr">
        <is>
          <t>表示</t>
        </is>
      </c>
      <c r="F133" s="9" t="inlineStr">
        <is>
          <t>出力</t>
        </is>
      </c>
      <c r="G133" s="9" t="inlineStr"/>
      <c r="H133" s="16" t="inlineStr"/>
      <c r="I133" s="16" t="inlineStr">
        <is>
          <t>t_lot, m_product, m_supplier</t>
        </is>
      </c>
      <c r="J133" s="16" t="inlineStr"/>
      <c r="K133" s="16" t="inlineStr">
        <is>
          <t>商品・仕入先・使用期限・ステータス・入荷日</t>
        </is>
      </c>
    </row>
    <row r="134">
      <c r="A134" s="9" t="inlineStr">
        <is>
          <t>SCR-51</t>
        </is>
      </c>
      <c r="B134" s="16" t="inlineStr">
        <is>
          <t>ロット追跡（前方）</t>
        </is>
      </c>
      <c r="C134" s="9" t="n">
        <v>3</v>
      </c>
      <c r="D134" s="16" t="inlineStr">
        <is>
          <t>在庫状況</t>
        </is>
      </c>
      <c r="E134" s="16" t="inlineStr">
        <is>
          <t>一覧</t>
        </is>
      </c>
      <c r="F134" s="9" t="inlineStr">
        <is>
          <t>出力</t>
        </is>
      </c>
      <c r="G134" s="9" t="inlineStr"/>
      <c r="H134" s="16" t="inlineStr"/>
      <c r="I134" s="16" t="inlineStr">
        <is>
          <t>t_inventory</t>
        </is>
      </c>
      <c r="J134" s="16" t="inlineStr"/>
      <c r="K134" s="16" t="inlineStr">
        <is>
          <t>保管場所別 現在庫/引当済</t>
        </is>
      </c>
    </row>
    <row r="135">
      <c r="A135" s="9" t="inlineStr">
        <is>
          <t>SCR-51</t>
        </is>
      </c>
      <c r="B135" s="16" t="inlineStr">
        <is>
          <t>ロット追跡（前方）</t>
        </is>
      </c>
      <c r="C135" s="9" t="n">
        <v>4</v>
      </c>
      <c r="D135" s="16" t="inlineStr">
        <is>
          <t>出荷先一覧</t>
        </is>
      </c>
      <c r="E135" s="16" t="inlineStr">
        <is>
          <t>一覧</t>
        </is>
      </c>
      <c r="F135" s="9" t="inlineStr">
        <is>
          <t>出力</t>
        </is>
      </c>
      <c r="G135" s="9" t="inlineStr"/>
      <c r="H135" s="16" t="inlineStr"/>
      <c r="I135" s="16" t="inlineStr">
        <is>
          <t>t_shipment_line, t_shipment, m_customer, m_ship_to</t>
        </is>
      </c>
      <c r="J135" s="16" t="inlineStr"/>
      <c r="K135" s="16" t="inlineStr">
        <is>
          <t>顧客・納品先・出荷日・出荷番号・出荷数量・返品数量・正味数量（SQL-01）。回収中は回収数量も表示</t>
        </is>
      </c>
    </row>
    <row r="136">
      <c r="A136" s="9" t="inlineStr">
        <is>
          <t>SCR-51</t>
        </is>
      </c>
      <c r="B136" s="16" t="inlineStr">
        <is>
          <t>ロット追跡（前方）</t>
        </is>
      </c>
      <c r="C136" s="9" t="n">
        <v>5</v>
      </c>
      <c r="D136" s="16" t="inlineStr">
        <is>
          <t>集計</t>
        </is>
      </c>
      <c r="E136" s="16" t="inlineStr">
        <is>
          <t>ラベル</t>
        </is>
      </c>
      <c r="F136" s="9" t="inlineStr">
        <is>
          <t>出力</t>
        </is>
      </c>
      <c r="G136" s="9" t="inlineStr"/>
      <c r="H136" s="16" t="inlineStr"/>
      <c r="I136" s="16" t="inlineStr">
        <is>
          <t>t_stock_movement</t>
        </is>
      </c>
      <c r="J136" s="16" t="inlineStr"/>
      <c r="K136" s="16" t="inlineStr">
        <is>
          <t>移動区分別合計：入荷＋出荷＋取消＋返品＋移動＋調整＋廃棄＝現在庫（全保管場所）を表示</t>
        </is>
      </c>
    </row>
    <row r="137">
      <c r="A137" s="9" t="inlineStr">
        <is>
          <t>SCR-51</t>
        </is>
      </c>
      <c r="B137" s="16" t="inlineStr">
        <is>
          <t>ロット追跡（前方）</t>
        </is>
      </c>
      <c r="C137" s="9" t="n">
        <v>6</v>
      </c>
      <c r="D137" s="16" t="inlineStr">
        <is>
          <t>CSV/PDF出力ボタン</t>
        </is>
      </c>
      <c r="E137" s="16" t="inlineStr">
        <is>
          <t>ボタン</t>
        </is>
      </c>
      <c r="F137" s="9" t="inlineStr">
        <is>
          <t>—</t>
        </is>
      </c>
      <c r="G137" s="9" t="inlineStr"/>
      <c r="H137" s="16" t="inlineStr"/>
      <c r="I137" s="16" t="inlineStr"/>
      <c r="J137" s="16" t="inlineStr"/>
      <c r="K137" s="16" t="inlineStr">
        <is>
          <t>監査ログ EXPORT 記録</t>
        </is>
      </c>
    </row>
    <row r="138">
      <c r="A138" s="9" t="inlineStr">
        <is>
          <t>SCR-51</t>
        </is>
      </c>
      <c r="B138" s="16" t="inlineStr">
        <is>
          <t>ロット追跡（前方）</t>
        </is>
      </c>
      <c r="C138" s="9" t="n">
        <v>7</v>
      </c>
      <c r="D138" s="16" t="inlineStr">
        <is>
          <t>回収案件作成ボタン</t>
        </is>
      </c>
      <c r="E138" s="16" t="inlineStr">
        <is>
          <t>ボタン</t>
        </is>
      </c>
      <c r="F138" s="9" t="inlineStr">
        <is>
          <t>—</t>
        </is>
      </c>
      <c r="G138" s="9" t="inlineStr"/>
      <c r="H138" s="16" t="inlineStr"/>
      <c r="I138" s="16" t="inlineStr"/>
      <c r="J138" s="16" t="inlineStr"/>
      <c r="K138" s="16" t="inlineStr">
        <is>
          <t>QAのみ。SCR-53へロット引継ぎ</t>
        </is>
      </c>
    </row>
    <row r="139">
      <c r="A139" s="9" t="inlineStr">
        <is>
          <t>SCR-52</t>
        </is>
      </c>
      <c r="B139" s="16" t="inlineStr">
        <is>
          <t>顧客追跡（後方）</t>
        </is>
      </c>
      <c r="C139" s="9" t="n">
        <v>1</v>
      </c>
      <c r="D139" s="16" t="inlineStr">
        <is>
          <t>顧客</t>
        </is>
      </c>
      <c r="E139" s="16" t="inlineStr">
        <is>
          <t>検索選択</t>
        </is>
      </c>
      <c r="F139" s="9" t="inlineStr">
        <is>
          <t>入力</t>
        </is>
      </c>
      <c r="G139" s="9" t="inlineStr">
        <is>
          <t>Y</t>
        </is>
      </c>
      <c r="H139" s="16" t="inlineStr"/>
      <c r="I139" s="16" t="inlineStr">
        <is>
          <t>m_customer.id</t>
        </is>
      </c>
      <c r="J139" s="16" t="inlineStr"/>
      <c r="K139" s="16" t="inlineStr"/>
    </row>
    <row r="140">
      <c r="A140" s="9" t="inlineStr">
        <is>
          <t>SCR-52</t>
        </is>
      </c>
      <c r="B140" s="16" t="inlineStr">
        <is>
          <t>顧客追跡（後方）</t>
        </is>
      </c>
      <c r="C140" s="9" t="n">
        <v>2</v>
      </c>
      <c r="D140" s="16" t="inlineStr">
        <is>
          <t>期間</t>
        </is>
      </c>
      <c r="E140" s="16" t="inlineStr">
        <is>
          <t>日付範囲</t>
        </is>
      </c>
      <c r="F140" s="9" t="inlineStr">
        <is>
          <t>入力</t>
        </is>
      </c>
      <c r="G140" s="9" t="inlineStr"/>
      <c r="H140" s="16" t="inlineStr">
        <is>
          <t>YYYY-MM-DD</t>
        </is>
      </c>
      <c r="I140" s="16" t="inlineStr">
        <is>
          <t>t_shipment.shipped_on</t>
        </is>
      </c>
      <c r="J140" s="16" t="inlineStr">
        <is>
          <t>直近1年</t>
        </is>
      </c>
      <c r="K140" s="16" t="inlineStr"/>
    </row>
    <row r="141">
      <c r="A141" s="9" t="inlineStr">
        <is>
          <t>SCR-52</t>
        </is>
      </c>
      <c r="B141" s="16" t="inlineStr">
        <is>
          <t>顧客追跡（後方）</t>
        </is>
      </c>
      <c r="C141" s="9" t="n">
        <v>3</v>
      </c>
      <c r="D141" s="16" t="inlineStr">
        <is>
          <t>購入ロット一覧</t>
        </is>
      </c>
      <c r="E141" s="16" t="inlineStr">
        <is>
          <t>一覧</t>
        </is>
      </c>
      <c r="F141" s="9" t="inlineStr">
        <is>
          <t>出力</t>
        </is>
      </c>
      <c r="G141" s="9" t="inlineStr"/>
      <c r="H141" s="16" t="inlineStr"/>
      <c r="I141" s="16" t="inlineStr">
        <is>
          <t>t_shipment_line, t_lot, m_product</t>
        </is>
      </c>
      <c r="J141" s="16" t="inlineStr"/>
      <c r="K141" s="16" t="inlineStr">
        <is>
          <t>出荷日・商品・ロット・使用期限・数量・ロットステータス（SQL-02）。RECALLEDは赤表示</t>
        </is>
      </c>
    </row>
    <row r="142">
      <c r="A142" s="9" t="inlineStr">
        <is>
          <t>SCR-53</t>
        </is>
      </c>
      <c r="B142" s="16" t="inlineStr">
        <is>
          <t>回収管理</t>
        </is>
      </c>
      <c r="C142" s="9" t="n">
        <v>1</v>
      </c>
      <c r="D142" s="16" t="inlineStr">
        <is>
          <t>回収番号</t>
        </is>
      </c>
      <c r="E142" s="16" t="inlineStr">
        <is>
          <t>ラベル</t>
        </is>
      </c>
      <c r="F142" s="9" t="inlineStr">
        <is>
          <t>出力</t>
        </is>
      </c>
      <c r="G142" s="9" t="inlineStr"/>
      <c r="H142" s="16" t="inlineStr"/>
      <c r="I142" s="16" t="inlineStr">
        <is>
          <t>t_recall.recall_no</t>
        </is>
      </c>
      <c r="J142" s="16" t="inlineStr"/>
      <c r="K142" s="16" t="inlineStr">
        <is>
          <t>保存時採番</t>
        </is>
      </c>
    </row>
    <row r="143">
      <c r="A143" s="9" t="inlineStr">
        <is>
          <t>SCR-53</t>
        </is>
      </c>
      <c r="B143" s="16" t="inlineStr">
        <is>
          <t>回収管理</t>
        </is>
      </c>
      <c r="C143" s="9" t="n">
        <v>2</v>
      </c>
      <c r="D143" s="16" t="inlineStr">
        <is>
          <t>件名</t>
        </is>
      </c>
      <c r="E143" s="16" t="inlineStr">
        <is>
          <t>テキスト</t>
        </is>
      </c>
      <c r="F143" s="9" t="inlineStr">
        <is>
          <t>入力</t>
        </is>
      </c>
      <c r="G143" s="9" t="inlineStr">
        <is>
          <t>Y</t>
        </is>
      </c>
      <c r="H143" s="16" t="inlineStr">
        <is>
          <t>100</t>
        </is>
      </c>
      <c r="I143" s="16" t="inlineStr">
        <is>
          <t>t_recall.title</t>
        </is>
      </c>
      <c r="J143" s="16" t="inlineStr"/>
      <c r="K143" s="16" t="inlineStr"/>
    </row>
    <row r="144">
      <c r="A144" s="9" t="inlineStr">
        <is>
          <t>SCR-53</t>
        </is>
      </c>
      <c r="B144" s="16" t="inlineStr">
        <is>
          <t>回収管理</t>
        </is>
      </c>
      <c r="C144" s="9" t="n">
        <v>3</v>
      </c>
      <c r="D144" s="16" t="inlineStr">
        <is>
          <t>回収理由</t>
        </is>
      </c>
      <c r="E144" s="16" t="inlineStr">
        <is>
          <t>テキストエリア</t>
        </is>
      </c>
      <c r="F144" s="9" t="inlineStr">
        <is>
          <t>入力</t>
        </is>
      </c>
      <c r="G144" s="9" t="inlineStr">
        <is>
          <t>Y</t>
        </is>
      </c>
      <c r="H144" s="16" t="inlineStr">
        <is>
          <t>2000</t>
        </is>
      </c>
      <c r="I144" s="16" t="inlineStr">
        <is>
          <t>t_recall.reason</t>
        </is>
      </c>
      <c r="J144" s="16" t="inlineStr"/>
      <c r="K144" s="16" t="inlineStr"/>
    </row>
    <row r="145">
      <c r="A145" s="9" t="inlineStr">
        <is>
          <t>SCR-53</t>
        </is>
      </c>
      <c r="B145" s="16" t="inlineStr">
        <is>
          <t>回収管理</t>
        </is>
      </c>
      <c r="C145" s="9" t="n">
        <v>4</v>
      </c>
      <c r="D145" s="16" t="inlineStr">
        <is>
          <t>重大度</t>
        </is>
      </c>
      <c r="E145" s="16" t="inlineStr">
        <is>
          <t>選択</t>
        </is>
      </c>
      <c r="F145" s="9" t="inlineStr">
        <is>
          <t>入力</t>
        </is>
      </c>
      <c r="G145" s="9" t="inlineStr">
        <is>
          <t>Y</t>
        </is>
      </c>
      <c r="H145" s="16" t="inlineStr">
        <is>
          <t>クラスI/II/III</t>
        </is>
      </c>
      <c r="I145" s="16" t="inlineStr">
        <is>
          <t>t_recall.severity</t>
        </is>
      </c>
      <c r="J145" s="16" t="inlineStr"/>
      <c r="K145" s="16" t="inlineStr"/>
    </row>
    <row r="146">
      <c r="A146" s="9" t="inlineStr">
        <is>
          <t>SCR-53</t>
        </is>
      </c>
      <c r="B146" s="16" t="inlineStr">
        <is>
          <t>回収管理</t>
        </is>
      </c>
      <c r="C146" s="9" t="n">
        <v>5</v>
      </c>
      <c r="D146" s="16" t="inlineStr">
        <is>
          <t>対象ロット</t>
        </is>
      </c>
      <c r="E146" s="16" t="inlineStr">
        <is>
          <t>複数選択</t>
        </is>
      </c>
      <c r="F146" s="9" t="inlineStr">
        <is>
          <t>入力</t>
        </is>
      </c>
      <c r="G146" s="9" t="inlineStr">
        <is>
          <t>Y</t>
        </is>
      </c>
      <c r="H146" s="16" t="inlineStr"/>
      <c r="I146" s="16" t="inlineStr">
        <is>
          <t>t_recall_lot.lot_id</t>
        </is>
      </c>
      <c r="J146" s="16" t="inlineStr"/>
      <c r="K146" s="16" t="inlineStr">
        <is>
          <t>1件以上</t>
        </is>
      </c>
    </row>
    <row r="147">
      <c r="A147" s="9" t="inlineStr">
        <is>
          <t>SCR-53</t>
        </is>
      </c>
      <c r="B147" s="16" t="inlineStr">
        <is>
          <t>回収管理</t>
        </is>
      </c>
      <c r="C147" s="9" t="n">
        <v>6</v>
      </c>
      <c r="D147" s="16" t="inlineStr">
        <is>
          <t>登録／対象顧客抽出ボタン</t>
        </is>
      </c>
      <c r="E147" s="16" t="inlineStr">
        <is>
          <t>ボタン</t>
        </is>
      </c>
      <c r="F147" s="9" t="inlineStr">
        <is>
          <t>—</t>
        </is>
      </c>
      <c r="G147" s="9" t="inlineStr"/>
      <c r="H147" s="16" t="inlineStr"/>
      <c r="I147" s="16" t="inlineStr"/>
      <c r="J147" s="16" t="inlineStr"/>
      <c r="K147" s="16" t="inlineStr">
        <is>
          <t>登録は P-08、抽出は P-18</t>
        </is>
      </c>
    </row>
    <row r="148">
      <c r="A148" s="9" t="inlineStr">
        <is>
          <t>SCR-53</t>
        </is>
      </c>
      <c r="B148" s="16" t="inlineStr">
        <is>
          <t>回収管理</t>
        </is>
      </c>
      <c r="C148" s="9" t="n">
        <v>7</v>
      </c>
      <c r="D148" s="16" t="inlineStr">
        <is>
          <t>対象顧客一覧</t>
        </is>
      </c>
      <c r="E148" s="16" t="inlineStr">
        <is>
          <t>一覧（編集可）</t>
        </is>
      </c>
      <c r="F148" s="9" t="inlineStr">
        <is>
          <t>入出力</t>
        </is>
      </c>
      <c r="G148" s="9" t="inlineStr"/>
      <c r="H148" s="16" t="inlineStr"/>
      <c r="I148" s="16" t="inlineStr">
        <is>
          <t>t_recall_target, m_ship_to</t>
        </is>
      </c>
      <c r="J148" s="16" t="inlineStr"/>
      <c r="K148" s="16" t="inlineStr">
        <is>
          <t>顧客・納品先・担当者・連絡先・出荷正味数量・回収数量（返品登録 SCR-43 から自動）を表示。連絡日・連絡方法を行内編集</t>
        </is>
      </c>
    </row>
    <row r="149">
      <c r="A149" s="9" t="inlineStr">
        <is>
          <t>SCR-53</t>
        </is>
      </c>
      <c r="B149" s="16" t="inlineStr">
        <is>
          <t>回収管理</t>
        </is>
      </c>
      <c r="C149" s="9" t="n">
        <v>8</v>
      </c>
      <c r="D149" s="16" t="inlineStr">
        <is>
          <t>進捗</t>
        </is>
      </c>
      <c r="E149" s="16" t="inlineStr">
        <is>
          <t>ラベル</t>
        </is>
      </c>
      <c r="F149" s="9" t="inlineStr">
        <is>
          <t>出力</t>
        </is>
      </c>
      <c r="G149" s="9" t="inlineStr"/>
      <c r="H149" s="16" t="inlineStr"/>
      <c r="I149" s="16" t="inlineStr">
        <is>
          <t>（集計）</t>
        </is>
      </c>
      <c r="J149" s="16" t="inlineStr"/>
      <c r="K149" s="16" t="inlineStr">
        <is>
          <t>連絡済率・回収率（回収数量/出荷数量）</t>
        </is>
      </c>
    </row>
    <row r="150">
      <c r="A150" s="9" t="inlineStr">
        <is>
          <t>SCR-53</t>
        </is>
      </c>
      <c r="B150" s="16" t="inlineStr">
        <is>
          <t>回収管理</t>
        </is>
      </c>
      <c r="C150" s="9" t="n">
        <v>9</v>
      </c>
      <c r="D150" s="16" t="inlineStr">
        <is>
          <t>完了ボタン</t>
        </is>
      </c>
      <c r="E150" s="16" t="inlineStr">
        <is>
          <t>ボタン</t>
        </is>
      </c>
      <c r="F150" s="9" t="inlineStr">
        <is>
          <t>—</t>
        </is>
      </c>
      <c r="G150" s="9" t="inlineStr"/>
      <c r="H150" s="16" t="inlineStr"/>
      <c r="I150" s="16" t="inlineStr"/>
      <c r="J150" s="16" t="inlineStr"/>
      <c r="K150" s="16" t="inlineStr">
        <is>
          <t>処理詳細 P-14（MSG-E24／MSG-W07）</t>
        </is>
      </c>
    </row>
    <row r="151">
      <c r="A151" s="9" t="inlineStr">
        <is>
          <t>SCR-53</t>
        </is>
      </c>
      <c r="B151" s="16" t="inlineStr">
        <is>
          <t>回収管理</t>
        </is>
      </c>
      <c r="C151" s="9" t="n">
        <v>10</v>
      </c>
      <c r="D151" s="16" t="inlineStr">
        <is>
          <t>ステータス（対象行）</t>
        </is>
      </c>
      <c r="E151" s="16" t="inlineStr">
        <is>
          <t>選択</t>
        </is>
      </c>
      <c r="F151" s="9" t="inlineStr">
        <is>
          <t>入力</t>
        </is>
      </c>
      <c r="G151" s="9" t="inlineStr"/>
      <c r="H151" s="16" t="inlineStr">
        <is>
          <t>CONTACTED/CLOSED</t>
        </is>
      </c>
      <c r="I151" s="16" t="inlineStr">
        <is>
          <t>t_recall_target.status</t>
        </is>
      </c>
      <c r="J151" s="16" t="inlineStr"/>
      <c r="K151" s="16" t="inlineStr">
        <is>
          <t>RECOVERED は自動設定。CLOSED は理由必須</t>
        </is>
      </c>
    </row>
    <row r="152">
      <c r="A152" s="9" t="inlineStr">
        <is>
          <t>SCR-53</t>
        </is>
      </c>
      <c r="B152" s="16" t="inlineStr">
        <is>
          <t>回収管理</t>
        </is>
      </c>
      <c r="C152" s="9" t="n">
        <v>11</v>
      </c>
      <c r="D152" s="16" t="inlineStr">
        <is>
          <t>回収不能数量（対象行）</t>
        </is>
      </c>
      <c r="E152" s="16" t="inlineStr">
        <is>
          <t>数値</t>
        </is>
      </c>
      <c r="F152" s="9" t="inlineStr">
        <is>
          <t>入力</t>
        </is>
      </c>
      <c r="G152" s="9" t="inlineStr"/>
      <c r="H152" s="16" t="inlineStr">
        <is>
          <t>整数</t>
        </is>
      </c>
      <c r="I152" s="16" t="inlineStr">
        <is>
          <t>t_recall_target.unrecoverable_qty</t>
        </is>
      </c>
      <c r="J152" s="16" t="inlineStr">
        <is>
          <t>0</t>
        </is>
      </c>
      <c r="K152" s="16" t="inlineStr">
        <is>
          <t>QAのみ。使用済等。回収数量＋回収不能数量 &gt;= 出荷正味で RECOVERED</t>
        </is>
      </c>
    </row>
    <row r="153">
      <c r="A153" s="9" t="inlineStr">
        <is>
          <t>SCR-53</t>
        </is>
      </c>
      <c r="B153" s="16" t="inlineStr">
        <is>
          <t>回収管理</t>
        </is>
      </c>
      <c r="C153" s="9" t="n">
        <v>12</v>
      </c>
      <c r="D153" s="16" t="inlineStr">
        <is>
          <t>クローズ理由（対象行）</t>
        </is>
      </c>
      <c r="E153" s="16" t="inlineStr">
        <is>
          <t>テキスト</t>
        </is>
      </c>
      <c r="F153" s="9" t="inlineStr">
        <is>
          <t>入力</t>
        </is>
      </c>
      <c r="G153" s="9" t="inlineStr">
        <is>
          <t>CLOSED時Y</t>
        </is>
      </c>
      <c r="H153" s="16" t="inlineStr">
        <is>
          <t>200</t>
        </is>
      </c>
      <c r="I153" s="16" t="inlineStr">
        <is>
          <t>t_recall_target.close_reason</t>
        </is>
      </c>
      <c r="J153" s="16" t="inlineStr"/>
      <c r="K153" s="16" t="inlineStr"/>
    </row>
    <row r="154">
      <c r="A154" s="9" t="inlineStr">
        <is>
          <t>SCR-53</t>
        </is>
      </c>
      <c r="B154" s="16" t="inlineStr">
        <is>
          <t>回収管理</t>
        </is>
      </c>
      <c r="C154" s="9" t="n">
        <v>13</v>
      </c>
      <c r="D154" s="16" t="inlineStr">
        <is>
          <t>再抽出ボタン</t>
        </is>
      </c>
      <c r="E154" s="16" t="inlineStr">
        <is>
          <t>ボタン</t>
        </is>
      </c>
      <c r="F154" s="9" t="inlineStr">
        <is>
          <t>—</t>
        </is>
      </c>
      <c r="G154" s="9" t="inlineStr"/>
      <c r="H154" s="16" t="inlineStr"/>
      <c r="I154" s="16" t="inlineStr"/>
      <c r="J154" s="16" t="inlineStr"/>
      <c r="K154" s="16" t="inlineStr">
        <is>
          <t>処理詳細 P-18（返品・出荷取消後の再計算）</t>
        </is>
      </c>
    </row>
    <row r="155">
      <c r="A155" s="9" t="inlineStr">
        <is>
          <t>SCR-61</t>
        </is>
      </c>
      <c r="B155" s="16" t="inlineStr">
        <is>
          <t>帳票出力</t>
        </is>
      </c>
      <c r="C155" s="9" t="n">
        <v>1</v>
      </c>
      <c r="D155" s="16" t="inlineStr">
        <is>
          <t>帳票種類</t>
        </is>
      </c>
      <c r="E155" s="16" t="inlineStr">
        <is>
          <t>選択</t>
        </is>
      </c>
      <c r="F155" s="9" t="inlineStr">
        <is>
          <t>入力</t>
        </is>
      </c>
      <c r="G155" s="9" t="inlineStr">
        <is>
          <t>Y</t>
        </is>
      </c>
      <c r="H155" s="16" t="inlineStr">
        <is>
          <t>RP-03〜RP-08</t>
        </is>
      </c>
      <c r="I155" s="16" t="inlineStr">
        <is>
          <t>（帳票一覧）</t>
        </is>
      </c>
      <c r="J155" s="16" t="inlineStr"/>
      <c r="K155" s="16" t="inlineStr">
        <is>
          <t>権限マトリクスで利用可能な帳票のみ表示</t>
        </is>
      </c>
    </row>
    <row r="156">
      <c r="A156" s="9" t="inlineStr">
        <is>
          <t>SCR-61</t>
        </is>
      </c>
      <c r="B156" s="16" t="inlineStr">
        <is>
          <t>帳票出力</t>
        </is>
      </c>
      <c r="C156" s="9" t="n">
        <v>2</v>
      </c>
      <c r="D156" s="16" t="inlineStr">
        <is>
          <t>抽出条件</t>
        </is>
      </c>
      <c r="E156" s="16" t="inlineStr">
        <is>
          <t>条件入力</t>
        </is>
      </c>
      <c r="F156" s="9" t="inlineStr">
        <is>
          <t>入力</t>
        </is>
      </c>
      <c r="G156" s="9" t="inlineStr"/>
      <c r="H156" s="16" t="inlineStr">
        <is>
          <t>帳票一覧の抽出条件</t>
        </is>
      </c>
      <c r="I156" s="16" t="inlineStr">
        <is>
          <t>（帳票一覧）</t>
        </is>
      </c>
      <c r="J156" s="16" t="inlineStr">
        <is>
          <t>当月</t>
        </is>
      </c>
      <c r="K156" s="16" t="inlineStr"/>
    </row>
    <row r="157">
      <c r="A157" s="9" t="inlineStr">
        <is>
          <t>SCR-61</t>
        </is>
      </c>
      <c r="B157" s="16" t="inlineStr">
        <is>
          <t>帳票出力</t>
        </is>
      </c>
      <c r="C157" s="9" t="n">
        <v>3</v>
      </c>
      <c r="D157" s="16" t="inlineStr">
        <is>
          <t>出力ボタン（画面/CSV/PDF）</t>
        </is>
      </c>
      <c r="E157" s="16" t="inlineStr">
        <is>
          <t>ボタン</t>
        </is>
      </c>
      <c r="F157" s="9" t="inlineStr">
        <is>
          <t>—</t>
        </is>
      </c>
      <c r="G157" s="9" t="inlineStr"/>
      <c r="H157" s="16" t="inlineStr"/>
      <c r="I157" s="16" t="inlineStr"/>
      <c r="J157" s="16" t="inlineStr"/>
      <c r="K157" s="16" t="inlineStr">
        <is>
          <t>監査ログ EXPORT 記録</t>
        </is>
      </c>
    </row>
    <row r="158">
      <c r="A158" s="9" t="inlineStr">
        <is>
          <t>SCR-62</t>
        </is>
      </c>
      <c r="B158" s="16" t="inlineStr">
        <is>
          <t>監査ログ照会</t>
        </is>
      </c>
      <c r="C158" s="9" t="n">
        <v>1</v>
      </c>
      <c r="D158" s="16" t="inlineStr">
        <is>
          <t>期間・ユーザー・操作・対象テーブル</t>
        </is>
      </c>
      <c r="E158" s="16" t="inlineStr">
        <is>
          <t>条件入力</t>
        </is>
      </c>
      <c r="F158" s="9" t="inlineStr">
        <is>
          <t>入力</t>
        </is>
      </c>
      <c r="G158" s="9" t="inlineStr"/>
      <c r="H158" s="16" t="inlineStr"/>
      <c r="I158" s="16" t="inlineStr">
        <is>
          <t>t_audit_log.occurred_at</t>
        </is>
      </c>
      <c r="J158" s="16" t="inlineStr">
        <is>
          <t>直近7日</t>
        </is>
      </c>
      <c r="K158" s="16" t="inlineStr"/>
    </row>
    <row r="159">
      <c r="A159" s="9" t="inlineStr">
        <is>
          <t>SCR-62</t>
        </is>
      </c>
      <c r="B159" s="16" t="inlineStr">
        <is>
          <t>監査ログ照会</t>
        </is>
      </c>
      <c r="C159" s="9" t="n">
        <v>2</v>
      </c>
      <c r="D159" s="16" t="inlineStr">
        <is>
          <t>検索結果</t>
        </is>
      </c>
      <c r="E159" s="16" t="inlineStr">
        <is>
          <t>一覧</t>
        </is>
      </c>
      <c r="F159" s="9" t="inlineStr">
        <is>
          <t>出力</t>
        </is>
      </c>
      <c r="G159" s="9" t="inlineStr"/>
      <c r="H159" s="16" t="inlineStr"/>
      <c r="I159" s="16" t="inlineStr">
        <is>
          <t>t_audit_log</t>
        </is>
      </c>
      <c r="J159" s="16" t="inlineStr"/>
      <c r="K159" s="16" t="inlineStr">
        <is>
          <t>発生日時・ユーザー・操作・対象・変更前後の差分表示</t>
        </is>
      </c>
    </row>
    <row r="160">
      <c r="A160" s="9" t="inlineStr">
        <is>
          <t>SCR-62</t>
        </is>
      </c>
      <c r="B160" s="16" t="inlineStr">
        <is>
          <t>監査ログ照会</t>
        </is>
      </c>
      <c r="C160" s="9" t="n">
        <v>3</v>
      </c>
      <c r="D160" s="16" t="inlineStr">
        <is>
          <t>CSV出力ボタン</t>
        </is>
      </c>
      <c r="E160" s="16" t="inlineStr">
        <is>
          <t>ボタン</t>
        </is>
      </c>
      <c r="F160" s="9" t="inlineStr">
        <is>
          <t>—</t>
        </is>
      </c>
      <c r="G160" s="9" t="inlineStr"/>
      <c r="H160" s="16" t="inlineStr"/>
      <c r="I160" s="16" t="inlineStr"/>
      <c r="J160" s="16" t="inlineStr"/>
      <c r="K160" s="16" t="inlineStr">
        <is>
          <t>監査ログ EXPORT 記録</t>
        </is>
      </c>
    </row>
  </sheetData>
  <autoFilter ref="A3:K160"/>
  <hyperlinks>
    <hyperlink xmlns:r="http://schemas.openxmlformats.org/officeDocument/2006/relationships" ref="K1" r:id="rId1"/>
  </hyperlinks>
  <printOptions gridLines="0"/>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G54"/>
  <sheetViews>
    <sheetView zoomScale="90" workbookViewId="0">
      <pane ySplit="3" topLeftCell="A4" activePane="bottomLeft" state="frozen"/>
      <selection pane="bottomLeft" activeCell="A1" sqref="A1"/>
    </sheetView>
  </sheetViews>
  <sheetFormatPr baseColWidth="8" defaultRowHeight="15"/>
  <cols>
    <col width="9" customWidth="1" min="1" max="1"/>
    <col width="12" customWidth="1" min="2" max="2"/>
    <col width="38" customWidth="1" min="3" max="3"/>
    <col width="38" customWidth="1" min="4" max="4"/>
    <col width="18" customWidth="1" min="5" max="5"/>
    <col width="30" customWidth="1" min="6" max="6"/>
    <col width="9" customWidth="1" min="7" max="7"/>
  </cols>
  <sheetData>
    <row r="1">
      <c r="A1" s="5" t="inlineStr">
        <is>
          <t>API一覧</t>
        </is>
      </c>
      <c r="G1" s="15" t="inlineStr">
        <is>
          <t>← 表紙へ</t>
        </is>
      </c>
    </row>
    <row r="2">
      <c r="A2" s="17" t="inlineStr">
        <is>
          <t>全APIはサーバー側で認証・権限（権限マトリクス）を検証する。更新系は楽観ロック（version）必須。エラーは {code, message_id, message} を返す</t>
        </is>
      </c>
    </row>
    <row r="3">
      <c r="A3" s="8" t="inlineStr">
        <is>
          <t>API ID</t>
        </is>
      </c>
      <c r="B3" s="8" t="inlineStr">
        <is>
          <t>メソッド</t>
        </is>
      </c>
      <c r="C3" s="8" t="inlineStr">
        <is>
          <t>パス</t>
        </is>
      </c>
      <c r="D3" s="8" t="inlineStr">
        <is>
          <t>概要</t>
        </is>
      </c>
      <c r="E3" s="8" t="inlineStr">
        <is>
          <t>関連機能ID</t>
        </is>
      </c>
      <c r="F3" s="8" t="inlineStr">
        <is>
          <t>許可ロール</t>
        </is>
      </c>
      <c r="G3" s="8" t="inlineStr">
        <is>
          <t>処理詳細</t>
        </is>
      </c>
    </row>
    <row r="4">
      <c r="A4" s="9" t="inlineStr">
        <is>
          <t>API-001</t>
        </is>
      </c>
      <c r="B4" s="9" t="inlineStr">
        <is>
          <t>POST</t>
        </is>
      </c>
      <c r="C4" s="16" t="inlineStr">
        <is>
          <t>/api/auth/login</t>
        </is>
      </c>
      <c r="D4" s="16" t="inlineStr">
        <is>
          <t>ログイン（2要素認証は /api/auth/mfa）</t>
        </is>
      </c>
      <c r="E4" s="16" t="inlineStr">
        <is>
          <t>SYS-01</t>
        </is>
      </c>
      <c r="F4" s="16" t="inlineStr">
        <is>
          <t>全員</t>
        </is>
      </c>
      <c r="G4" s="9" t="inlineStr"/>
    </row>
    <row r="5">
      <c r="A5" s="9" t="inlineStr">
        <is>
          <t>API-010</t>
        </is>
      </c>
      <c r="B5" s="9" t="inlineStr">
        <is>
          <t>GET</t>
        </is>
      </c>
      <c r="C5" s="16" t="inlineStr">
        <is>
          <t>/api/suppliers</t>
        </is>
      </c>
      <c r="D5" s="16" t="inlineStr">
        <is>
          <t>仕入先検索</t>
        </is>
      </c>
      <c r="E5" s="16" t="inlineStr">
        <is>
          <t>MST-01</t>
        </is>
      </c>
      <c r="F5" s="16" t="inlineStr">
        <is>
          <t>全ロール</t>
        </is>
      </c>
      <c r="G5" s="9" t="inlineStr"/>
    </row>
    <row r="6">
      <c r="A6" s="9" t="inlineStr">
        <is>
          <t>API-011</t>
        </is>
      </c>
      <c r="B6" s="9" t="inlineStr">
        <is>
          <t>POST/PUT</t>
        </is>
      </c>
      <c r="C6" s="16" t="inlineStr">
        <is>
          <t>/api/suppliers[/{id}]</t>
        </is>
      </c>
      <c r="D6" s="16" t="inlineStr">
        <is>
          <t>仕入先登録・更新</t>
        </is>
      </c>
      <c r="E6" s="16" t="inlineStr">
        <is>
          <t>MST-01</t>
        </is>
      </c>
      <c r="F6" s="16" t="inlineStr">
        <is>
          <t>ADMIN</t>
        </is>
      </c>
      <c r="G6" s="9" t="inlineStr"/>
    </row>
    <row r="7">
      <c r="A7" s="9" t="inlineStr">
        <is>
          <t>API-012</t>
        </is>
      </c>
      <c r="B7" s="9" t="inlineStr">
        <is>
          <t>GET</t>
        </is>
      </c>
      <c r="C7" s="16" t="inlineStr">
        <is>
          <t>/api/products</t>
        </is>
      </c>
      <c r="D7" s="16" t="inlineStr">
        <is>
          <t>商品検索</t>
        </is>
      </c>
      <c r="E7" s="16" t="inlineStr">
        <is>
          <t>MST-02</t>
        </is>
      </c>
      <c r="F7" s="16" t="inlineStr">
        <is>
          <t>全ロール</t>
        </is>
      </c>
      <c r="G7" s="9" t="inlineStr"/>
    </row>
    <row r="8">
      <c r="A8" s="9" t="inlineStr">
        <is>
          <t>API-013</t>
        </is>
      </c>
      <c r="B8" s="9" t="inlineStr">
        <is>
          <t>POST/PUT</t>
        </is>
      </c>
      <c r="C8" s="16" t="inlineStr">
        <is>
          <t>/api/products[/{id}]</t>
        </is>
      </c>
      <c r="D8" s="16" t="inlineStr">
        <is>
          <t>商品登録・更新</t>
        </is>
      </c>
      <c r="E8" s="16" t="inlineStr">
        <is>
          <t>MST-02</t>
        </is>
      </c>
      <c r="F8" s="16" t="inlineStr">
        <is>
          <t>ADMIN,PURCHASE</t>
        </is>
      </c>
      <c r="G8" s="9" t="inlineStr"/>
    </row>
    <row r="9">
      <c r="A9" s="9" t="inlineStr">
        <is>
          <t>API-014</t>
        </is>
      </c>
      <c r="B9" s="9" t="inlineStr">
        <is>
          <t>GET</t>
        </is>
      </c>
      <c r="C9" s="16" t="inlineStr">
        <is>
          <t>/api/customers</t>
        </is>
      </c>
      <c r="D9" s="16" t="inlineStr">
        <is>
          <t>顧客検索</t>
        </is>
      </c>
      <c r="E9" s="16" t="inlineStr">
        <is>
          <t>MST-03</t>
        </is>
      </c>
      <c r="F9" s="16" t="inlineStr">
        <is>
          <t>全ロール</t>
        </is>
      </c>
      <c r="G9" s="9" t="inlineStr"/>
    </row>
    <row r="10">
      <c r="A10" s="9" t="inlineStr">
        <is>
          <t>API-015</t>
        </is>
      </c>
      <c r="B10" s="9" t="inlineStr">
        <is>
          <t>POST/PUT</t>
        </is>
      </c>
      <c r="C10" s="16" t="inlineStr">
        <is>
          <t>/api/customers[/{id}]</t>
        </is>
      </c>
      <c r="D10" s="16" t="inlineStr">
        <is>
          <t>顧客・納品先登録・更新</t>
        </is>
      </c>
      <c r="E10" s="16" t="inlineStr">
        <is>
          <t>MST-03</t>
        </is>
      </c>
      <c r="F10" s="16" t="inlineStr">
        <is>
          <t>ADMIN,SALES</t>
        </is>
      </c>
      <c r="G10" s="9" t="inlineStr"/>
    </row>
    <row r="11">
      <c r="A11" s="9" t="inlineStr">
        <is>
          <t>API-016</t>
        </is>
      </c>
      <c r="B11" s="9" t="inlineStr">
        <is>
          <t>GET/POST/PUT</t>
        </is>
      </c>
      <c r="C11" s="16" t="inlineStr">
        <is>
          <t>/api/locations[/{id}]</t>
        </is>
      </c>
      <c r="D11" s="16" t="inlineStr">
        <is>
          <t>保管場所</t>
        </is>
      </c>
      <c r="E11" s="16" t="inlineStr">
        <is>
          <t>MST-04</t>
        </is>
      </c>
      <c r="F11" s="16" t="inlineStr">
        <is>
          <t>参照:全ロール／更新:ADMIN,WAREHOUSE</t>
        </is>
      </c>
      <c r="G11" s="9" t="inlineStr"/>
    </row>
    <row r="12">
      <c r="A12" s="9" t="inlineStr">
        <is>
          <t>API-017</t>
        </is>
      </c>
      <c r="B12" s="9" t="inlineStr">
        <is>
          <t>GET/POST/PUT</t>
        </is>
      </c>
      <c r="C12" s="16" t="inlineStr">
        <is>
          <t>/api/users[/{id}]</t>
        </is>
      </c>
      <c r="D12" s="16" t="inlineStr">
        <is>
          <t>ユーザー管理</t>
        </is>
      </c>
      <c r="E12" s="16" t="inlineStr">
        <is>
          <t>MST-05</t>
        </is>
      </c>
      <c r="F12" s="16" t="inlineStr">
        <is>
          <t>ADMIN</t>
        </is>
      </c>
      <c r="G12" s="9" t="inlineStr"/>
    </row>
    <row r="13">
      <c r="A13" s="9" t="inlineStr">
        <is>
          <t>API-018</t>
        </is>
      </c>
      <c r="B13" s="9" t="inlineStr">
        <is>
          <t>GET/PUT</t>
        </is>
      </c>
      <c r="C13" s="16" t="inlineStr">
        <is>
          <t>/api/sales-rules</t>
        </is>
      </c>
      <c r="D13" s="16" t="inlineStr">
        <is>
          <t>販売可否ルール（更新はADMIN登録→QA承認の2段階）</t>
        </is>
      </c>
      <c r="E13" s="16" t="inlineStr">
        <is>
          <t>MST-06</t>
        </is>
      </c>
      <c r="F13" s="16" t="inlineStr">
        <is>
          <t>ADMIN,QA</t>
        </is>
      </c>
      <c r="G13" s="9" t="inlineStr"/>
    </row>
    <row r="14">
      <c r="A14" s="9" t="inlineStr">
        <is>
          <t>API-020</t>
        </is>
      </c>
      <c r="B14" s="9" t="inlineStr">
        <is>
          <t>GET/POST/PUT</t>
        </is>
      </c>
      <c r="C14" s="16" t="inlineStr">
        <is>
          <t>/api/purchase-orders[/{id}]</t>
        </is>
      </c>
      <c r="D14" s="16" t="inlineStr">
        <is>
          <t>発注検索・登録・更新</t>
        </is>
      </c>
      <c r="E14" s="16" t="inlineStr">
        <is>
          <t>PUR-01</t>
        </is>
      </c>
      <c r="F14" s="16" t="inlineStr">
        <is>
          <t>ADMIN,PURCHASE</t>
        </is>
      </c>
      <c r="G14" s="9" t="inlineStr"/>
    </row>
    <row r="15">
      <c r="A15" s="9" t="inlineStr">
        <is>
          <t>API-021</t>
        </is>
      </c>
      <c r="B15" s="9" t="inlineStr">
        <is>
          <t>POST</t>
        </is>
      </c>
      <c r="C15" s="16" t="inlineStr">
        <is>
          <t>/api/purchase-orders/{id}/approve</t>
        </is>
      </c>
      <c r="D15" s="16" t="inlineStr">
        <is>
          <t>発注承認</t>
        </is>
      </c>
      <c r="E15" s="16" t="inlineStr">
        <is>
          <t>PUR-02</t>
        </is>
      </c>
      <c r="F15" s="16" t="inlineStr">
        <is>
          <t>ADMIN</t>
        </is>
      </c>
      <c r="G15" s="9" t="inlineStr"/>
    </row>
    <row r="16">
      <c r="A16" s="9" t="inlineStr">
        <is>
          <t>API-022</t>
        </is>
      </c>
      <c r="B16" s="9" t="inlineStr">
        <is>
          <t>POST</t>
        </is>
      </c>
      <c r="C16" s="16" t="inlineStr">
        <is>
          <t>/api/purchase-orders/{id}/cancel</t>
        </is>
      </c>
      <c r="D16" s="16" t="inlineStr">
        <is>
          <t>発注取消</t>
        </is>
      </c>
      <c r="E16" s="16" t="inlineStr">
        <is>
          <t>PUR-01</t>
        </is>
      </c>
      <c r="F16" s="16" t="inlineStr">
        <is>
          <t>ADMIN,PURCHASE</t>
        </is>
      </c>
      <c r="G16" s="9" t="inlineStr"/>
    </row>
    <row r="17">
      <c r="A17" s="9" t="inlineStr">
        <is>
          <t>API-024</t>
        </is>
      </c>
      <c r="B17" s="9" t="inlineStr">
        <is>
          <t>POST</t>
        </is>
      </c>
      <c r="C17" s="16" t="inlineStr">
        <is>
          <t>/api/purchase-orders/{id}/close</t>
        </is>
      </c>
      <c r="D17" s="16" t="inlineStr">
        <is>
          <t>発注残数打切り（発注をロックし、未確定(DRAFT)の入荷があれば不可：MSG-E32）</t>
        </is>
      </c>
      <c r="E17" s="16" t="inlineStr">
        <is>
          <t>PUR-01</t>
        </is>
      </c>
      <c r="F17" s="16" t="inlineStr">
        <is>
          <t>ADMIN,PURCHASE</t>
        </is>
      </c>
      <c r="G17" s="9" t="inlineStr"/>
    </row>
    <row r="18">
      <c r="A18" s="9" t="inlineStr">
        <is>
          <t>API-023</t>
        </is>
      </c>
      <c r="B18" s="9" t="inlineStr">
        <is>
          <t>GET</t>
        </is>
      </c>
      <c r="C18" s="16" t="inlineStr">
        <is>
          <t>/api/purchase-orders/{id}/pdf</t>
        </is>
      </c>
      <c r="D18" s="16" t="inlineStr">
        <is>
          <t>発注書PDF</t>
        </is>
      </c>
      <c r="E18" s="16" t="inlineStr">
        <is>
          <t>PUR-02</t>
        </is>
      </c>
      <c r="F18" s="16" t="inlineStr">
        <is>
          <t>ADMIN,PURCHASE</t>
        </is>
      </c>
      <c r="G18" s="9" t="inlineStr"/>
    </row>
    <row r="19">
      <c r="A19" s="9" t="inlineStr">
        <is>
          <t>API-030</t>
        </is>
      </c>
      <c r="B19" s="9" t="inlineStr">
        <is>
          <t>POST</t>
        </is>
      </c>
      <c r="C19" s="16" t="inlineStr">
        <is>
          <t>/api/receipts</t>
        </is>
      </c>
      <c r="D19" s="16" t="inlineStr">
        <is>
          <t>入荷登録（下書き）</t>
        </is>
      </c>
      <c r="E19" s="16" t="inlineStr">
        <is>
          <t>RCV-01</t>
        </is>
      </c>
      <c r="F19" s="16" t="inlineStr">
        <is>
          <t>ADMIN,WAREHOUSE</t>
        </is>
      </c>
      <c r="G19" s="9" t="inlineStr"/>
    </row>
    <row r="20">
      <c r="A20" s="9" t="inlineStr">
        <is>
          <t>API-031</t>
        </is>
      </c>
      <c r="B20" s="9" t="inlineStr">
        <is>
          <t>POST</t>
        </is>
      </c>
      <c r="C20" s="16" t="inlineStr">
        <is>
          <t>/api/receipts/{id}/confirm</t>
        </is>
      </c>
      <c r="D20" s="16" t="inlineStr">
        <is>
          <t>入荷確定（ロット生成・在庫加算）</t>
        </is>
      </c>
      <c r="E20" s="16" t="inlineStr">
        <is>
          <t>RCV-01</t>
        </is>
      </c>
      <c r="F20" s="16" t="inlineStr">
        <is>
          <t>ADMIN,WAREHOUSE</t>
        </is>
      </c>
      <c r="G20" s="9" t="inlineStr">
        <is>
          <t>P-01</t>
        </is>
      </c>
    </row>
    <row r="21">
      <c r="A21" s="9" t="inlineStr">
        <is>
          <t>API-034</t>
        </is>
      </c>
      <c r="B21" s="9" t="inlineStr">
        <is>
          <t>POST</t>
        </is>
      </c>
      <c r="C21" s="16" t="inlineStr">
        <is>
          <t>/api/receipts/{id}/cancel</t>
        </is>
      </c>
      <c r="D21" s="16" t="inlineStr">
        <is>
          <t>入荷取消（赤伝）</t>
        </is>
      </c>
      <c r="E21" s="16" t="inlineStr">
        <is>
          <t>RCV-01</t>
        </is>
      </c>
      <c r="F21" s="16" t="inlineStr">
        <is>
          <t>ADMIN</t>
        </is>
      </c>
      <c r="G21" s="9" t="inlineStr">
        <is>
          <t>P-12</t>
        </is>
      </c>
    </row>
    <row r="22">
      <c r="A22" s="9" t="inlineStr">
        <is>
          <t>API-036</t>
        </is>
      </c>
      <c r="B22" s="9" t="inlineStr">
        <is>
          <t>POST</t>
        </is>
      </c>
      <c r="C22" s="16" t="inlineStr">
        <is>
          <t>/api/receipts/{id}/discard</t>
        </is>
      </c>
      <c r="D22" s="16" t="inlineStr">
        <is>
          <t>下書き入荷の破棄（DRAFT→CANCELLED）</t>
        </is>
      </c>
      <c r="E22" s="16" t="inlineStr">
        <is>
          <t>RCV-01</t>
        </is>
      </c>
      <c r="F22" s="16" t="inlineStr">
        <is>
          <t>ADMIN,WAREHOUSE</t>
        </is>
      </c>
      <c r="G22" s="9" t="inlineStr">
        <is>
          <t>P-20</t>
        </is>
      </c>
    </row>
    <row r="23">
      <c r="A23" s="9" t="inlineStr">
        <is>
          <t>API-035</t>
        </is>
      </c>
      <c r="B23" s="9" t="inlineStr">
        <is>
          <t>POST</t>
        </is>
      </c>
      <c r="C23" s="16" t="inlineStr">
        <is>
          <t>/api/receipt-lines/{id}/split-inspection</t>
        </is>
      </c>
      <c r="D23" s="16" t="inlineStr">
        <is>
          <t>分納受入判定</t>
        </is>
      </c>
      <c r="E23" s="16" t="inlineStr">
        <is>
          <t>RCV-02</t>
        </is>
      </c>
      <c r="F23" s="16" t="inlineStr">
        <is>
          <t>QA</t>
        </is>
      </c>
      <c r="G23" s="9" t="inlineStr">
        <is>
          <t>P-16</t>
        </is>
      </c>
    </row>
    <row r="24">
      <c r="A24" s="9" t="inlineStr">
        <is>
          <t>API-032</t>
        </is>
      </c>
      <c r="B24" s="9" t="inlineStr">
        <is>
          <t>POST</t>
        </is>
      </c>
      <c r="C24" s="16" t="inlineStr">
        <is>
          <t>/api/lots/{id}/inspection</t>
        </is>
      </c>
      <c r="D24" s="16" t="inlineStr">
        <is>
          <t>受入検品判定</t>
        </is>
      </c>
      <c r="E24" s="16" t="inlineStr">
        <is>
          <t>RCV-02</t>
        </is>
      </c>
      <c r="F24" s="16" t="inlineStr">
        <is>
          <t>QA</t>
        </is>
      </c>
      <c r="G24" s="9" t="inlineStr">
        <is>
          <t>P-02</t>
        </is>
      </c>
    </row>
    <row r="25">
      <c r="A25" s="9" t="inlineStr">
        <is>
          <t>API-033</t>
        </is>
      </c>
      <c r="B25" s="9" t="inlineStr">
        <is>
          <t>POST</t>
        </is>
      </c>
      <c r="C25" s="16" t="inlineStr">
        <is>
          <t>/api/attachments</t>
        </is>
      </c>
      <c r="D25" s="16" t="inlineStr">
        <is>
          <t>添付アップロード（COA等）</t>
        </is>
      </c>
      <c r="E25" s="16" t="inlineStr">
        <is>
          <t>RCV-02</t>
        </is>
      </c>
      <c r="F25" s="16" t="inlineStr">
        <is>
          <t>QA</t>
        </is>
      </c>
      <c r="G25" s="9" t="inlineStr"/>
    </row>
    <row r="26">
      <c r="A26" s="9" t="inlineStr">
        <is>
          <t>API-040</t>
        </is>
      </c>
      <c r="B26" s="9" t="inlineStr">
        <is>
          <t>GET</t>
        </is>
      </c>
      <c r="C26" s="16" t="inlineStr">
        <is>
          <t>/api/lots</t>
        </is>
      </c>
      <c r="D26" s="16" t="inlineStr">
        <is>
          <t>ロット検索</t>
        </is>
      </c>
      <c r="E26" s="16" t="inlineStr">
        <is>
          <t>LOT-01</t>
        </is>
      </c>
      <c r="F26" s="16" t="inlineStr">
        <is>
          <t>全ロール</t>
        </is>
      </c>
      <c r="G26" s="9" t="inlineStr"/>
    </row>
    <row r="27">
      <c r="A27" s="9" t="inlineStr">
        <is>
          <t>API-041</t>
        </is>
      </c>
      <c r="B27" s="9" t="inlineStr">
        <is>
          <t>GET</t>
        </is>
      </c>
      <c r="C27" s="16" t="inlineStr">
        <is>
          <t>/api/lots/{id}</t>
        </is>
      </c>
      <c r="D27" s="16" t="inlineStr">
        <is>
          <t>ロット詳細（在庫・履歴・添付）</t>
        </is>
      </c>
      <c r="E27" s="16" t="inlineStr">
        <is>
          <t>LOT-01</t>
        </is>
      </c>
      <c r="F27" s="16" t="inlineStr">
        <is>
          <t>全ロール</t>
        </is>
      </c>
      <c r="G27" s="9" t="inlineStr"/>
    </row>
    <row r="28">
      <c r="A28" s="9" t="inlineStr">
        <is>
          <t>API-042</t>
        </is>
      </c>
      <c r="B28" s="9" t="inlineStr">
        <is>
          <t>POST</t>
        </is>
      </c>
      <c r="C28" s="16" t="inlineStr">
        <is>
          <t>/api/lots/{id}/status</t>
        </is>
      </c>
      <c r="D28" s="16" t="inlineStr">
        <is>
          <t>ロットステータス変更</t>
        </is>
      </c>
      <c r="E28" s="16" t="inlineStr">
        <is>
          <t>LOT-02</t>
        </is>
      </c>
      <c r="F28" s="16" t="inlineStr">
        <is>
          <t>QA</t>
        </is>
      </c>
      <c r="G28" s="9" t="inlineStr">
        <is>
          <t>P-15</t>
        </is>
      </c>
    </row>
    <row r="29">
      <c r="A29" s="9" t="inlineStr">
        <is>
          <t>API-050</t>
        </is>
      </c>
      <c r="B29" s="9" t="inlineStr">
        <is>
          <t>GET</t>
        </is>
      </c>
      <c r="C29" s="16" t="inlineStr">
        <is>
          <t>/api/inventory</t>
        </is>
      </c>
      <c r="D29" s="16" t="inlineStr">
        <is>
          <t>在庫照会</t>
        </is>
      </c>
      <c r="E29" s="16" t="inlineStr">
        <is>
          <t>INV-01</t>
        </is>
      </c>
      <c r="F29" s="16" t="inlineStr">
        <is>
          <t>全ロール</t>
        </is>
      </c>
      <c r="G29" s="9" t="inlineStr"/>
    </row>
    <row r="30">
      <c r="A30" s="9" t="inlineStr">
        <is>
          <t>API-051</t>
        </is>
      </c>
      <c r="B30" s="9" t="inlineStr">
        <is>
          <t>POST</t>
        </is>
      </c>
      <c r="C30" s="16" t="inlineStr">
        <is>
          <t>/api/stock/transfers</t>
        </is>
      </c>
      <c r="D30" s="16" t="inlineStr">
        <is>
          <t>保管場所間移動</t>
        </is>
      </c>
      <c r="E30" s="16" t="inlineStr">
        <is>
          <t>INV-02</t>
        </is>
      </c>
      <c r="F30" s="16" t="inlineStr">
        <is>
          <t>ADMIN,WAREHOUSE</t>
        </is>
      </c>
      <c r="G30" s="9" t="inlineStr">
        <is>
          <t>P-10</t>
        </is>
      </c>
    </row>
    <row r="31">
      <c r="A31" s="9" t="inlineStr">
        <is>
          <t>API-052</t>
        </is>
      </c>
      <c r="B31" s="9" t="inlineStr">
        <is>
          <t>POST</t>
        </is>
      </c>
      <c r="C31" s="16" t="inlineStr">
        <is>
          <t>/api/stock/adjustments</t>
        </is>
      </c>
      <c r="D31" s="16" t="inlineStr">
        <is>
          <t>棚卸調整・廃棄。通常保管場所は実棚数、隔離保管場所は ref_type/ref_id と減少数量を指定。ADMIN は隔離例外移動の赤伝（P-10 ステップ5）も可</t>
        </is>
      </c>
      <c r="E31" s="16" t="inlineStr">
        <is>
          <t>INV-03</t>
        </is>
      </c>
      <c r="F31" s="16" t="inlineStr">
        <is>
          <t>ADMIN,WAREHOUSE（隔離保管場所の差異処理は QA のみ）</t>
        </is>
      </c>
      <c r="G31" s="9" t="inlineStr">
        <is>
          <t>P-10</t>
        </is>
      </c>
    </row>
    <row r="32">
      <c r="A32" s="9" t="inlineStr">
        <is>
          <t>API-055</t>
        </is>
      </c>
      <c r="B32" s="9" t="inlineStr">
        <is>
          <t>POST</t>
        </is>
      </c>
      <c r="C32" s="16" t="inlineStr">
        <is>
          <t>/api/stock/supplier-returns</t>
        </is>
      </c>
      <c r="D32" s="16" t="inlineStr">
        <is>
          <t>仕入先返品</t>
        </is>
      </c>
      <c r="E32" s="16" t="inlineStr">
        <is>
          <t>INV-03</t>
        </is>
      </c>
      <c r="F32" s="16" t="inlineStr">
        <is>
          <t>ADMIN,WAREHOUSE</t>
        </is>
      </c>
      <c r="G32" s="9" t="inlineStr">
        <is>
          <t>P-17</t>
        </is>
      </c>
    </row>
    <row r="33">
      <c r="A33" s="9" t="inlineStr">
        <is>
          <t>API-053</t>
        </is>
      </c>
      <c r="B33" s="9" t="inlineStr">
        <is>
          <t>POST</t>
        </is>
      </c>
      <c r="C33" s="16" t="inlineStr">
        <is>
          <t>/api/temperature-logs[/import]</t>
        </is>
      </c>
      <c r="D33" s="16" t="inlineStr">
        <is>
          <t>温度記録登録・CSV取込</t>
        </is>
      </c>
      <c r="E33" s="16" t="inlineStr">
        <is>
          <t>INV-04</t>
        </is>
      </c>
      <c r="F33" s="16" t="inlineStr">
        <is>
          <t>ADMIN,WAREHOUSE,QA</t>
        </is>
      </c>
      <c r="G33" s="9" t="inlineStr">
        <is>
          <t>P-09</t>
        </is>
      </c>
    </row>
    <row r="34">
      <c r="A34" s="9" t="inlineStr">
        <is>
          <t>API-054</t>
        </is>
      </c>
      <c r="B34" s="9" t="inlineStr">
        <is>
          <t>GET</t>
        </is>
      </c>
      <c r="C34" s="16" t="inlineStr">
        <is>
          <t>/api/alerts</t>
        </is>
      </c>
      <c r="D34" s="16" t="inlineStr">
        <is>
          <t>アラート一覧</t>
        </is>
      </c>
      <c r="E34" s="16" t="inlineStr">
        <is>
          <t>INV-05</t>
        </is>
      </c>
      <c r="F34" s="16" t="inlineStr">
        <is>
          <t>全ロール</t>
        </is>
      </c>
      <c r="G34" s="9" t="inlineStr"/>
    </row>
    <row r="35">
      <c r="A35" s="9" t="inlineStr">
        <is>
          <t>API-060</t>
        </is>
      </c>
      <c r="B35" s="9" t="inlineStr">
        <is>
          <t>GET/POST/PUT</t>
        </is>
      </c>
      <c r="C35" s="16" t="inlineStr">
        <is>
          <t>/api/sales-orders[/{id}]</t>
        </is>
      </c>
      <c r="D35" s="16" t="inlineStr">
        <is>
          <t>受注検索・登録・更新</t>
        </is>
      </c>
      <c r="E35" s="16" t="inlineStr">
        <is>
          <t>SAL-01</t>
        </is>
      </c>
      <c r="F35" s="16" t="inlineStr">
        <is>
          <t>ADMIN,SALES</t>
        </is>
      </c>
      <c r="G35" s="9" t="inlineStr">
        <is>
          <t>P-03</t>
        </is>
      </c>
    </row>
    <row r="36">
      <c r="A36" s="9" t="inlineStr">
        <is>
          <t>API-062</t>
        </is>
      </c>
      <c r="B36" s="9" t="inlineStr">
        <is>
          <t>POST</t>
        </is>
      </c>
      <c r="C36" s="16" t="inlineStr">
        <is>
          <t>/api/sales-orders/{id}/close</t>
        </is>
      </c>
      <c r="D36" s="16" t="inlineStr">
        <is>
          <t>受注残数打切り（PARTIAL、または出荷済&gt;0 の CREDIT_PENDING）</t>
        </is>
      </c>
      <c r="E36" s="16" t="inlineStr">
        <is>
          <t>SAL-01</t>
        </is>
      </c>
      <c r="F36" s="16" t="inlineStr">
        <is>
          <t>ADMIN,SALES</t>
        </is>
      </c>
      <c r="G36" s="9" t="inlineStr">
        <is>
          <t>P-03</t>
        </is>
      </c>
    </row>
    <row r="37">
      <c r="A37" s="9" t="inlineStr">
        <is>
          <t>API-063</t>
        </is>
      </c>
      <c r="B37" s="9" t="inlineStr">
        <is>
          <t>POST</t>
        </is>
      </c>
      <c r="C37" s="16" t="inlineStr">
        <is>
          <t>/api/sales-orders/{id}/credit-approve</t>
        </is>
      </c>
      <c r="D37" s="16" t="inlineStr">
        <is>
          <t>与信超過の承認（CREDIT_PENDING→OPEN）</t>
        </is>
      </c>
      <c r="E37" s="16" t="inlineStr">
        <is>
          <t>SAL-01</t>
        </is>
      </c>
      <c r="F37" s="16" t="inlineStr">
        <is>
          <t>ADMIN</t>
        </is>
      </c>
      <c r="G37" s="9" t="inlineStr">
        <is>
          <t>P-03</t>
        </is>
      </c>
    </row>
    <row r="38">
      <c r="A38" s="9" t="inlineStr">
        <is>
          <t>API-061</t>
        </is>
      </c>
      <c r="B38" s="9" t="inlineStr">
        <is>
          <t>POST</t>
        </is>
      </c>
      <c r="C38" s="16" t="inlineStr">
        <is>
          <t>/api/sales-orders/{id}/cancel</t>
        </is>
      </c>
      <c r="D38" s="16" t="inlineStr">
        <is>
          <t>受注取消</t>
        </is>
      </c>
      <c r="E38" s="16" t="inlineStr">
        <is>
          <t>SAL-01</t>
        </is>
      </c>
      <c r="F38" s="16" t="inlineStr">
        <is>
          <t>ADMIN,SALES</t>
        </is>
      </c>
      <c r="G38" s="9" t="inlineStr">
        <is>
          <t>P-03</t>
        </is>
      </c>
    </row>
    <row r="39">
      <c r="A39" s="9" t="inlineStr">
        <is>
          <t>API-070</t>
        </is>
      </c>
      <c r="B39" s="9" t="inlineStr">
        <is>
          <t>POST</t>
        </is>
      </c>
      <c r="C39" s="16" t="inlineStr">
        <is>
          <t>/api/shipments/allocate</t>
        </is>
      </c>
      <c r="D39" s="16" t="inlineStr">
        <is>
          <t>自動引当（FEFO）</t>
        </is>
      </c>
      <c r="E39" s="16" t="inlineStr">
        <is>
          <t>SHP-01</t>
        </is>
      </c>
      <c r="F39" s="16" t="inlineStr">
        <is>
          <t>ADMIN,WAREHOUSE</t>
        </is>
      </c>
      <c r="G39" s="9" t="inlineStr">
        <is>
          <t>P-04</t>
        </is>
      </c>
    </row>
    <row r="40">
      <c r="A40" s="9" t="inlineStr">
        <is>
          <t>API-071</t>
        </is>
      </c>
      <c r="B40" s="9" t="inlineStr">
        <is>
          <t>POST</t>
        </is>
      </c>
      <c r="C40" s="16" t="inlineStr">
        <is>
          <t>/api/shipments/{id}/confirm</t>
        </is>
      </c>
      <c r="D40" s="16" t="inlineStr">
        <is>
          <t>出荷確定</t>
        </is>
      </c>
      <c r="E40" s="16" t="inlineStr">
        <is>
          <t>SHP-02</t>
        </is>
      </c>
      <c r="F40" s="16" t="inlineStr">
        <is>
          <t>ADMIN,WAREHOUSE</t>
        </is>
      </c>
      <c r="G40" s="9" t="inlineStr">
        <is>
          <t>P-05</t>
        </is>
      </c>
    </row>
    <row r="41">
      <c r="A41" s="9" t="inlineStr">
        <is>
          <t>API-072</t>
        </is>
      </c>
      <c r="B41" s="9" t="inlineStr">
        <is>
          <t>POST</t>
        </is>
      </c>
      <c r="C41" s="16" t="inlineStr">
        <is>
          <t>/api/shipments/{id}/cancel</t>
        </is>
      </c>
      <c r="D41" s="16" t="inlineStr">
        <is>
          <t>引当解除・出荷取消</t>
        </is>
      </c>
      <c r="E41" s="16" t="inlineStr">
        <is>
          <t>SHP-02</t>
        </is>
      </c>
      <c r="F41" s="16" t="inlineStr">
        <is>
          <t>ADMIN,WAREHOUSE（確定後はADMINのみ）</t>
        </is>
      </c>
      <c r="G41" s="9" t="inlineStr">
        <is>
          <t>P-06</t>
        </is>
      </c>
    </row>
    <row r="42">
      <c r="A42" s="9" t="inlineStr">
        <is>
          <t>API-074</t>
        </is>
      </c>
      <c r="B42" s="9" t="inlineStr">
        <is>
          <t>PUT</t>
        </is>
      </c>
      <c r="C42" s="16" t="inlineStr">
        <is>
          <t>/api/shipments/{id}/lines</t>
        </is>
      </c>
      <c r="D42" s="16" t="inlineStr">
        <is>
          <t>引当の手動変更（ロット差替え）</t>
        </is>
      </c>
      <c r="E42" s="16" t="inlineStr">
        <is>
          <t>SHP-01</t>
        </is>
      </c>
      <c r="F42" s="16" t="inlineStr">
        <is>
          <t>ADMIN,WAREHOUSE</t>
        </is>
      </c>
      <c r="G42" s="9" t="inlineStr">
        <is>
          <t>P-13</t>
        </is>
      </c>
    </row>
    <row r="43">
      <c r="A43" s="9" t="inlineStr">
        <is>
          <t>API-073</t>
        </is>
      </c>
      <c r="B43" s="9" t="inlineStr">
        <is>
          <t>GET</t>
        </is>
      </c>
      <c r="C43" s="16" t="inlineStr">
        <is>
          <t>/api/shipments/{id}/delivery-note</t>
        </is>
      </c>
      <c r="D43" s="16" t="inlineStr">
        <is>
          <t>納品書PDF</t>
        </is>
      </c>
      <c r="E43" s="16" t="inlineStr">
        <is>
          <t>SHP-03</t>
        </is>
      </c>
      <c r="F43" s="16" t="inlineStr">
        <is>
          <t>ADMIN,WAREHOUSE,SALES</t>
        </is>
      </c>
      <c r="G43" s="9" t="inlineStr"/>
    </row>
    <row r="44">
      <c r="A44" s="9" t="inlineStr">
        <is>
          <t>API-080</t>
        </is>
      </c>
      <c r="B44" s="9" t="inlineStr">
        <is>
          <t>POST</t>
        </is>
      </c>
      <c r="C44" s="16" t="inlineStr">
        <is>
          <t>/api/returns</t>
        </is>
      </c>
      <c r="D44" s="16" t="inlineStr">
        <is>
          <t>返品登録</t>
        </is>
      </c>
      <c r="E44" s="16" t="inlineStr">
        <is>
          <t>RET-01</t>
        </is>
      </c>
      <c r="F44" s="16" t="inlineStr">
        <is>
          <t>ADMIN,WAREHOUSE</t>
        </is>
      </c>
      <c r="G44" s="9" t="inlineStr">
        <is>
          <t>P-07</t>
        </is>
      </c>
    </row>
    <row r="45">
      <c r="A45" s="9" t="inlineStr">
        <is>
          <t>API-081</t>
        </is>
      </c>
      <c r="B45" s="9" t="inlineStr">
        <is>
          <t>POST</t>
        </is>
      </c>
      <c r="C45" s="16" t="inlineStr">
        <is>
          <t>/api/returns/{id}/disposition</t>
        </is>
      </c>
      <c r="D45" s="16" t="inlineStr">
        <is>
          <t>返品QA判定（戻し/廃棄）</t>
        </is>
      </c>
      <c r="E45" s="16" t="inlineStr">
        <is>
          <t>RET-01</t>
        </is>
      </c>
      <c r="F45" s="16" t="inlineStr">
        <is>
          <t>QA</t>
        </is>
      </c>
      <c r="G45" s="9" t="inlineStr">
        <is>
          <t>P-07</t>
        </is>
      </c>
    </row>
    <row r="46">
      <c r="A46" s="9" t="inlineStr">
        <is>
          <t>API-090</t>
        </is>
      </c>
      <c r="B46" s="9" t="inlineStr">
        <is>
          <t>GET</t>
        </is>
      </c>
      <c r="C46" s="16" t="inlineStr">
        <is>
          <t>/api/trace/lots/{lotId}</t>
        </is>
      </c>
      <c r="D46" s="16" t="inlineStr">
        <is>
          <t>ロット→顧客 追跡</t>
        </is>
      </c>
      <c r="E46" s="16" t="inlineStr">
        <is>
          <t>TRC-01</t>
        </is>
      </c>
      <c r="F46" s="16" t="inlineStr">
        <is>
          <t>全ロール</t>
        </is>
      </c>
      <c r="G46" s="9" t="inlineStr"/>
    </row>
    <row r="47">
      <c r="A47" s="9" t="inlineStr">
        <is>
          <t>API-091</t>
        </is>
      </c>
      <c r="B47" s="9" t="inlineStr">
        <is>
          <t>GET</t>
        </is>
      </c>
      <c r="C47" s="16" t="inlineStr">
        <is>
          <t>/api/trace/customers/{customerId}</t>
        </is>
      </c>
      <c r="D47" s="16" t="inlineStr">
        <is>
          <t>顧客→ロット 追跡</t>
        </is>
      </c>
      <c r="E47" s="16" t="inlineStr">
        <is>
          <t>TRC-02</t>
        </is>
      </c>
      <c r="F47" s="16" t="inlineStr">
        <is>
          <t>全ロール</t>
        </is>
      </c>
      <c r="G47" s="9" t="inlineStr"/>
    </row>
    <row r="48">
      <c r="A48" s="9" t="inlineStr">
        <is>
          <t>API-100</t>
        </is>
      </c>
      <c r="B48" s="9" t="inlineStr">
        <is>
          <t>POST</t>
        </is>
      </c>
      <c r="C48" s="16" t="inlineStr">
        <is>
          <t>/api/recalls</t>
        </is>
      </c>
      <c r="D48" s="16" t="inlineStr">
        <is>
          <t>回収案件登録（ロット指定・出荷停止）</t>
        </is>
      </c>
      <c r="E48" s="16" t="inlineStr">
        <is>
          <t>RCL-01</t>
        </is>
      </c>
      <c r="F48" s="16" t="inlineStr">
        <is>
          <t>QA</t>
        </is>
      </c>
      <c r="G48" s="9" t="inlineStr">
        <is>
          <t>P-08</t>
        </is>
      </c>
    </row>
    <row r="49">
      <c r="A49" s="9" t="inlineStr">
        <is>
          <t>API-101</t>
        </is>
      </c>
      <c r="B49" s="9" t="inlineStr">
        <is>
          <t>POST</t>
        </is>
      </c>
      <c r="C49" s="16" t="inlineStr">
        <is>
          <t>/api/recalls/{id}/extract-targets</t>
        </is>
      </c>
      <c r="D49" s="16" t="inlineStr">
        <is>
          <t>回収対象顧客抽出・再抽出</t>
        </is>
      </c>
      <c r="E49" s="16" t="inlineStr">
        <is>
          <t>RCL-01</t>
        </is>
      </c>
      <c r="F49" s="16" t="inlineStr">
        <is>
          <t>QA</t>
        </is>
      </c>
      <c r="G49" s="9" t="inlineStr">
        <is>
          <t>P-18</t>
        </is>
      </c>
    </row>
    <row r="50">
      <c r="A50" s="9" t="inlineStr">
        <is>
          <t>API-102</t>
        </is>
      </c>
      <c r="B50" s="9" t="inlineStr">
        <is>
          <t>PUT</t>
        </is>
      </c>
      <c r="C50" s="16" t="inlineStr">
        <is>
          <t>/api/recalls/{id}/targets/{targetId}</t>
        </is>
      </c>
      <c r="D50" s="16" t="inlineStr">
        <is>
          <t>回収進捗更新（SALES：連絡情報・CONTACTED／QA：CLOSED・回収不能数量も可）</t>
        </is>
      </c>
      <c r="E50" s="16" t="inlineStr">
        <is>
          <t>RCL-02</t>
        </is>
      </c>
      <c r="F50" s="16" t="inlineStr">
        <is>
          <t>QA,SALES</t>
        </is>
      </c>
      <c r="G50" s="9" t="inlineStr">
        <is>
          <t>P-19</t>
        </is>
      </c>
    </row>
    <row r="51">
      <c r="A51" s="9" t="inlineStr">
        <is>
          <t>API-103</t>
        </is>
      </c>
      <c r="B51" s="9" t="inlineStr">
        <is>
          <t>POST</t>
        </is>
      </c>
      <c r="C51" s="16" t="inlineStr">
        <is>
          <t>/api/recalls/{id}/close</t>
        </is>
      </c>
      <c r="D51" s="16" t="inlineStr">
        <is>
          <t>回収完了</t>
        </is>
      </c>
      <c r="E51" s="16" t="inlineStr">
        <is>
          <t>RCL-02</t>
        </is>
      </c>
      <c r="F51" s="16" t="inlineStr">
        <is>
          <t>QA</t>
        </is>
      </c>
      <c r="G51" s="9" t="inlineStr">
        <is>
          <t>P-14</t>
        </is>
      </c>
    </row>
    <row r="52">
      <c r="A52" s="9" t="inlineStr">
        <is>
          <t>API-110</t>
        </is>
      </c>
      <c r="B52" s="9" t="inlineStr">
        <is>
          <t>GET</t>
        </is>
      </c>
      <c r="C52" s="16" t="inlineStr">
        <is>
          <t>/api/reports/{reportId}</t>
        </is>
      </c>
      <c r="D52" s="16" t="inlineStr">
        <is>
          <t>帳票・CSV出力</t>
        </is>
      </c>
      <c r="E52" s="16" t="inlineStr">
        <is>
          <t>RPT-01,RPT-02,RPT-03,RPT-04,RPT-05</t>
        </is>
      </c>
      <c r="F52" s="16" t="inlineStr">
        <is>
          <t>帳票ごとに権限マトリクスに従う</t>
        </is>
      </c>
      <c r="G52" s="9" t="inlineStr"/>
    </row>
    <row r="53">
      <c r="A53" s="9" t="inlineStr">
        <is>
          <t>API-120</t>
        </is>
      </c>
      <c r="B53" s="9" t="inlineStr">
        <is>
          <t>GET</t>
        </is>
      </c>
      <c r="C53" s="16" t="inlineStr">
        <is>
          <t>/api/audit-logs</t>
        </is>
      </c>
      <c r="D53" s="16" t="inlineStr">
        <is>
          <t>監査ログ照会</t>
        </is>
      </c>
      <c r="E53" s="16" t="inlineStr">
        <is>
          <t>SYS-02</t>
        </is>
      </c>
      <c r="F53" s="16" t="inlineStr">
        <is>
          <t>ADMIN,QA</t>
        </is>
      </c>
      <c r="G53" s="9" t="inlineStr"/>
    </row>
    <row r="54">
      <c r="A54" s="9" t="inlineStr">
        <is>
          <t>API-130</t>
        </is>
      </c>
      <c r="B54" s="9" t="inlineStr">
        <is>
          <t>GET</t>
        </is>
      </c>
      <c r="C54" s="16" t="inlineStr">
        <is>
          <t>/api/dashboard</t>
        </is>
      </c>
      <c r="D54" s="16" t="inlineStr">
        <is>
          <t>ダッシュボード</t>
        </is>
      </c>
      <c r="E54" s="16" t="inlineStr">
        <is>
          <t>SYS-03</t>
        </is>
      </c>
      <c r="F54" s="16" t="inlineStr">
        <is>
          <t>全ロール</t>
        </is>
      </c>
      <c r="G54" s="9" t="inlineStr"/>
    </row>
  </sheetData>
  <autoFilter ref="A3:G54"/>
  <hyperlinks>
    <hyperlink xmlns:r="http://schemas.openxmlformats.org/officeDocument/2006/relationships" ref="G1" r:id="rId1"/>
  </hyperlinks>
  <printOptions gridLines="0"/>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E95"/>
  <sheetViews>
    <sheetView zoomScale="90" workbookViewId="0">
      <pane ySplit="3" topLeftCell="A4" activePane="bottomLeft" state="frozen"/>
      <selection pane="bottomLeft" activeCell="A1" sqref="A1"/>
    </sheetView>
  </sheetViews>
  <sheetFormatPr baseColWidth="8" defaultRowHeight="15"/>
  <cols>
    <col width="8" customWidth="1" min="1" max="1"/>
    <col width="18" customWidth="1" min="2" max="2"/>
    <col width="8" customWidth="1" min="3" max="3"/>
    <col width="100" customWidth="1" min="4" max="4"/>
    <col width="14" customWidth="1" min="5" max="5"/>
  </cols>
  <sheetData>
    <row r="1">
      <c r="A1" s="5" t="inlineStr">
        <is>
          <t>処理詳細</t>
        </is>
      </c>
      <c r="E1" s="15" t="inlineStr">
        <is>
          <t>← 表紙へ</t>
        </is>
      </c>
    </row>
    <row r="2">
      <c r="A2" s="17" t="inlineStr">
        <is>
          <t>特記なき限り各処理は1トランザクション。在庫・ロットの更新は SELECT ... FOR UPDATE で行ロックし、エラー時は全体ロールバック</t>
        </is>
      </c>
    </row>
    <row r="3">
      <c r="A3" s="8" t="inlineStr">
        <is>
          <t>処理ID</t>
        </is>
      </c>
      <c r="B3" s="8" t="inlineStr">
        <is>
          <t>処理名</t>
        </is>
      </c>
      <c r="C3" s="8" t="inlineStr">
        <is>
          <t>ステップ</t>
        </is>
      </c>
      <c r="D3" s="8" t="inlineStr">
        <is>
          <t>内容</t>
        </is>
      </c>
      <c r="E3" s="8" t="inlineStr">
        <is>
          <t>エラー時メッセージ</t>
        </is>
      </c>
    </row>
    <row r="4">
      <c r="A4" s="19" t="inlineStr">
        <is>
          <t>P-00</t>
        </is>
      </c>
      <c r="B4" s="20" t="inlineStr">
        <is>
          <t>共通：排他制御（ロック順序）</t>
        </is>
      </c>
      <c r="C4" s="19" t="n">
        <v>1</v>
      </c>
      <c r="D4" s="20" t="inlineStr">
        <is>
          <t>対象のロットID・保管場所ID・伝票IDをロックなしで読み取る</t>
        </is>
      </c>
      <c r="E4" s="19" t="inlineStr"/>
    </row>
    <row r="5">
      <c r="A5" s="9" t="inlineStr">
        <is>
          <t>P-00</t>
        </is>
      </c>
      <c r="B5" s="16" t="inlineStr">
        <is>
          <t>共通：排他制御（ロック順序）</t>
        </is>
      </c>
      <c r="C5" s="9" t="n">
        <v>2</v>
      </c>
      <c r="D5" s="16" t="inlineStr">
        <is>
          <t>t_lot を id 昇順で FOR UPDATE（状態を変える処理）または FOR SHARE（状態を参照する処理）</t>
        </is>
      </c>
      <c r="E5" s="9" t="inlineStr"/>
    </row>
    <row r="6">
      <c r="A6" s="9" t="inlineStr">
        <is>
          <t>P-00</t>
        </is>
      </c>
      <c r="B6" s="16" t="inlineStr">
        <is>
          <t>共通：排他制御（ロック順序）</t>
        </is>
      </c>
      <c r="C6" s="9" t="n">
        <v>3</v>
      </c>
      <c r="D6" s="16" t="inlineStr">
        <is>
          <t>t_inventory を (lot_id, location_id) 昇順で FOR UPDATE</t>
        </is>
      </c>
      <c r="E6" s="9" t="inlineStr"/>
    </row>
    <row r="7">
      <c r="A7" s="9" t="inlineStr">
        <is>
          <t>P-00</t>
        </is>
      </c>
      <c r="B7" s="16" t="inlineStr">
        <is>
          <t>共通：排他制御（ロック順序）</t>
        </is>
      </c>
      <c r="C7" s="9" t="n">
        <v>4</v>
      </c>
      <c r="D7" s="16" t="inlineStr">
        <is>
          <t>伝票（ヘッダ→明細）を FOR UPDATE し、ステータス・version をロック後に再検証（変化していれば MSG-E01）</t>
        </is>
      </c>
      <c r="E7" s="9" t="inlineStr">
        <is>
          <t>MSG-E01</t>
        </is>
      </c>
    </row>
    <row r="8">
      <c r="A8" s="9" t="inlineStr">
        <is>
          <t>P-00</t>
        </is>
      </c>
      <c r="B8" s="16" t="inlineStr">
        <is>
          <t>共通：排他制御（ロック順序）</t>
        </is>
      </c>
      <c r="C8" s="9" t="n">
        <v>5</v>
      </c>
      <c r="D8" s="16" t="inlineStr">
        <is>
          <t>回収を扱う処理は、伝票の後に t_recall FOR UPDATE → t_recall_target を id 昇順で FOR UPDATE（回収案件ヘッダで直列化）</t>
        </is>
      </c>
      <c r="E8" s="9" t="inlineStr"/>
    </row>
    <row r="9">
      <c r="A9" s="9" t="inlineStr">
        <is>
          <t>P-00</t>
        </is>
      </c>
      <c r="B9" s="16" t="inlineStr">
        <is>
          <t>共通：排他制御（ロック順序）</t>
        </is>
      </c>
      <c r="C9" s="9" t="n">
        <v>6</v>
      </c>
      <c r="D9" s="16" t="inlineStr">
        <is>
          <t>全処理はこの順序（ロット→在庫→伝票→回収）でロックを取得する。以下の各処理の『ロック』はこの手順を指す</t>
        </is>
      </c>
      <c r="E9" s="9" t="inlineStr"/>
    </row>
    <row r="10">
      <c r="A10" s="9" t="inlineStr">
        <is>
          <t>P-00</t>
        </is>
      </c>
      <c r="B10" s="16" t="inlineStr">
        <is>
          <t>共通：排他制御（ロック順序）</t>
        </is>
      </c>
      <c r="C10" s="9" t="n">
        <v>7</v>
      </c>
      <c r="D10" s="16" t="inlineStr">
        <is>
          <t>隔離保管場所からの払出しは必ず出所伝票（ref_type=receipt_line／return）を ref に記録し、払出し可能数＝出所数量−同一 ref での払出し済数量 を上限とする（BR-20）</t>
        </is>
      </c>
      <c r="E10" s="9" t="inlineStr">
        <is>
          <t>MSG-E30</t>
        </is>
      </c>
    </row>
    <row r="11">
      <c r="A11" s="19" t="inlineStr">
        <is>
          <t>P-01</t>
        </is>
      </c>
      <c r="B11" s="20" t="inlineStr">
        <is>
          <t>入荷確定</t>
        </is>
      </c>
      <c r="C11" s="19" t="n">
        <v>1</v>
      </c>
      <c r="D11" s="20" t="inlineStr">
        <is>
          <t>ロック（P-00）：既存ロット（仕入先,商品,仕入先ロット番号）→ 在庫 → 発注（引当時）→ t_receipt。入荷 status=DRAFT、発注 status=APPROVED/PARTIAL を確認（CLOSED/CANCELLED の発注は確定不可）</t>
        </is>
      </c>
      <c r="E11" s="19" t="inlineStr">
        <is>
          <t>MSG-E01</t>
        </is>
      </c>
    </row>
    <row r="12">
      <c r="A12" s="9" t="inlineStr">
        <is>
          <t>P-01</t>
        </is>
      </c>
      <c r="B12" s="16" t="inlineStr">
        <is>
          <t>入荷確定</t>
        </is>
      </c>
      <c r="C12" s="9" t="n">
        <v>2</v>
      </c>
      <c r="D12" s="16" t="inlineStr">
        <is>
          <t>製造日 &lt;= 入荷日 &lt;= 当日、使用期限 &gt; 入荷日 を検証</t>
        </is>
      </c>
      <c r="E12" s="9" t="inlineStr">
        <is>
          <t>MSG-E06,MSG-E22</t>
        </is>
      </c>
    </row>
    <row r="13">
      <c r="A13" s="9" t="inlineStr">
        <is>
          <t>P-01</t>
        </is>
      </c>
      <c r="B13" s="16" t="inlineStr">
        <is>
          <t>入荷確定</t>
        </is>
      </c>
      <c r="C13" s="9" t="n">
        <v>3</v>
      </c>
      <c r="D13" s="16" t="inlineStr">
        <is>
          <t>既存ロットの状態で分岐（BR-15）：なし→社内ロット番号を採番し INSERT（QUARANTINE、received_on=入荷日）／QUARANTINE→加算／VOID→QUARANTINE に戻す／RELEASED・HOLD→分納（隔離保管場所へ入庫し t_receipt_line.split_status=PENDING。通常入荷は NULL）／REJECTED・RECALLED・EXPIRED→エラー。既存ありの場合は使用期限一致を検証</t>
        </is>
      </c>
      <c r="E13" s="9" t="inlineStr">
        <is>
          <t>MSG-E05,MSG-E25</t>
        </is>
      </c>
    </row>
    <row r="14">
      <c r="A14" s="9" t="inlineStr">
        <is>
          <t>P-01</t>
        </is>
      </c>
      <c r="B14" s="16" t="inlineStr">
        <is>
          <t>入荷確定</t>
        </is>
      </c>
      <c r="C14" s="9" t="n">
        <v>4</v>
      </c>
      <c r="D14" s="16" t="inlineStr">
        <is>
          <t>入庫先を検証（BR-06）：温度区分一致。通常は is_quarantine=false、分納（RELEASED/HOLD）は is_quarantine=true</t>
        </is>
      </c>
      <c r="E14" s="9" t="inlineStr">
        <is>
          <t>MSG-E07</t>
        </is>
      </c>
    </row>
    <row r="15">
      <c r="A15" s="9" t="inlineStr">
        <is>
          <t>P-01</t>
        </is>
      </c>
      <c r="B15" s="16" t="inlineStr">
        <is>
          <t>入荷確定</t>
        </is>
      </c>
      <c r="C15" s="9" t="n">
        <v>5</v>
      </c>
      <c r="D15" s="16" t="inlineStr">
        <is>
          <t>t_receipt_line.lot_id を設定。t_lot.unit_cost を移動平均で更新：(全保管場所の現在庫×現原価＋入荷数量×仕入単価)÷(現在庫＋入荷数量)</t>
        </is>
      </c>
      <c r="E15" s="9" t="inlineStr"/>
    </row>
    <row r="16">
      <c r="A16" s="9" t="inlineStr">
        <is>
          <t>P-01</t>
        </is>
      </c>
      <c r="B16" s="16" t="inlineStr">
        <is>
          <t>入荷確定</t>
        </is>
      </c>
      <c r="C16" s="9" t="n">
        <v>6</v>
      </c>
      <c r="D16" s="16" t="inlineStr">
        <is>
          <t>t_stock_movement に RECEIPT(+数量, ref_type=receipt_line, ref_id=入荷明細ID) を INSERT、t_inventory を加算（BR-02）。状態変更時は t_lot_status_history を INSERT</t>
        </is>
      </c>
      <c r="E16" s="9" t="inlineStr"/>
    </row>
    <row r="17">
      <c r="A17" s="9" t="inlineStr">
        <is>
          <t>P-01</t>
        </is>
      </c>
      <c r="B17" s="16" t="inlineStr">
        <is>
          <t>入荷確定</t>
        </is>
      </c>
      <c r="C17" s="9" t="n">
        <v>7</v>
      </c>
      <c r="D17" s="16" t="inlineStr">
        <is>
          <t>発注引当時は t_purchase_order_line.received_qty を加算し、発注ステータスを PARTIAL/RECEIVED に更新</t>
        </is>
      </c>
      <c r="E17" s="9" t="inlineStr"/>
    </row>
    <row r="18">
      <c r="A18" s="9" t="inlineStr">
        <is>
          <t>P-01</t>
        </is>
      </c>
      <c r="B18" s="16" t="inlineStr">
        <is>
          <t>入荷確定</t>
        </is>
      </c>
      <c r="C18" s="9" t="n">
        <v>8</v>
      </c>
      <c r="D18" s="16" t="inlineStr">
        <is>
          <t>t_receipt.status=CONFIRMED、監査ログ記録、コミット。到着時温度が範囲外なら QA へ通知（分納分は P-16 で判定）</t>
        </is>
      </c>
      <c r="E18" s="9" t="inlineStr">
        <is>
          <t>MSG-W01</t>
        </is>
      </c>
    </row>
    <row r="19">
      <c r="A19" s="19" t="inlineStr">
        <is>
          <t>P-02</t>
        </is>
      </c>
      <c r="B19" s="20" t="inlineStr">
        <is>
          <t>受入検品判定</t>
        </is>
      </c>
      <c r="C19" s="19" t="n">
        <v>1</v>
      </c>
      <c r="D19" s="20" t="inlineStr">
        <is>
          <t>ロック（P-00）：t_lot FOR UPDATE。status=QUARANTINE を確認</t>
        </is>
      </c>
      <c r="E19" s="19" t="inlineStr">
        <is>
          <t>MSG-E01</t>
        </is>
      </c>
    </row>
    <row r="20">
      <c r="A20" s="9" t="inlineStr">
        <is>
          <t>P-02</t>
        </is>
      </c>
      <c r="B20" s="16" t="inlineStr">
        <is>
          <t>受入検品判定</t>
        </is>
      </c>
      <c r="C20" s="9" t="n">
        <v>2</v>
      </c>
      <c r="D20" s="16" t="inlineStr">
        <is>
          <t>判定=合格の場合、doc_type=COA の添付が1件以上あることを検証（BR-08）</t>
        </is>
      </c>
      <c r="E20" s="9" t="inlineStr">
        <is>
          <t>MSG-E08</t>
        </is>
      </c>
    </row>
    <row r="21">
      <c r="A21" s="9" t="inlineStr">
        <is>
          <t>P-02</t>
        </is>
      </c>
      <c r="B21" s="16" t="inlineStr">
        <is>
          <t>受入検品判定</t>
        </is>
      </c>
      <c r="C21" s="9" t="n">
        <v>3</v>
      </c>
      <c r="D21" s="16" t="inlineStr">
        <is>
          <t>判定=不合格/保留の場合、理由必須</t>
        </is>
      </c>
      <c r="E21" s="9" t="inlineStr">
        <is>
          <t>MSG-E09</t>
        </is>
      </c>
    </row>
    <row r="22">
      <c r="A22" s="9" t="inlineStr">
        <is>
          <t>P-02</t>
        </is>
      </c>
      <c r="B22" s="16" t="inlineStr">
        <is>
          <t>受入検品判定</t>
        </is>
      </c>
      <c r="C22" s="9" t="n">
        <v>4</v>
      </c>
      <c r="D22" s="16" t="inlineStr">
        <is>
          <t>温度逸脱履歴（温度記録ID付きのステータス履歴）がある場合は警告表示し、合格時は確認チェックを必須とする</t>
        </is>
      </c>
      <c r="E22" s="9" t="inlineStr">
        <is>
          <t>MSG-W06</t>
        </is>
      </c>
    </row>
    <row r="23">
      <c r="A23" s="9" t="inlineStr">
        <is>
          <t>P-02</t>
        </is>
      </c>
      <c r="B23" s="16" t="inlineStr">
        <is>
          <t>受入検品判定</t>
        </is>
      </c>
      <c r="C23" s="9" t="n">
        <v>5</v>
      </c>
      <c r="D23" s="16" t="inlineStr">
        <is>
          <t>status・status_reason・inspected_by/at を更新し、t_lot_status_history を INSERT。監査ログ（action=STATUS）記録</t>
        </is>
      </c>
      <c r="E23" s="9" t="inlineStr"/>
    </row>
    <row r="24">
      <c r="A24" s="19" t="inlineStr">
        <is>
          <t>P-03</t>
        </is>
      </c>
      <c r="B24" s="20" t="inlineStr">
        <is>
          <t>受注登録・変更</t>
        </is>
      </c>
      <c r="C24" s="19" t="n">
        <v>1</v>
      </c>
      <c r="D24" s="20" t="inlineStr">
        <is>
          <t>変更・取消・打切り時はロック（P-00）：t_sales_order FOR UPDATE（伝票）し version を検証。顧客が有効、納品先.顧客ID＝顧客ID かつ納品先が有効であることを検証</t>
        </is>
      </c>
      <c r="E24" s="19" t="inlineStr">
        <is>
          <t>MSG-E11,MSG-E01</t>
        </is>
      </c>
    </row>
    <row r="25">
      <c r="A25" s="9" t="inlineStr">
        <is>
          <t>P-03</t>
        </is>
      </c>
      <c r="B25" s="16" t="inlineStr">
        <is>
          <t>受注登録・変更</t>
        </is>
      </c>
      <c r="C25" s="9" t="n">
        <v>2</v>
      </c>
      <c r="D25" s="16" t="inlineStr">
        <is>
          <t>各明細について m_sales_rule(商品.規制区分, 顧客.顧客区分).allowed=true を検証（BR-09）</t>
        </is>
      </c>
      <c r="E25" s="9" t="inlineStr">
        <is>
          <t>MSG-E10</t>
        </is>
      </c>
    </row>
    <row r="26">
      <c r="A26" s="9" t="inlineStr">
        <is>
          <t>P-03</t>
        </is>
      </c>
      <c r="B26" s="16" t="inlineStr">
        <is>
          <t>受注登録・変更</t>
        </is>
      </c>
      <c r="C26" s="9" t="n">
        <v>3</v>
      </c>
      <c r="D26" s="16" t="inlineStr">
        <is>
          <t>与信チェック（BR-11）。超過時は警告し、status=CREDIT_PENDING で登録（引当不可）。ADMIN が API-063 で承認すると OPEN</t>
        </is>
      </c>
      <c r="E26" s="9" t="inlineStr">
        <is>
          <t>MSG-W03</t>
        </is>
      </c>
    </row>
    <row r="27">
      <c r="A27" s="9" t="inlineStr">
        <is>
          <t>P-03</t>
        </is>
      </c>
      <c r="B27" s="16" t="inlineStr">
        <is>
          <t>受注登録・変更</t>
        </is>
      </c>
      <c r="C27" s="9" t="n">
        <v>4</v>
      </c>
      <c r="D27" s="16" t="inlineStr">
        <is>
          <t>新規：受注番号を採番し INSERT（status=OPEN または CREDIT_PENDING）。在庫の引当はこの時点では行わない</t>
        </is>
      </c>
      <c r="E27" s="9" t="inlineStr"/>
    </row>
    <row r="28">
      <c r="A28" s="9" t="inlineStr">
        <is>
          <t>P-03</t>
        </is>
      </c>
      <c r="B28" s="16" t="inlineStr">
        <is>
          <t>受注登録・変更</t>
        </is>
      </c>
      <c r="C28" s="9" t="n">
        <v>5</v>
      </c>
      <c r="D28" s="16" t="inlineStr">
        <is>
          <t>変更・取消：ALLOCATED の出荷明細がある明細の商品・数量変更および取消は不可（先に引当解除）。数量は出荷済数量未満にできない。変更で与信を再判定し、超過時は ALLOCATED の出荷がなければ CREDIT_PENDING へ、あればエラー</t>
        </is>
      </c>
      <c r="E28" s="9" t="inlineStr">
        <is>
          <t>MSG-E19,MSG-E31</t>
        </is>
      </c>
    </row>
    <row r="29">
      <c r="A29" s="19" t="inlineStr">
        <is>
          <t>P-04</t>
        </is>
      </c>
      <c r="B29" s="20" t="inlineStr">
        <is>
          <t>自動引当（FEFO）</t>
        </is>
      </c>
      <c r="C29" s="19" t="n">
        <v>1</v>
      </c>
      <c r="D29" s="20" t="inlineStr">
        <is>
          <t>受注 status=OPEN/PARTIAL を確認。明細ごとに 残数量＝受注数量−出荷済数量−引当中数量 を算出。引当中数量＝当該受注明細の t_shipment_line(status=ALLOCATED).quantity の合計</t>
        </is>
      </c>
      <c r="E29" s="19" t="inlineStr">
        <is>
          <t>MSG-E01</t>
        </is>
      </c>
    </row>
    <row r="30">
      <c r="A30" s="9" t="inlineStr">
        <is>
          <t>P-04</t>
        </is>
      </c>
      <c r="B30" s="16" t="inlineStr">
        <is>
          <t>自動引当（FEFO）</t>
        </is>
      </c>
      <c r="C30" s="9" t="n">
        <v>2</v>
      </c>
      <c r="D30" s="16" t="inlineStr">
        <is>
          <t>候補在庫を抽出（BR-04）：lot.status=RELEASED AND lot.product_id=明細.商品 AND lot.expires_on − 出荷日 &gt;= 商品.min_remaining_days AND location.is_quarantine=false AND (on_hand_qty − allocated_qty) &gt; 0</t>
        </is>
      </c>
      <c r="E30" s="9" t="inlineStr"/>
    </row>
    <row r="31">
      <c r="A31" s="9" t="inlineStr">
        <is>
          <t>P-04</t>
        </is>
      </c>
      <c r="B31" s="16" t="inlineStr">
        <is>
          <t>自動引当（FEFO）</t>
        </is>
      </c>
      <c r="C31" s="9" t="n">
        <v>3</v>
      </c>
      <c r="D31" s="16" t="inlineStr">
        <is>
          <t>候補を expires_on ASC, lot.received_on ASC, location_id ASC で並べ（BR-05）、残数量を満たすまで順に割当（複数ロット分割可）</t>
        </is>
      </c>
      <c r="E31" s="9" t="inlineStr"/>
    </row>
    <row r="32">
      <c r="A32" s="9" t="inlineStr">
        <is>
          <t>P-04</t>
        </is>
      </c>
      <c r="B32" s="16" t="inlineStr">
        <is>
          <t>自動引当（FEFO）</t>
        </is>
      </c>
      <c r="C32" s="9" t="n">
        <v>4</v>
      </c>
      <c r="D32" s="16" t="inlineStr">
        <is>
          <t>ロック（P-00）：候補ロット FOR SHARE → 在庫 FOR UPDATE → 受注。ロック後に status=RELEASED と引当可能数を再検証し、allocated_qty を加算、t_shipment(ALLOCATED)/t_shipment_line(ALLOCATED) を INSERT</t>
        </is>
      </c>
      <c r="E32" s="9" t="inlineStr">
        <is>
          <t>MSG-E12</t>
        </is>
      </c>
    </row>
    <row r="33">
      <c r="A33" s="9" t="inlineStr">
        <is>
          <t>P-04</t>
        </is>
      </c>
      <c r="B33" s="16" t="inlineStr">
        <is>
          <t>自動引当（FEFO）</t>
        </is>
      </c>
      <c r="C33" s="9" t="n">
        <v>5</v>
      </c>
      <c r="D33" s="16" t="inlineStr">
        <is>
          <t>残数量を満たせない場合は引当できた分のみ作成し、不足数量を画面に表示</t>
        </is>
      </c>
      <c r="E33" s="9" t="inlineStr">
        <is>
          <t>MSG-W04</t>
        </is>
      </c>
    </row>
    <row r="34">
      <c r="A34" s="19" t="inlineStr">
        <is>
          <t>P-05</t>
        </is>
      </c>
      <c r="B34" s="20" t="inlineStr">
        <is>
          <t>出荷確定</t>
        </is>
      </c>
      <c r="C34" s="19" t="n">
        <v>1</v>
      </c>
      <c r="D34" s="20" t="inlineStr">
        <is>
          <t>ロック（P-00）：対象ロット FOR SHARE → 在庫 FOR UPDATE → 受注 → t_shipment・明細 FOR UPDATE。出荷 status=ALLOCATED、受注 status=OPEN/PARTIAL を確認</t>
        </is>
      </c>
      <c r="E34" s="19" t="inlineStr">
        <is>
          <t>MSG-E01</t>
        </is>
      </c>
    </row>
    <row r="35">
      <c r="A35" s="9" t="inlineStr">
        <is>
          <t>P-05</t>
        </is>
      </c>
      <c r="B35" s="16" t="inlineStr">
        <is>
          <t>出荷確定</t>
        </is>
      </c>
      <c r="C35" s="9" t="n">
        <v>2</v>
      </c>
      <c r="D35" s="16" t="inlineStr">
        <is>
          <t>ALLOCATED の各明細を再検証：ロットID必須・商品一致（BR-01）、status=RELEASED、残期間条件（BR-04）、顧客・納品先が有効、販売可否ルール（BR-09）</t>
        </is>
      </c>
      <c r="E35" s="9" t="inlineStr">
        <is>
          <t>MSG-E13,MSG-E10,MSG-E11</t>
        </is>
      </c>
    </row>
    <row r="36">
      <c r="A36" s="9" t="inlineStr">
        <is>
          <t>P-05</t>
        </is>
      </c>
      <c r="B36" s="16" t="inlineStr">
        <is>
          <t>出荷確定</t>
        </is>
      </c>
      <c r="C36" s="9" t="n">
        <v>3</v>
      </c>
      <c r="D36" s="16" t="inlineStr">
        <is>
          <t>t_inventory：on_hand_qty −= 数量、allocated_qty −= 数量（負数になる場合はエラー）</t>
        </is>
      </c>
      <c r="E36" s="9" t="inlineStr">
        <is>
          <t>MSG-E12</t>
        </is>
      </c>
    </row>
    <row r="37">
      <c r="A37" s="9" t="inlineStr">
        <is>
          <t>P-05</t>
        </is>
      </c>
      <c r="B37" s="16" t="inlineStr">
        <is>
          <t>出荷確定</t>
        </is>
      </c>
      <c r="C37" s="9" t="n">
        <v>4</v>
      </c>
      <c r="D37" s="16" t="inlineStr">
        <is>
          <t>t_stock_movement に SHIPMENT(−数量, ref=shipment_line) を INSERT（BR-02：在庫更新は必ず移動履歴と同一トランザクション）</t>
        </is>
      </c>
      <c r="E37" s="9" t="inlineStr"/>
    </row>
    <row r="38">
      <c r="A38" s="9" t="inlineStr">
        <is>
          <t>P-05</t>
        </is>
      </c>
      <c r="B38" s="16" t="inlineStr">
        <is>
          <t>出荷確定</t>
        </is>
      </c>
      <c r="C38" s="9" t="n">
        <v>5</v>
      </c>
      <c r="D38" s="16" t="inlineStr">
        <is>
          <t>unit_cost に t_lot.unit_cost を設定。明細 status=SHIPPED</t>
        </is>
      </c>
      <c r="E38" s="9" t="inlineStr"/>
    </row>
    <row r="39">
      <c r="A39" s="9" t="inlineStr">
        <is>
          <t>P-05</t>
        </is>
      </c>
      <c r="B39" s="16" t="inlineStr">
        <is>
          <t>出荷確定</t>
        </is>
      </c>
      <c r="C39" s="9" t="n">
        <v>6</v>
      </c>
      <c r="D39" s="16" t="inlineStr">
        <is>
          <t>t_sales_order_line.shipped_qty を加算し受注ステータスを PARTIAL/SHIPPED に更新</t>
        </is>
      </c>
      <c r="E39" s="9" t="inlineStr">
        <is>
          <t>MSG-E23</t>
        </is>
      </c>
    </row>
    <row r="40">
      <c r="A40" s="9" t="inlineStr">
        <is>
          <t>P-05</t>
        </is>
      </c>
      <c r="B40" s="16" t="inlineStr">
        <is>
          <t>出荷確定</t>
        </is>
      </c>
      <c r="C40" s="9" t="n">
        <v>7</v>
      </c>
      <c r="D40" s="16" t="inlineStr">
        <is>
          <t>t_shipment.status=SHIPPED、監査ログ記録、コミット</t>
        </is>
      </c>
      <c r="E40" s="9" t="inlineStr"/>
    </row>
    <row r="41">
      <c r="A41" s="19" t="inlineStr">
        <is>
          <t>P-06</t>
        </is>
      </c>
      <c r="B41" s="20" t="inlineStr">
        <is>
          <t>出荷取消</t>
        </is>
      </c>
      <c r="C41" s="19" t="n">
        <v>1</v>
      </c>
      <c r="D41" s="20" t="inlineStr">
        <is>
          <t>ロック（P-00）：対象ロット FOR SHARE → 在庫 → 受注 FOR UPDATE → t_shipment・明細。status=ALLOCATED：status=ALLOCATED の明細のみ allocated_qty を減算し CANCELLED、ヘッダも CANCELLED（在庫移動なし）</t>
        </is>
      </c>
      <c r="E41" s="19" t="inlineStr"/>
    </row>
    <row r="42">
      <c r="A42" s="9" t="inlineStr">
        <is>
          <t>P-06</t>
        </is>
      </c>
      <c r="B42" s="16" t="inlineStr">
        <is>
          <t>出荷取消</t>
        </is>
      </c>
      <c r="C42" s="9" t="n">
        <v>2</v>
      </c>
      <c r="D42" s="16" t="inlineStr">
        <is>
          <t>status=SHIPPED：ADMINのみ。返品がある明細を含む場合はエラー</t>
        </is>
      </c>
      <c r="E42" s="9" t="inlineStr">
        <is>
          <t>MSG-E14</t>
        </is>
      </c>
    </row>
    <row r="43">
      <c r="A43" s="9" t="inlineStr">
        <is>
          <t>P-06</t>
        </is>
      </c>
      <c r="B43" s="16" t="inlineStr">
        <is>
          <t>出荷取消</t>
        </is>
      </c>
      <c r="C43" s="9" t="n">
        <v>3</v>
      </c>
      <c r="D43" s="16" t="inlineStr">
        <is>
          <t>status=SHIPPED の明細のみ CANCEL(+数量) の在庫移動を INSERT、on_hand_qty 加算、受注の出荷済数量を減算し、ロック後の受注ステータスで再判定（CLOSED・CREDIT_PENDING は維持）</t>
        </is>
      </c>
      <c r="E43" s="9" t="inlineStr"/>
    </row>
    <row r="44">
      <c r="A44" s="9" t="inlineStr">
        <is>
          <t>P-06</t>
        </is>
      </c>
      <c r="B44" s="16" t="inlineStr">
        <is>
          <t>出荷取消</t>
        </is>
      </c>
      <c r="C44" s="9" t="n">
        <v>4</v>
      </c>
      <c r="D44" s="16" t="inlineStr">
        <is>
          <t>出荷明細は削除しない（BR-03）。明細・ヘッダ status=CANCELLED とし、トレース画面（SQL-01）では取消済として区別表示</t>
        </is>
      </c>
      <c r="E44" s="9" t="inlineStr"/>
    </row>
    <row r="45">
      <c r="A45" s="9" t="inlineStr">
        <is>
          <t>P-06</t>
        </is>
      </c>
      <c r="B45" s="16" t="inlineStr">
        <is>
          <t>出荷取消</t>
        </is>
      </c>
      <c r="C45" s="9" t="n">
        <v>5</v>
      </c>
      <c r="D45" s="16" t="inlineStr">
        <is>
          <t>対象ロットが未完了の回収案件に含まれる場合、P-18 を再実行して回収対象を更新</t>
        </is>
      </c>
      <c r="E45" s="9" t="inlineStr"/>
    </row>
    <row r="46">
      <c r="A46" s="19" t="inlineStr">
        <is>
          <t>P-07</t>
        </is>
      </c>
      <c r="B46" s="20" t="inlineStr">
        <is>
          <t>返品登録・判定</t>
        </is>
      </c>
      <c r="C46" s="19" t="n">
        <v>1</v>
      </c>
      <c r="D46" s="20" t="inlineStr">
        <is>
          <t>ロック（P-00）：ロット FOR SHARE → 在庫 → 元出荷明細 FOR UPDATE →（回収品は）回収案件・回収対象。返品数量 &lt;= 元出荷数量 − 既返品数量 を検証（BR-12）</t>
        </is>
      </c>
      <c r="E46" s="19" t="inlineStr">
        <is>
          <t>MSG-E15</t>
        </is>
      </c>
    </row>
    <row r="47">
      <c r="A47" s="9" t="inlineStr">
        <is>
          <t>P-07</t>
        </is>
      </c>
      <c r="B47" s="16" t="inlineStr">
        <is>
          <t>返品登録・判定</t>
        </is>
      </c>
      <c r="C47" s="9" t="n">
        <v>2</v>
      </c>
      <c r="D47" s="16" t="inlineStr">
        <is>
          <t>ロットが未完了の回収案件に含まれ、当該 (納品先, ロット) の回収対象がある場合は recall_target_id 必須。指定時は 回収対象.lot_id＝元出荷明細.lot_id、回収対象.ship_to_id＝出荷.ship_to_id、回収案件≠CLOSED を検証</t>
        </is>
      </c>
      <c r="E47" s="9" t="inlineStr">
        <is>
          <t>MSG-E26</t>
        </is>
      </c>
    </row>
    <row r="48">
      <c r="A48" s="9" t="inlineStr">
        <is>
          <t>P-07</t>
        </is>
      </c>
      <c r="B48" s="16" t="inlineStr">
        <is>
          <t>返品登録・判定</t>
        </is>
      </c>
      <c r="C48" s="9" t="n">
        <v>3</v>
      </c>
      <c r="D48" s="16" t="inlineStr">
        <is>
          <t>登録：受入保管場所（is_quarantine=true・温度区分一致）へ RETURN(+数量) の移動・在庫加算。status=RECEIVED（引当対象外）</t>
        </is>
      </c>
      <c r="E48" s="9" t="inlineStr">
        <is>
          <t>MSG-E07</t>
        </is>
      </c>
    </row>
    <row r="49">
      <c r="A49" s="9" t="inlineStr">
        <is>
          <t>P-07</t>
        </is>
      </c>
      <c r="B49" s="16" t="inlineStr">
        <is>
          <t>返品登録・判定</t>
        </is>
      </c>
      <c r="C49" s="9" t="n">
        <v>4</v>
      </c>
      <c r="D49" s="16" t="inlineStr">
        <is>
          <t>回収品の場合、recovered_qty＝当該回収対象の返品数量合計 に更新し、回収数量＋回収不能数量 &gt;= 出荷正味数量 なら RECOVERED</t>
        </is>
      </c>
      <c r="E49" s="9" t="inlineStr"/>
    </row>
    <row r="50">
      <c r="A50" s="9" t="inlineStr">
        <is>
          <t>P-07</t>
        </is>
      </c>
      <c r="B50" s="16" t="inlineStr">
        <is>
          <t>返品登録・判定</t>
        </is>
      </c>
      <c r="C50" s="9" t="n">
        <v>5</v>
      </c>
      <c r="D50" s="16" t="inlineStr">
        <is>
          <t>判定=RESTOCK：ロットが RELEASED かつ回収品でないこと、戻し先の温度区分一致・通常保管場所を検証し、払出し可能数の全量を ref=return で TRANSFER_OUT/TRANSFER_IN し移動（一部数量での判定は不可。差異は先に P-10 の隔離例外で処理）。status=CLOSED</t>
        </is>
      </c>
      <c r="E50" s="9" t="inlineStr">
        <is>
          <t>MSG-E16,MSG-E30</t>
        </is>
      </c>
    </row>
    <row r="51">
      <c r="A51" s="9" t="inlineStr">
        <is>
          <t>P-07</t>
        </is>
      </c>
      <c r="B51" s="16" t="inlineStr">
        <is>
          <t>返品登録・判定</t>
        </is>
      </c>
      <c r="C51" s="9" t="n">
        <v>6</v>
      </c>
      <c r="D51" s="16" t="inlineStr">
        <is>
          <t>判定=DISPOSE：受入保管場所から ref=return で DISPOSE(−払出し可能数) を記録（払出し可能数0なら移動を作らず判定のみ記録）（BR-18：回収品は DISPOSE のみ）。status=CLOSED</t>
        </is>
      </c>
      <c r="E51" s="9" t="inlineStr"/>
    </row>
    <row r="52">
      <c r="A52" s="9" t="inlineStr">
        <is>
          <t>P-07</t>
        </is>
      </c>
      <c r="B52" s="16" t="inlineStr">
        <is>
          <t>返品登録・判定</t>
        </is>
      </c>
      <c r="C52" s="9" t="n">
        <v>7</v>
      </c>
      <c r="D52" s="16" t="inlineStr">
        <is>
          <t>通常返品で対象ロットが未完了の回収案件に含まれる場合、P-18 を再実行して回収対象を更新</t>
        </is>
      </c>
      <c r="E52" s="9" t="inlineStr"/>
    </row>
    <row r="53">
      <c r="A53" s="19" t="inlineStr">
        <is>
          <t>P-08</t>
        </is>
      </c>
      <c r="B53" s="20" t="inlineStr">
        <is>
          <t>回収案件登録</t>
        </is>
      </c>
      <c r="C53" s="19" t="n">
        <v>1</v>
      </c>
      <c r="D53" s="20" t="inlineStr">
        <is>
          <t>対象ロットに VOID が含まれないことを検証</t>
        </is>
      </c>
      <c r="E53" s="19" t="inlineStr">
        <is>
          <t>MSG-E27</t>
        </is>
      </c>
    </row>
    <row r="54">
      <c r="A54" s="9" t="inlineStr">
        <is>
          <t>P-08</t>
        </is>
      </c>
      <c r="B54" s="16" t="inlineStr">
        <is>
          <t>回収案件登録</t>
        </is>
      </c>
      <c r="C54" s="9" t="n">
        <v>2</v>
      </c>
      <c r="D54" s="16" t="inlineStr">
        <is>
          <t>ロック（P-00）：対象ロット FOR UPDATE。回収案件（status=OPEN）と t_recall_lot を INSERT</t>
        </is>
      </c>
      <c r="E54" s="9" t="inlineStr"/>
    </row>
    <row r="55">
      <c r="A55" s="9" t="inlineStr">
        <is>
          <t>P-08</t>
        </is>
      </c>
      <c r="B55" s="16" t="inlineStr">
        <is>
          <t>回収案件登録</t>
        </is>
      </c>
      <c r="C55" s="9" t="n">
        <v>3</v>
      </c>
      <c r="D55" s="16" t="inlineStr">
        <is>
          <t>RECALLED 以外の対象ロットを RECALLED に更新しステータス履歴（recall_id 付き）を記録（BR-13）。既に RECALLED のロットはスキップ</t>
        </is>
      </c>
      <c r="E55" s="9" t="inlineStr"/>
    </row>
    <row r="56">
      <c r="A56" s="9" t="inlineStr">
        <is>
          <t>P-08</t>
        </is>
      </c>
      <c r="B56" s="16" t="inlineStr">
        <is>
          <t>回収案件登録</t>
        </is>
      </c>
      <c r="C56" s="9" t="n">
        <v>4</v>
      </c>
      <c r="D56" s="16" t="inlineStr">
        <is>
          <t>対象ロットの引当を解除（P-11）し、営業・倉庫担当へ通知。コミット</t>
        </is>
      </c>
      <c r="E56" s="9" t="inlineStr"/>
    </row>
    <row r="57">
      <c r="A57" s="19" t="inlineStr">
        <is>
          <t>P-09</t>
        </is>
      </c>
      <c r="B57" s="20" t="inlineStr">
        <is>
          <t>温度記録・逸脱検知</t>
        </is>
      </c>
      <c r="C57" s="19" t="n">
        <v>1</v>
      </c>
      <c r="D57" s="20" t="inlineStr">
        <is>
          <t>記録を INSERT（created_by はシステムユーザーまたは入力者）。許容範囲外なら is_excursion=true</t>
        </is>
      </c>
      <c r="E57" s="19" t="inlineStr"/>
    </row>
    <row r="58">
      <c r="A58" s="9" t="inlineStr">
        <is>
          <t>P-09</t>
        </is>
      </c>
      <c r="B58" s="16" t="inlineStr">
        <is>
          <t>温度記録・逸脱検知</t>
        </is>
      </c>
      <c r="C58" s="9" t="n">
        <v>2</v>
      </c>
      <c r="D58" s="16" t="inlineStr">
        <is>
          <t>逸脱時：測定日時時点で当該保管場所に在庫があったロット（移動履歴の moved_at &lt;= measured_at の合計 &gt; 0）を特定（BR-07）</t>
        </is>
      </c>
      <c r="E58" s="9" t="inlineStr">
        <is>
          <t>MSG-W05</t>
        </is>
      </c>
    </row>
    <row r="59">
      <c r="A59" s="9" t="inlineStr">
        <is>
          <t>P-09</t>
        </is>
      </c>
      <c r="B59" s="16" t="inlineStr">
        <is>
          <t>温度記録・逸脱検知</t>
        </is>
      </c>
      <c r="C59" s="9" t="n">
        <v>3</v>
      </c>
      <c r="D59" s="16" t="inlineStr">
        <is>
          <t>ロック（P-00）。うち現在 QUARANTINE/RELEASED のロットを HOLD に更新（理由＝温度記録ID、履歴に記録）し、引当を解除（P-11）</t>
        </is>
      </c>
      <c r="E59" s="9" t="inlineStr"/>
    </row>
    <row r="60">
      <c r="A60" s="9" t="inlineStr">
        <is>
          <t>P-09</t>
        </is>
      </c>
      <c r="B60" s="16" t="inlineStr">
        <is>
          <t>温度記録・逸脱検知</t>
        </is>
      </c>
      <c r="C60" s="9" t="n">
        <v>4</v>
      </c>
      <c r="D60" s="16" t="inlineStr">
        <is>
          <t>測定日時以降に当該保管場所から出荷済の明細を抽出し、回収候補としてQAへ通知（回収要否はQAが判断し P-08 へ）</t>
        </is>
      </c>
      <c r="E60" s="9" t="inlineStr"/>
    </row>
    <row r="61">
      <c r="A61" s="19" t="inlineStr">
        <is>
          <t>P-10</t>
        </is>
      </c>
      <c r="B61" s="20" t="inlineStr">
        <is>
          <t>在庫移動・調整・廃棄</t>
        </is>
      </c>
      <c r="C61" s="19" t="n">
        <v>1</v>
      </c>
      <c r="D61" s="20" t="inlineStr">
        <is>
          <t>ロック（P-00）。移動元が隔離保管場所（is_quarantine=true）の場合はエラー（隔離在庫の払出しは P-07/P-16/P-17 のみ）。例外：QA が出所伝票（入荷明細／返品）を指定した減少方向の ADJUST/DISPOSE で実数差異を処理できる。入力は『出所ごとの減少数量』（実棚数方式・プラス調整は対象外）、理由必須・払出し可能数以下</t>
        </is>
      </c>
      <c r="E61" s="19" t="inlineStr">
        <is>
          <t>MSG-E28,MSG-E30</t>
        </is>
      </c>
    </row>
    <row r="62">
      <c r="A62" s="9" t="inlineStr">
        <is>
          <t>P-10</t>
        </is>
      </c>
      <c r="B62" s="16" t="inlineStr">
        <is>
          <t>在庫移動・調整・廃棄</t>
        </is>
      </c>
      <c r="C62" s="9" t="n">
        <v>2</v>
      </c>
      <c r="D62" s="16" t="inlineStr">
        <is>
          <t>移動：TRANSFER_OUT(−)/TRANSFER_IN(+) を同一トランザクションで INSERT。移動先の温度区分一致・通常保管場所を検証（BR-06）</t>
        </is>
      </c>
      <c r="E62" s="9" t="inlineStr">
        <is>
          <t>MSG-E07</t>
        </is>
      </c>
    </row>
    <row r="63">
      <c r="A63" s="9" t="inlineStr">
        <is>
          <t>P-10</t>
        </is>
      </c>
      <c r="B63" s="16" t="inlineStr">
        <is>
          <t>在庫移動・調整・廃棄</t>
        </is>
      </c>
      <c r="C63" s="9" t="n">
        <v>3</v>
      </c>
      <c r="D63" s="16" t="inlineStr">
        <is>
          <t>調整・廃棄：理由必須。調整後の on_hand_qty が allocated_qty 未満になる場合はエラー</t>
        </is>
      </c>
      <c r="E63" s="9" t="inlineStr">
        <is>
          <t>MSG-E18</t>
        </is>
      </c>
    </row>
    <row r="64">
      <c r="A64" s="9" t="inlineStr">
        <is>
          <t>P-10</t>
        </is>
      </c>
      <c r="B64" s="16" t="inlineStr">
        <is>
          <t>在庫移動・調整・廃棄</t>
        </is>
      </c>
      <c r="C64" s="9" t="n">
        <v>4</v>
      </c>
      <c r="D64" s="16" t="inlineStr">
        <is>
          <t>隔離例外の後処理：出所伝票をロック後に再検証し、未判定（split_status=PENDING／返品 status=RECEIVED）で払出し可能数が0になった場合に限り、入荷明細は split_status=REJECTED、返品は disposition=DISPOSE・status=CLOSED にする。判定済の出所は変更しない</t>
        </is>
      </c>
      <c r="E64" s="9" t="inlineStr"/>
    </row>
    <row r="65">
      <c r="A65" s="9" t="inlineStr">
        <is>
          <t>P-10</t>
        </is>
      </c>
      <c r="B65" s="16" t="inlineStr">
        <is>
          <t>在庫移動・調整・廃棄</t>
        </is>
      </c>
      <c r="C65" s="9" t="n">
        <v>5</v>
      </c>
      <c r="D65" s="16" t="inlineStr">
        <is>
          <t>誤入力の戻し：ADMIN が隔離例外の ADJUST/DISPOSE 移動を指定して CANCEL(+同数量, 同一 ref) の赤伝を記録。ステップ4で自動クローズされていた出所は PENDING／RECEIVED に戻す（P-07・P-16 で判定済になった後は不可）</t>
        </is>
      </c>
      <c r="E65" s="9" t="inlineStr">
        <is>
          <t>MSG-E29</t>
        </is>
      </c>
    </row>
    <row r="66">
      <c r="A66" s="19" t="inlineStr">
        <is>
          <t>P-11</t>
        </is>
      </c>
      <c r="B66" s="20" t="inlineStr">
        <is>
          <t>ロット指定の引当解除（共通）</t>
        </is>
      </c>
      <c r="C66" s="19" t="n">
        <v>1</v>
      </c>
      <c r="D66" s="20" t="inlineStr">
        <is>
          <t>呼出元でロットをロック済の前提。在庫 FOR UPDATE → 対象ロットの t_shipment_line(status=ALLOCATED) を FOR UPDATE</t>
        </is>
      </c>
      <c r="E66" s="19" t="inlineStr"/>
    </row>
    <row r="67">
      <c r="A67" s="9" t="inlineStr">
        <is>
          <t>P-11</t>
        </is>
      </c>
      <c r="B67" s="16" t="inlineStr">
        <is>
          <t>ロット指定の引当解除（共通）</t>
        </is>
      </c>
      <c r="C67" s="9" t="n">
        <v>2</v>
      </c>
      <c r="D67" s="16" t="inlineStr">
        <is>
          <t>該当明細のみ status=CANCELLED とし t_inventory.allocated_qty を減算。同じ出荷の他ロット明細は維持</t>
        </is>
      </c>
      <c r="E67" s="9" t="inlineStr"/>
    </row>
    <row r="68">
      <c r="A68" s="9" t="inlineStr">
        <is>
          <t>P-11</t>
        </is>
      </c>
      <c r="B68" s="16" t="inlineStr">
        <is>
          <t>ロット指定の引当解除（共通）</t>
        </is>
      </c>
      <c r="C68" s="9" t="n">
        <v>3</v>
      </c>
      <c r="D68" s="16" t="inlineStr">
        <is>
          <t>ALLOCATED 明細が残らない出荷ヘッダは CANCELLED。影響した受注を倉庫・営業担当へ通知（再引当が必要）</t>
        </is>
      </c>
      <c r="E68" s="9" t="inlineStr"/>
    </row>
    <row r="69">
      <c r="A69" s="19" t="inlineStr">
        <is>
          <t>P-12</t>
        </is>
      </c>
      <c r="B69" s="20" t="inlineStr">
        <is>
          <t>入荷取消</t>
        </is>
      </c>
      <c r="C69" s="19" t="n">
        <v>1</v>
      </c>
      <c r="D69" s="20" t="inlineStr">
        <is>
          <t>ADMINのみ。ロック（P-00）：対象ロット FOR UPDATE → 在庫 → 発注（引当時）FOR UPDATE → t_receipt（P-01 と同順）。status=CONFIRMED を確認し、発注状態はロック後の値で再判定</t>
        </is>
      </c>
      <c r="E69" s="19" t="inlineStr">
        <is>
          <t>MSG-E01</t>
        </is>
      </c>
    </row>
    <row r="70">
      <c r="A70" s="9" t="inlineStr">
        <is>
          <t>P-12</t>
        </is>
      </c>
      <c r="B70" s="16" t="inlineStr">
        <is>
          <t>入荷取消</t>
        </is>
      </c>
      <c r="C70" s="9" t="n">
        <v>2</v>
      </c>
      <c r="D70" s="16" t="inlineStr">
        <is>
          <t>対象ロットが QUARANTINE であり、入荷先保管場所の現在庫 &gt;= 入荷数量 かつ 引当済数=0 であること。検品済・出荷・移動済みなら取消不可</t>
        </is>
      </c>
      <c r="E70" s="9" t="inlineStr">
        <is>
          <t>MSG-E20</t>
        </is>
      </c>
    </row>
    <row r="71">
      <c r="A71" s="9" t="inlineStr">
        <is>
          <t>P-12</t>
        </is>
      </c>
      <c r="B71" s="16" t="inlineStr">
        <is>
          <t>入荷取消</t>
        </is>
      </c>
      <c r="C71" s="9" t="n">
        <v>3</v>
      </c>
      <c r="D71" s="16" t="inlineStr">
        <is>
          <t>CANCEL(−数量) の移動を INSERT、在庫減算、発注明細の入荷済数量を減算し発注ステータスを再判定（CLOSED は維持）（BR-03）</t>
        </is>
      </c>
      <c r="E71" s="9" t="inlineStr"/>
    </row>
    <row r="72">
      <c r="A72" s="9" t="inlineStr">
        <is>
          <t>P-12</t>
        </is>
      </c>
      <c r="B72" s="16" t="inlineStr">
        <is>
          <t>入荷取消</t>
        </is>
      </c>
      <c r="C72" s="9" t="n">
        <v>4</v>
      </c>
      <c r="D72" s="16" t="inlineStr">
        <is>
          <t>unit_cost を移動平均の逆算で更新：取消後在庫&gt;0 なら (現在庫×現原価−取消数量×仕入単価)÷(現在庫−取消数量)、0 なら維持</t>
        </is>
      </c>
      <c r="E72" s="9" t="inlineStr"/>
    </row>
    <row r="73">
      <c r="A73" s="9" t="inlineStr">
        <is>
          <t>P-12</t>
        </is>
      </c>
      <c r="B73" s="16" t="inlineStr">
        <is>
          <t>入荷取消</t>
        </is>
      </c>
      <c r="C73" s="9" t="n">
        <v>5</v>
      </c>
      <c r="D73" s="16" t="inlineStr">
        <is>
          <t>ロットの在庫が全保管場所で0かつ有効な入荷明細が残らなければ VOID にしステータス履歴を記録。t_receipt.status=CANCELLED</t>
        </is>
      </c>
      <c r="E73" s="9" t="inlineStr"/>
    </row>
    <row r="74">
      <c r="A74" s="19" t="inlineStr">
        <is>
          <t>P-13</t>
        </is>
      </c>
      <c r="B74" s="20" t="inlineStr">
        <is>
          <t>引当の手動変更</t>
        </is>
      </c>
      <c r="C74" s="19" t="n">
        <v>1</v>
      </c>
      <c r="D74" s="20" t="inlineStr">
        <is>
          <t>ロック（P-00）：変更前後のロット FOR SHARE → 在庫 → 受注（status=OPEN/PARTIAL を確認）→ t_shipment(ALLOCATED)。変更前明細の allocated_qty を減算し明細を CANCELLED</t>
        </is>
      </c>
      <c r="E74" s="19" t="inlineStr">
        <is>
          <t>MSG-E01</t>
        </is>
      </c>
    </row>
    <row r="75">
      <c r="A75" s="9" t="inlineStr">
        <is>
          <t>P-13</t>
        </is>
      </c>
      <c r="B75" s="16" t="inlineStr">
        <is>
          <t>引当の手動変更</t>
        </is>
      </c>
      <c r="C75" s="9" t="n">
        <v>2</v>
      </c>
      <c r="D75" s="16" t="inlineStr">
        <is>
          <t>変更後のロット・保管場所が BR-04 を満たすことを検証し、新しい明細(ALLOCATED)を INSERT・allocated_qty 加算</t>
        </is>
      </c>
      <c r="E75" s="9" t="inlineStr">
        <is>
          <t>MSG-E12,MSG-E13</t>
        </is>
      </c>
    </row>
    <row r="76">
      <c r="A76" s="9" t="inlineStr">
        <is>
          <t>P-13</t>
        </is>
      </c>
      <c r="B76" s="16" t="inlineStr">
        <is>
          <t>引当の手動変更</t>
        </is>
      </c>
      <c r="C76" s="9" t="n">
        <v>3</v>
      </c>
      <c r="D76" s="16" t="inlineStr">
        <is>
          <t>受注明細ごとに 引当中数量 &lt;= 受注数量−出荷済数量 を検証</t>
        </is>
      </c>
      <c r="E76" s="9" t="inlineStr">
        <is>
          <t>MSG-E23</t>
        </is>
      </c>
    </row>
    <row r="77">
      <c r="A77" s="19" t="inlineStr">
        <is>
          <t>P-14</t>
        </is>
      </c>
      <c r="B77" s="20" t="inlineStr">
        <is>
          <t>回収完了</t>
        </is>
      </c>
      <c r="C77" s="19" t="n">
        <v>1</v>
      </c>
      <c r="D77" s="20" t="inlineStr">
        <is>
          <t>ロック（P-00）：t_recall → t_recall_target。全対象が RECOVERED/CLOSED であることを検証</t>
        </is>
      </c>
      <c r="E77" s="19" t="inlineStr">
        <is>
          <t>MSG-E24</t>
        </is>
      </c>
    </row>
    <row r="78">
      <c r="A78" s="9" t="inlineStr">
        <is>
          <t>P-14</t>
        </is>
      </c>
      <c r="B78" s="16" t="inlineStr">
        <is>
          <t>回収完了</t>
        </is>
      </c>
      <c r="C78" s="9" t="n">
        <v>2</v>
      </c>
      <c r="D78" s="16" t="inlineStr">
        <is>
          <t>対象ロットの残在庫（全保管場所）が0であることを確認（未処分なら警告）。status=CLOSED、closed_on 設定</t>
        </is>
      </c>
      <c r="E78" s="9" t="inlineStr">
        <is>
          <t>MSG-W07</t>
        </is>
      </c>
    </row>
    <row r="79">
      <c r="A79" s="19" t="inlineStr">
        <is>
          <t>P-15</t>
        </is>
      </c>
      <c r="B79" s="20" t="inlineStr">
        <is>
          <t>ロットステータス変更（QA）</t>
        </is>
      </c>
      <c r="C79" s="19" t="n">
        <v>1</v>
      </c>
      <c r="D79" s="20" t="inlineStr">
        <is>
          <t>ロック（P-00）：t_lot FOR UPDATE。現状態→変更後が状態遷移シートで QA に許可された遷移であることを検証</t>
        </is>
      </c>
      <c r="E79" s="19" t="inlineStr">
        <is>
          <t>MSG-E29</t>
        </is>
      </c>
    </row>
    <row r="80">
      <c r="A80" s="9" t="inlineStr">
        <is>
          <t>P-15</t>
        </is>
      </c>
      <c r="B80" s="16" t="inlineStr">
        <is>
          <t>ロットステータス変更（QA）</t>
        </is>
      </c>
      <c r="C80" s="9" t="n">
        <v>2</v>
      </c>
      <c r="D80" s="16" t="inlineStr">
        <is>
          <t>理由必須。HOLD→RELEASED は BR-17 を検証。inspected_at が NULL の HOLD は QUARANTINE にのみ解除可</t>
        </is>
      </c>
      <c r="E80" s="9" t="inlineStr">
        <is>
          <t>MSG-E09,MSG-E08</t>
        </is>
      </c>
    </row>
    <row r="81">
      <c r="A81" s="9" t="inlineStr">
        <is>
          <t>P-15</t>
        </is>
      </c>
      <c r="B81" s="16" t="inlineStr">
        <is>
          <t>ロットステータス変更（QA）</t>
        </is>
      </c>
      <c r="C81" s="9" t="n">
        <v>3</v>
      </c>
      <c r="D81" s="16" t="inlineStr">
        <is>
          <t>status・status_reason を更新し t_lot_status_history を INSERT。HOLD/REJECTED への変更時は P-11 で引当解除</t>
        </is>
      </c>
      <c r="E81" s="9" t="inlineStr"/>
    </row>
    <row r="82">
      <c r="A82" s="19" t="inlineStr">
        <is>
          <t>P-16</t>
        </is>
      </c>
      <c r="B82" s="20" t="inlineStr">
        <is>
          <t>分納受入判定（QA）</t>
        </is>
      </c>
      <c r="C82" s="19" t="n">
        <v>1</v>
      </c>
      <c r="D82" s="20" t="inlineStr">
        <is>
          <t>ロック（P-00）：ロット → 在庫 → 対象入荷明細 FOR UPDATE。split_status=PENDING を確認（判定済なら MSG-E30）</t>
        </is>
      </c>
      <c r="E82" s="19" t="inlineStr">
        <is>
          <t>MSG-E30</t>
        </is>
      </c>
    </row>
    <row r="83">
      <c r="A83" s="9" t="inlineStr">
        <is>
          <t>P-16</t>
        </is>
      </c>
      <c r="B83" s="16" t="inlineStr">
        <is>
          <t>分納受入判定（QA）</t>
        </is>
      </c>
      <c r="C83" s="9" t="n">
        <v>2</v>
      </c>
      <c r="D83" s="16" t="inlineStr">
        <is>
          <t>到着時温度・COA（分納分）を確認し判定（一部数量での判定は不可。差異は先に P-10 の隔離例外で処理）。合格：払出し可能数の全量を ref=receipt_line で TRANSFER_OUT/IN し通常保管場所へ移動、split_status=ACCEPTED（ロットが RELEASED なら引当可能）</t>
        </is>
      </c>
      <c r="E83" s="9" t="inlineStr">
        <is>
          <t>MSG-E07</t>
        </is>
      </c>
    </row>
    <row r="84">
      <c r="A84" s="9" t="inlineStr">
        <is>
          <t>P-16</t>
        </is>
      </c>
      <c r="B84" s="16" t="inlineStr">
        <is>
          <t>分納受入判定（QA）</t>
        </is>
      </c>
      <c r="C84" s="9" t="n">
        <v>3</v>
      </c>
      <c r="D84" s="16" t="inlineStr">
        <is>
          <t>不合格：split_status=REJECTED とし、分納分を ref=receipt_line で DISPOSE するか仕入先返品（P-17）。払出し可能数0なら移動を作らず判定のみ記録。実数差異（破損・不足）は P-10 の隔離例外で処理。ロット全体に影響する場合は P-15 で HOLD/REJECTED</t>
        </is>
      </c>
      <c r="E84" s="9" t="inlineStr"/>
    </row>
    <row r="85">
      <c r="A85" s="19" t="inlineStr">
        <is>
          <t>P-17</t>
        </is>
      </c>
      <c r="B85" s="20" t="inlineStr">
        <is>
          <t>仕入先返品</t>
        </is>
      </c>
      <c r="C85" s="19" t="n">
        <v>1</v>
      </c>
      <c r="D85" s="20" t="inlineStr">
        <is>
          <t>ロック（P-00）：ロット → 在庫 → 返品元の入荷明細。払出し元が通常保管場所なら対象ロットは REJECTED/RECALLED/EXPIRED、隔離保管場所なら split_status=REJECTED の分納明細に限る（返品在庫は対象外）</t>
        </is>
      </c>
      <c r="E85" s="19" t="inlineStr">
        <is>
          <t>MSG-E29</t>
        </is>
      </c>
    </row>
    <row r="86">
      <c r="A86" s="9" t="inlineStr">
        <is>
          <t>P-17</t>
        </is>
      </c>
      <c r="B86" s="16" t="inlineStr">
        <is>
          <t>仕入先返品</t>
        </is>
      </c>
      <c r="C86" s="9" t="n">
        <v>2</v>
      </c>
      <c r="D86" s="16" t="inlineStr">
        <is>
          <t>返品元の入荷明細は利用者が選択（移行ロットは ref_type=migration）。数量上限＝当該明細の入荷数量−同一 ref の払出し済数量。SUPPLIER_RETURN(−数量) を INSERT し在庫減算（引当済数を下回る場合はエラー）。理由必須</t>
        </is>
      </c>
      <c r="E86" s="9" t="inlineStr">
        <is>
          <t>MSG-E18,MSG-E30</t>
        </is>
      </c>
    </row>
    <row r="87">
      <c r="A87" s="9" t="inlineStr">
        <is>
          <t>P-17</t>
        </is>
      </c>
      <c r="B87" s="16" t="inlineStr">
        <is>
          <t>仕入先返品</t>
        </is>
      </c>
      <c r="C87" s="9" t="n">
        <v>3</v>
      </c>
      <c r="D87" s="16" t="inlineStr">
        <is>
          <t>仕入先への返品書類を t_attachment に添付可。仕入実績表（RP-03）でマイナス計上（単価＝入荷明細の仕入単価、移行ロットは t_lot.unit_cost）</t>
        </is>
      </c>
      <c r="E87" s="9" t="inlineStr"/>
    </row>
    <row r="88">
      <c r="A88" s="19" t="inlineStr">
        <is>
          <t>P-18</t>
        </is>
      </c>
      <c r="B88" s="20" t="inlineStr">
        <is>
          <t>回収対象抽出（再抽出）</t>
        </is>
      </c>
      <c r="C88" s="19" t="n">
        <v>1</v>
      </c>
      <c r="D88" s="20" t="inlineStr">
        <is>
          <t>ロック（P-00）：t_recall FOR UPDATE（同一案件の抽出を直列化）。status≠CLOSED を確認し SQL-03（UPSERT＋消滅分の更新）を実行（BR-14）</t>
        </is>
      </c>
      <c r="E88" s="19" t="inlineStr">
        <is>
          <t>MSG-E01</t>
        </is>
      </c>
    </row>
    <row r="89">
      <c r="A89" s="9" t="inlineStr">
        <is>
          <t>P-18</t>
        </is>
      </c>
      <c r="B89" s="16" t="inlineStr">
        <is>
          <t>回収対象抽出（再抽出）</t>
        </is>
      </c>
      <c r="C89" s="9" t="n">
        <v>2</v>
      </c>
      <c r="D89" s="16" t="inlineStr">
        <is>
          <t>回収数量＋回収不能数量 &gt;= 出荷正味数量 の対象を RECOVERED、出荷正味0 で回収実績のない対象を CLOSED（close_reason=自動）にする</t>
        </is>
      </c>
      <c r="E89" s="9" t="inlineStr"/>
    </row>
    <row r="90">
      <c r="A90" s="19" t="inlineStr">
        <is>
          <t>P-19</t>
        </is>
      </c>
      <c r="B90" s="20" t="inlineStr">
        <is>
          <t>回収進捗更新</t>
        </is>
      </c>
      <c r="C90" s="19" t="n">
        <v>1</v>
      </c>
      <c r="D90" s="20" t="inlineStr">
        <is>
          <t>ロック（P-00）：t_recall → 対象 t_recall_target。回収案件≠CLOSED を確認</t>
        </is>
      </c>
      <c r="E90" s="19" t="inlineStr">
        <is>
          <t>MSG-E01</t>
        </is>
      </c>
    </row>
    <row r="91">
      <c r="A91" s="9" t="inlineStr">
        <is>
          <t>P-19</t>
        </is>
      </c>
      <c r="B91" s="16" t="inlineStr">
        <is>
          <t>回収進捗更新</t>
        </is>
      </c>
      <c r="C91" s="9" t="n">
        <v>2</v>
      </c>
      <c r="D91" s="16" t="inlineStr">
        <is>
          <t>SALES は連絡日・連絡方法・CONTACTED のみ更新可。CLOSED（close_reason 必須）と unrecoverable_qty は QA のみ</t>
        </is>
      </c>
      <c r="E91" s="9" t="inlineStr">
        <is>
          <t>MSG-E29</t>
        </is>
      </c>
    </row>
    <row r="92">
      <c r="A92" s="9" t="inlineStr">
        <is>
          <t>P-19</t>
        </is>
      </c>
      <c r="B92" s="16" t="inlineStr">
        <is>
          <t>回収進捗更新</t>
        </is>
      </c>
      <c r="C92" s="9" t="n">
        <v>3</v>
      </c>
      <c r="D92" s="16" t="inlineStr">
        <is>
          <t>更新後、回収数量＋回収不能数量 &gt;= 出荷正味数量 なら RECOVERED（P-07 ステップ4と同じ判定）</t>
        </is>
      </c>
      <c r="E92" s="9" t="inlineStr"/>
    </row>
    <row r="93">
      <c r="A93" s="19" t="inlineStr">
        <is>
          <t>P-20</t>
        </is>
      </c>
      <c r="B93" s="20" t="inlineStr">
        <is>
          <t>下書き入荷の破棄</t>
        </is>
      </c>
      <c r="C93" s="19" t="n">
        <v>1</v>
      </c>
      <c r="D93" s="20" t="inlineStr">
        <is>
          <t>ロック（P-00）：発注（引当時）FOR UPDATE → t_receipt FOR UPDATE（P-01・API-024 と同順で直列化）。status=DRAFT を確認</t>
        </is>
      </c>
      <c r="E93" s="19" t="inlineStr">
        <is>
          <t>MSG-E01</t>
        </is>
      </c>
    </row>
    <row r="94">
      <c r="A94" s="9" t="inlineStr">
        <is>
          <t>P-20</t>
        </is>
      </c>
      <c r="B94" s="16" t="inlineStr">
        <is>
          <t>下書き入荷の破棄</t>
        </is>
      </c>
      <c r="C94" s="9" t="n">
        <v>2</v>
      </c>
      <c r="D94" s="16" t="inlineStr">
        <is>
          <t>t_receipt.status=CANCELLED（確定前のため在庫移動・ロット生成なし）。監査ログ記録</t>
        </is>
      </c>
      <c r="E94" s="9" t="inlineStr"/>
    </row>
    <row r="95">
      <c r="A95" s="19" t="inlineStr">
        <is>
          <t>P-18</t>
        </is>
      </c>
      <c r="B95" s="20" t="inlineStr">
        <is>
          <t>回収対象抽出（再抽出）</t>
        </is>
      </c>
      <c r="C95" s="19" t="n">
        <v>3</v>
      </c>
      <c r="D95" s="20" t="inlineStr">
        <is>
          <t>回収案件 status=IN_PROGRESS。初回抽出時は QA・管理者へメール通知</t>
        </is>
      </c>
      <c r="E95" s="19" t="inlineStr"/>
    </row>
  </sheetData>
  <autoFilter ref="A3:E95"/>
  <hyperlinks>
    <hyperlink xmlns:r="http://schemas.openxmlformats.org/officeDocument/2006/relationships" ref="E1" r:id="rId1"/>
  </hyperlinks>
  <printOptions gridLines="0"/>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D23"/>
  <sheetViews>
    <sheetView zoomScale="90" workbookViewId="0">
      <pane ySplit="3" topLeftCell="A4" activePane="bottomLeft" state="frozen"/>
      <selection pane="bottomLeft" activeCell="A1" sqref="A1"/>
    </sheetView>
  </sheetViews>
  <sheetFormatPr baseColWidth="8" defaultRowHeight="15"/>
  <cols>
    <col width="9" customWidth="1" min="1" max="1"/>
    <col width="14" customWidth="1" min="2" max="2"/>
    <col width="100" customWidth="1" min="3" max="3"/>
    <col width="18" customWidth="1" min="4" max="4"/>
  </cols>
  <sheetData>
    <row r="1">
      <c r="A1" s="5" t="inlineStr">
        <is>
          <t>業務ルール・バリデーション</t>
        </is>
      </c>
      <c r="D1" s="15" t="inlineStr">
        <is>
          <t>← 表紙へ</t>
        </is>
      </c>
    </row>
    <row r="3">
      <c r="A3" s="8" t="inlineStr">
        <is>
          <t>ルールID</t>
        </is>
      </c>
      <c r="B3" s="8" t="inlineStr">
        <is>
          <t>区分</t>
        </is>
      </c>
      <c r="C3" s="8" t="inlineStr">
        <is>
          <t>ルール</t>
        </is>
      </c>
      <c r="D3" s="8" t="inlineStr">
        <is>
          <t>関連機能ID</t>
        </is>
      </c>
    </row>
    <row r="4">
      <c r="A4" s="9" t="inlineStr">
        <is>
          <t>BR-01</t>
        </is>
      </c>
      <c r="B4" s="9" t="inlineStr">
        <is>
          <t>トレーサビリティ</t>
        </is>
      </c>
      <c r="C4" s="16" t="inlineStr">
        <is>
          <t>出荷明細はロットIDを必須とし、ロットの商品と受注明細の商品が一致すること。</t>
        </is>
      </c>
      <c r="D4" s="16" t="inlineStr">
        <is>
          <t>SHP-01</t>
        </is>
      </c>
    </row>
    <row r="5">
      <c r="A5" s="9" t="inlineStr">
        <is>
          <t>BR-02</t>
        </is>
      </c>
      <c r="B5" s="9" t="inlineStr">
        <is>
          <t>トレーサビリティ</t>
        </is>
      </c>
      <c r="C5" s="16" t="inlineStr">
        <is>
          <t>在庫数量の増減は必ず在庫移動履歴を伴うトランザクションで行う（在庫テーブルの直接更新禁止）。</t>
        </is>
      </c>
      <c r="D5" s="16" t="inlineStr">
        <is>
          <t>SHP-02,INV-03</t>
        </is>
      </c>
    </row>
    <row r="6">
      <c r="A6" s="9" t="inlineStr">
        <is>
          <t>BR-03</t>
        </is>
      </c>
      <c r="B6" s="9" t="inlineStr">
        <is>
          <t>トレーサビリティ</t>
        </is>
      </c>
      <c r="C6" s="16" t="inlineStr">
        <is>
          <t>確定済の入荷・出荷・返品は物理削除不可。取消は取消区分の移動履歴（赤伝）で行う。</t>
        </is>
      </c>
      <c r="D6" s="16" t="inlineStr">
        <is>
          <t>SHP-02,RCV-01</t>
        </is>
      </c>
    </row>
    <row r="7">
      <c r="A7" s="9" t="inlineStr">
        <is>
          <t>BR-04</t>
        </is>
      </c>
      <c r="B7" s="9" t="inlineStr">
        <is>
          <t>品質</t>
        </is>
      </c>
      <c r="C7" s="16" t="inlineStr">
        <is>
          <t>引当可能な在庫は、ロット.ステータス=RELEASED かつ 使用期限−出荷日 &gt;= 商品.最低出荷残期間 かつ 隔離保管場所でないものに限る。</t>
        </is>
      </c>
      <c r="D7" s="16" t="inlineStr">
        <is>
          <t>SHP-01</t>
        </is>
      </c>
    </row>
    <row r="8">
      <c r="A8" s="9" t="inlineStr">
        <is>
          <t>BR-05</t>
        </is>
      </c>
      <c r="B8" s="9" t="inlineStr">
        <is>
          <t>品質</t>
        </is>
      </c>
      <c r="C8" s="16" t="inlineStr">
        <is>
          <t>自動引当は使用期限の早い順（FEFO）、同一期限は入荷日の早い順とする。</t>
        </is>
      </c>
      <c r="D8" s="16" t="inlineStr">
        <is>
          <t>SHP-01</t>
        </is>
      </c>
    </row>
    <row r="9">
      <c r="A9" s="9" t="inlineStr">
        <is>
          <t>BR-06</t>
        </is>
      </c>
      <c r="B9" s="9" t="inlineStr">
        <is>
          <t>品質</t>
        </is>
      </c>
      <c r="C9" s="16" t="inlineStr">
        <is>
          <t>入庫・移動先の保管場所の保管温度区分は、商品の保管温度区分と一致すること。</t>
        </is>
      </c>
      <c r="D9" s="16" t="inlineStr">
        <is>
          <t>RCV-01,INV-02</t>
        </is>
      </c>
    </row>
    <row r="10">
      <c r="A10" s="9" t="inlineStr">
        <is>
          <t>BR-07</t>
        </is>
      </c>
      <c r="B10" s="9" t="inlineStr">
        <is>
          <t>品質</t>
        </is>
      </c>
      <c r="C10" s="16" t="inlineStr">
        <is>
          <t>温度記録が許容範囲外の場合、測定日時時点で当該保管場所に在庫があったロットを特定し、QUARANTINE/RELEASEDはHOLD、既出荷分は回収候補としてQAへ通知する。</t>
        </is>
      </c>
      <c r="D10" s="16" t="inlineStr">
        <is>
          <t>INV-04</t>
        </is>
      </c>
    </row>
    <row r="11">
      <c r="A11" s="9" t="inlineStr">
        <is>
          <t>BR-08</t>
        </is>
      </c>
      <c r="B11" s="9" t="inlineStr">
        <is>
          <t>品質</t>
        </is>
      </c>
      <c r="C11" s="16" t="inlineStr">
        <is>
          <t>受入検品の合格判定にはCOA（試験成績書）の添付を必須とする。</t>
        </is>
      </c>
      <c r="D11" s="16" t="inlineStr">
        <is>
          <t>RCV-02</t>
        </is>
      </c>
    </row>
    <row r="12">
      <c r="A12" s="9" t="inlineStr">
        <is>
          <t>BR-09</t>
        </is>
      </c>
      <c r="B12" s="9" t="inlineStr">
        <is>
          <t>販売</t>
        </is>
      </c>
      <c r="C12" s="16" t="inlineStr">
        <is>
          <t>受注登録時、商品の規制区分×顧客区分が販売可否ルールで「可」でなければ登録不可。</t>
        </is>
      </c>
      <c r="D12" s="16" t="inlineStr">
        <is>
          <t>SAL-01,MST-06</t>
        </is>
      </c>
    </row>
    <row r="13">
      <c r="A13" s="9" t="inlineStr">
        <is>
          <t>BR-10</t>
        </is>
      </c>
      <c r="B13" s="9" t="inlineStr">
        <is>
          <t>販売</t>
        </is>
      </c>
      <c r="C13" s="16" t="inlineStr">
        <is>
          <t>顧客区分=医療機関の場合、医療機関コードを必須とする。</t>
        </is>
      </c>
      <c r="D13" s="16" t="inlineStr">
        <is>
          <t>MST-03</t>
        </is>
      </c>
    </row>
    <row r="14">
      <c r="A14" s="9" t="inlineStr">
        <is>
          <t>BR-11</t>
        </is>
      </c>
      <c r="B14" s="9" t="inlineStr">
        <is>
          <t>販売</t>
        </is>
      </c>
      <c r="C14" s="16" t="inlineStr">
        <is>
          <t>与信限度額が設定された顧客は、与信残高（未出荷受注残金額＋直近60日の出荷金額）＋今回受注額が限度額を超える場合に警告し、管理者承認で登録可（入金消込は会計側のため簡易算出。課題Q-09）。</t>
        </is>
      </c>
      <c r="D14" s="16" t="inlineStr">
        <is>
          <t>SAL-01</t>
        </is>
      </c>
    </row>
    <row r="15">
      <c r="A15" s="9" t="inlineStr">
        <is>
          <t>BR-12</t>
        </is>
      </c>
      <c r="B15" s="9" t="inlineStr">
        <is>
          <t>販売</t>
        </is>
      </c>
      <c r="C15" s="16" t="inlineStr">
        <is>
          <t>返品数量は、元出荷明細の出荷数量−既返品数量を超えてはならない。</t>
        </is>
      </c>
      <c r="D15" s="16" t="inlineStr">
        <is>
          <t>RET-01</t>
        </is>
      </c>
    </row>
    <row r="16">
      <c r="A16" s="9" t="inlineStr">
        <is>
          <t>BR-13</t>
        </is>
      </c>
      <c r="B16" s="9" t="inlineStr">
        <is>
          <t>回収</t>
        </is>
      </c>
      <c r="C16" s="16" t="inlineStr">
        <is>
          <t>回収案件に指定されたロットは即時RECALLEDとし、未出荷の引当を解除する。</t>
        </is>
      </c>
      <c r="D16" s="16" t="inlineStr">
        <is>
          <t>RCL-01</t>
        </is>
      </c>
    </row>
    <row r="17">
      <c r="A17" s="9" t="inlineStr">
        <is>
          <t>BR-14</t>
        </is>
      </c>
      <c r="B17" s="9" t="inlineStr">
        <is>
          <t>回収</t>
        </is>
      </c>
      <c r="C17" s="16" t="inlineStr">
        <is>
          <t>回収対象顧客は、対象ロットの出荷済明細から（出荷数量−返品数量）&gt; 0 の顧客を自動抽出する。</t>
        </is>
      </c>
      <c r="D17" s="16" t="inlineStr">
        <is>
          <t>RCL-01,TRC-01</t>
        </is>
      </c>
    </row>
    <row r="18">
      <c r="A18" s="9" t="inlineStr">
        <is>
          <t>BR-15</t>
        </is>
      </c>
      <c r="B18" s="9" t="inlineStr">
        <is>
          <t>採番</t>
        </is>
      </c>
      <c r="C18" s="16" t="inlineStr">
        <is>
          <t>社内ロット番号＝商品コード-初回入荷日(YYMMDD)-2桁連番。仕入先・商品・仕入先ロット番号の組合せで1ロットとし、分納は既存ロットに加算（使用期限は一致必須）。</t>
        </is>
      </c>
      <c r="D18" s="16" t="inlineStr">
        <is>
          <t>RCV-01</t>
        </is>
      </c>
    </row>
    <row r="19">
      <c r="A19" s="9" t="inlineStr">
        <is>
          <t>BR-17</t>
        </is>
      </c>
      <c r="B19" s="9" t="inlineStr">
        <is>
          <t>品質</t>
        </is>
      </c>
      <c r="C19" s="16" t="inlineStr">
        <is>
          <t>保留解除は、COA添付済かつ受入検品済（inspected_at あり）のロットは RELEASED へ、未検品のロットは QUARANTINE へ戻す（検品を経ずに合格にしない）。</t>
        </is>
      </c>
      <c r="D19" s="16" t="inlineStr">
        <is>
          <t>LOT-02</t>
        </is>
      </c>
    </row>
    <row r="20">
      <c r="A20" s="9" t="inlineStr">
        <is>
          <t>BR-18</t>
        </is>
      </c>
      <c r="B20" s="9" t="inlineStr">
        <is>
          <t>回収</t>
        </is>
      </c>
      <c r="C20" s="16" t="inlineStr">
        <is>
          <t>回収品（回収対象に紐づく返品）は在庫に戻さず、廃棄（DISPOSE）のみとする。</t>
        </is>
      </c>
      <c r="D20" s="16" t="inlineStr">
        <is>
          <t>RET-01,RCL-02</t>
        </is>
      </c>
    </row>
    <row r="21">
      <c r="A21" s="9" t="inlineStr">
        <is>
          <t>BR-19</t>
        </is>
      </c>
      <c r="B21" s="9" t="inlineStr">
        <is>
          <t>品質</t>
        </is>
      </c>
      <c r="C21" s="16" t="inlineStr">
        <is>
          <t>合格（RELEASED）・保留（HOLD）ロットへの分納分は隔離保管場所に入庫し、QAの分納受入判定（P-16）を経るまで引当対象にしない。</t>
        </is>
      </c>
      <c r="D21" s="16" t="inlineStr">
        <is>
          <t>RCV-01,RCV-02</t>
        </is>
      </c>
    </row>
    <row r="22">
      <c r="A22" s="9" t="inlineStr">
        <is>
          <t>BR-20</t>
        </is>
      </c>
      <c r="B22" s="9" t="inlineStr">
        <is>
          <t>在庫</t>
        </is>
      </c>
      <c r="C22" s="16" t="inlineStr">
        <is>
          <t>隔離保管場所の在庫は、返品判定（P-07）・分納受入判定（P-16）・仕入先返品（P-17）以外で払い出さない。払出しは出所伝票（入荷明細／返品）単位で、その残数を上限とする。例外として、実数差異は QA が出所伝票を指定した調整・廃棄（P-10）で処理する。</t>
        </is>
      </c>
      <c r="D22" s="16" t="inlineStr">
        <is>
          <t>INV-02,INV-03</t>
        </is>
      </c>
    </row>
    <row r="23">
      <c r="A23" s="9" t="inlineStr">
        <is>
          <t>BR-16</t>
        </is>
      </c>
      <c r="B23" s="9" t="inlineStr">
        <is>
          <t>アラート</t>
        </is>
      </c>
      <c r="C23" s="16" t="inlineStr">
        <is>
          <t>使用期限まで90日/30日、在庫が発注点以下、温度逸脱、回収未対応7日超でダッシュボード表示＋メール通知。</t>
        </is>
      </c>
      <c r="D23" s="16" t="inlineStr">
        <is>
          <t>INV-05</t>
        </is>
      </c>
    </row>
  </sheetData>
  <autoFilter ref="A3:D23"/>
  <hyperlinks>
    <hyperlink xmlns:r="http://schemas.openxmlformats.org/officeDocument/2006/relationships" ref="D1" r:id="rId1"/>
  </hyperlinks>
  <printOptions gridLines="0"/>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F51"/>
  <sheetViews>
    <sheetView zoomScale="90" workbookViewId="0">
      <pane ySplit="3" topLeftCell="A4" activePane="bottomLeft" state="frozen"/>
      <selection pane="bottomLeft" activeCell="A1" sqref="A1"/>
    </sheetView>
  </sheetViews>
  <sheetFormatPr baseColWidth="8" defaultRowHeight="15"/>
  <cols>
    <col width="10" customWidth="1" min="1" max="1"/>
    <col width="30" customWidth="1" min="2" max="2"/>
    <col width="20" customWidth="1" min="3" max="3"/>
    <col width="24" customWidth="1" min="4" max="4"/>
    <col width="50" customWidth="1" min="5" max="5"/>
    <col width="12" customWidth="1" min="6" max="6"/>
  </cols>
  <sheetData>
    <row r="1">
      <c r="A1" s="5" t="inlineStr">
        <is>
          <t>状態遷移</t>
        </is>
      </c>
      <c r="F1" s="15" t="inlineStr">
        <is>
          <t>← 表紙へ</t>
        </is>
      </c>
    </row>
    <row r="3">
      <c r="A3" s="8" t="inlineStr">
        <is>
          <t>対象</t>
        </is>
      </c>
      <c r="B3" s="8" t="inlineStr">
        <is>
          <t>現状態</t>
        </is>
      </c>
      <c r="C3" s="8" t="inlineStr">
        <is>
          <t>イベント</t>
        </is>
      </c>
      <c r="D3" s="8" t="inlineStr">
        <is>
          <t>次状態</t>
        </is>
      </c>
      <c r="E3" s="8" t="inlineStr">
        <is>
          <t>条件・処理</t>
        </is>
      </c>
      <c r="F3" s="8" t="inlineStr">
        <is>
          <t>実行ロール</t>
        </is>
      </c>
    </row>
    <row r="4">
      <c r="A4" s="9" t="inlineStr">
        <is>
          <t>ロット</t>
        </is>
      </c>
      <c r="B4" s="16" t="inlineStr">
        <is>
          <t>（なし）</t>
        </is>
      </c>
      <c r="C4" s="16" t="inlineStr">
        <is>
          <t>入荷確定</t>
        </is>
      </c>
      <c r="D4" s="16" t="inlineStr">
        <is>
          <t>QUARANTINE（検品待ち）</t>
        </is>
      </c>
      <c r="E4" s="16" t="inlineStr">
        <is>
          <t>P-01。ロット生成・在庫加算。引当不可</t>
        </is>
      </c>
      <c r="F4" s="9" t="inlineStr">
        <is>
          <t>WAREHOUSE</t>
        </is>
      </c>
    </row>
    <row r="5">
      <c r="A5" s="9" t="inlineStr">
        <is>
          <t>ロット</t>
        </is>
      </c>
      <c r="B5" s="16" t="inlineStr">
        <is>
          <t>QUARANTINE（検品待ち）</t>
        </is>
      </c>
      <c r="C5" s="16" t="inlineStr">
        <is>
          <t>分納入荷</t>
        </is>
      </c>
      <c r="D5" s="16" t="inlineStr">
        <is>
          <t>QUARANTINE（検品待ち）</t>
        </is>
      </c>
      <c r="E5" s="16" t="inlineStr">
        <is>
          <t>P-01。数量のみ加算（通常保管場所）</t>
        </is>
      </c>
      <c r="F5" s="9" t="inlineStr">
        <is>
          <t>WAREHOUSE</t>
        </is>
      </c>
    </row>
    <row r="6">
      <c r="A6" s="9" t="inlineStr">
        <is>
          <t>ロット</t>
        </is>
      </c>
      <c r="B6" s="16" t="inlineStr">
        <is>
          <t>RELEASED（合格）/HOLD（保留）</t>
        </is>
      </c>
      <c r="C6" s="16" t="inlineStr">
        <is>
          <t>分納入荷</t>
        </is>
      </c>
      <c r="D6" s="16" t="inlineStr">
        <is>
          <t>（状態維持）</t>
        </is>
      </c>
      <c r="E6" s="16" t="inlineStr">
        <is>
          <t>P-01。分納分は隔離保管場所へ入庫し、P-16 の分納受入判定まで引当不可</t>
        </is>
      </c>
      <c r="F6" s="9" t="inlineStr">
        <is>
          <t>WAREHOUSE</t>
        </is>
      </c>
    </row>
    <row r="7">
      <c r="A7" s="9" t="inlineStr">
        <is>
          <t>ロット</t>
        </is>
      </c>
      <c r="B7" s="16" t="inlineStr">
        <is>
          <t>VOID（無効）</t>
        </is>
      </c>
      <c r="C7" s="16" t="inlineStr">
        <is>
          <t>再入荷</t>
        </is>
      </c>
      <c r="D7" s="16" t="inlineStr">
        <is>
          <t>QUARANTINE（検品待ち）</t>
        </is>
      </c>
      <c r="E7" s="16" t="inlineStr">
        <is>
          <t>P-01。同一仕入先ロットの再入荷。ステータス履歴に記録</t>
        </is>
      </c>
      <c r="F7" s="9" t="inlineStr">
        <is>
          <t>WAREHOUSE</t>
        </is>
      </c>
    </row>
    <row r="8">
      <c r="A8" s="9" t="inlineStr">
        <is>
          <t>ロット</t>
        </is>
      </c>
      <c r="B8" s="16" t="inlineStr">
        <is>
          <t>QUARANTINE（検品待ち）</t>
        </is>
      </c>
      <c r="C8" s="16" t="inlineStr">
        <is>
          <t>検品合格</t>
        </is>
      </c>
      <c r="D8" s="16" t="inlineStr">
        <is>
          <t>RELEASED（合格）</t>
        </is>
      </c>
      <c r="E8" s="16" t="inlineStr">
        <is>
          <t>P-02。COA添付必須（BR-08）。inspected_by/at を記録</t>
        </is>
      </c>
      <c r="F8" s="9" t="inlineStr">
        <is>
          <t>QA</t>
        </is>
      </c>
    </row>
    <row r="9">
      <c r="A9" s="9" t="inlineStr">
        <is>
          <t>ロット</t>
        </is>
      </c>
      <c r="B9" s="16" t="inlineStr">
        <is>
          <t>QUARANTINE（検品待ち）</t>
        </is>
      </c>
      <c r="C9" s="16" t="inlineStr">
        <is>
          <t>検品不合格</t>
        </is>
      </c>
      <c r="D9" s="16" t="inlineStr">
        <is>
          <t>REJECTED（不合格）</t>
        </is>
      </c>
      <c r="E9" s="16" t="inlineStr">
        <is>
          <t>P-02。理由必須</t>
        </is>
      </c>
      <c r="F9" s="9" t="inlineStr">
        <is>
          <t>QA</t>
        </is>
      </c>
    </row>
    <row r="10">
      <c r="A10" s="9" t="inlineStr">
        <is>
          <t>ロット</t>
        </is>
      </c>
      <c r="B10" s="16" t="inlineStr">
        <is>
          <t>QUARANTINE（検品待ち）</t>
        </is>
      </c>
      <c r="C10" s="16" t="inlineStr">
        <is>
          <t>検品保留</t>
        </is>
      </c>
      <c r="D10" s="16" t="inlineStr">
        <is>
          <t>HOLD（保留）</t>
        </is>
      </c>
      <c r="E10" s="16" t="inlineStr">
        <is>
          <t>P-02。理由必須。追加資料待ち等</t>
        </is>
      </c>
      <c r="F10" s="9" t="inlineStr">
        <is>
          <t>QA</t>
        </is>
      </c>
    </row>
    <row r="11">
      <c r="A11" s="9" t="inlineStr">
        <is>
          <t>ロット</t>
        </is>
      </c>
      <c r="B11" s="16" t="inlineStr">
        <is>
          <t>QUARANTINE（検品待ち）/RELEASED（合格）</t>
        </is>
      </c>
      <c r="C11" s="16" t="inlineStr">
        <is>
          <t>温度逸脱</t>
        </is>
      </c>
      <c r="D11" s="16" t="inlineStr">
        <is>
          <t>HOLD（保留）</t>
        </is>
      </c>
      <c r="E11" s="16" t="inlineStr">
        <is>
          <t>P-09 で自動。理由＝温度記録ID。引当解除（P-11）</t>
        </is>
      </c>
      <c r="F11" s="9" t="inlineStr">
        <is>
          <t>システム</t>
        </is>
      </c>
    </row>
    <row r="12">
      <c r="A12" s="9" t="inlineStr">
        <is>
          <t>ロット</t>
        </is>
      </c>
      <c r="B12" s="16" t="inlineStr">
        <is>
          <t>RELEASED（合格）</t>
        </is>
      </c>
      <c r="C12" s="16" t="inlineStr">
        <is>
          <t>保留</t>
        </is>
      </c>
      <c r="D12" s="16" t="inlineStr">
        <is>
          <t>HOLD（保留）</t>
        </is>
      </c>
      <c r="E12" s="16" t="inlineStr">
        <is>
          <t>P-15。理由必須。引当解除（P-11）</t>
        </is>
      </c>
      <c r="F12" s="9" t="inlineStr">
        <is>
          <t>QA</t>
        </is>
      </c>
    </row>
    <row r="13">
      <c r="A13" s="9" t="inlineStr">
        <is>
          <t>ロット</t>
        </is>
      </c>
      <c r="B13" s="16" t="inlineStr">
        <is>
          <t>HOLD（保留）</t>
        </is>
      </c>
      <c r="C13" s="16" t="inlineStr">
        <is>
          <t>保留解除（検品済）</t>
        </is>
      </c>
      <c r="D13" s="16" t="inlineStr">
        <is>
          <t>RELEASED（合格）</t>
        </is>
      </c>
      <c r="E13" s="16" t="inlineStr">
        <is>
          <t>P-15。理由必須。BR-17（COA添付かつ inspected_at あり）</t>
        </is>
      </c>
      <c r="F13" s="9" t="inlineStr">
        <is>
          <t>QA</t>
        </is>
      </c>
    </row>
    <row r="14">
      <c r="A14" s="9" t="inlineStr">
        <is>
          <t>ロット</t>
        </is>
      </c>
      <c r="B14" s="16" t="inlineStr">
        <is>
          <t>HOLD（保留）</t>
        </is>
      </c>
      <c r="C14" s="16" t="inlineStr">
        <is>
          <t>保留解除（未検品）</t>
        </is>
      </c>
      <c r="D14" s="16" t="inlineStr">
        <is>
          <t>QUARANTINE（検品待ち）</t>
        </is>
      </c>
      <c r="E14" s="16" t="inlineStr">
        <is>
          <t>P-15。inspected_at が NULL の場合。以後 P-02 で検品</t>
        </is>
      </c>
      <c r="F14" s="9" t="inlineStr">
        <is>
          <t>QA</t>
        </is>
      </c>
    </row>
    <row r="15">
      <c r="A15" s="9" t="inlineStr">
        <is>
          <t>ロット</t>
        </is>
      </c>
      <c r="B15" s="16" t="inlineStr">
        <is>
          <t>HOLD（保留）</t>
        </is>
      </c>
      <c r="C15" s="16" t="inlineStr">
        <is>
          <t>不合格判定</t>
        </is>
      </c>
      <c r="D15" s="16" t="inlineStr">
        <is>
          <t>REJECTED（不合格）</t>
        </is>
      </c>
      <c r="E15" s="16" t="inlineStr">
        <is>
          <t>P-15。理由必須</t>
        </is>
      </c>
      <c r="F15" s="9" t="inlineStr">
        <is>
          <t>QA</t>
        </is>
      </c>
    </row>
    <row r="16">
      <c r="A16" s="9" t="inlineStr">
        <is>
          <t>ロット</t>
        </is>
      </c>
      <c r="B16" s="16" t="inlineStr">
        <is>
          <t>QUARANTINE（検品待ち）/RELEASED（合格）/HOLD（保留）/REJECTED（不合格）/EXPIRED（期限切れ）</t>
        </is>
      </c>
      <c r="C16" s="16" t="inlineStr">
        <is>
          <t>回収開始</t>
        </is>
      </c>
      <c r="D16" s="16" t="inlineStr">
        <is>
          <t>RECALLED（回収）</t>
        </is>
      </c>
      <c r="E16" s="16" t="inlineStr">
        <is>
          <t>P-08。引当解除（P-11）・出荷停止。既に RECALLED のロットは状態変更をスキップ</t>
        </is>
      </c>
      <c r="F16" s="9" t="inlineStr">
        <is>
          <t>QA</t>
        </is>
      </c>
    </row>
    <row r="17">
      <c r="A17" s="9" t="inlineStr">
        <is>
          <t>ロット</t>
        </is>
      </c>
      <c r="B17" s="16" t="inlineStr">
        <is>
          <t>RELEASED（合格）/HOLD（保留）</t>
        </is>
      </c>
      <c r="C17" s="16" t="inlineStr">
        <is>
          <t>期限到来</t>
        </is>
      </c>
      <c r="D17" s="16" t="inlineStr">
        <is>
          <t>EXPIRED（期限切れ）</t>
        </is>
      </c>
      <c r="E17" s="16" t="inlineStr">
        <is>
          <t>B-01 で自動。引当解除（P-11）</t>
        </is>
      </c>
      <c r="F17" s="9" t="inlineStr">
        <is>
          <t>システム</t>
        </is>
      </c>
    </row>
    <row r="18">
      <c r="A18" s="9" t="inlineStr">
        <is>
          <t>ロット</t>
        </is>
      </c>
      <c r="B18" s="16" t="inlineStr">
        <is>
          <t>QUARANTINE（検品待ち）</t>
        </is>
      </c>
      <c r="C18" s="16" t="inlineStr">
        <is>
          <t>入荷取消</t>
        </is>
      </c>
      <c r="D18" s="16" t="inlineStr">
        <is>
          <t>VOID（無効）</t>
        </is>
      </c>
      <c r="E18" s="16" t="inlineStr">
        <is>
          <t>P-12。当該ロットの入荷が全て取消された場合。検品済ロットの入荷は取消不可</t>
        </is>
      </c>
      <c r="F18" s="9" t="inlineStr">
        <is>
          <t>ADMIN</t>
        </is>
      </c>
    </row>
    <row r="19">
      <c r="A19" s="9" t="inlineStr">
        <is>
          <t>ロット</t>
        </is>
      </c>
      <c r="B19" s="16" t="inlineStr">
        <is>
          <t>REJECTED（不合格）/EXPIRED（期限切れ）/RECALLED（回収）</t>
        </is>
      </c>
      <c r="C19" s="16" t="inlineStr">
        <is>
          <t>在庫処分</t>
        </is>
      </c>
      <c r="D19" s="16" t="inlineStr">
        <is>
          <t>（状態維持）</t>
        </is>
      </c>
      <c r="E19" s="16" t="inlineStr">
        <is>
          <t>終端状態。残在庫は仕入先返品（P-17）または廃棄（P-10）で0にする。ロット記録は削除しない</t>
        </is>
      </c>
      <c r="F19" s="9" t="inlineStr">
        <is>
          <t>WAREHOUSE</t>
        </is>
      </c>
    </row>
    <row r="20">
      <c r="A20" s="9" t="inlineStr">
        <is>
          <t>発注</t>
        </is>
      </c>
      <c r="B20" s="16" t="inlineStr">
        <is>
          <t>DRAFT（作成中）</t>
        </is>
      </c>
      <c r="C20" s="16" t="inlineStr">
        <is>
          <t>承認</t>
        </is>
      </c>
      <c r="D20" s="16" t="inlineStr">
        <is>
          <t>APPROVED（承認済）</t>
        </is>
      </c>
      <c r="E20" s="16" t="inlineStr"/>
      <c r="F20" s="9" t="inlineStr">
        <is>
          <t>ADMIN</t>
        </is>
      </c>
    </row>
    <row r="21">
      <c r="A21" s="9" t="inlineStr">
        <is>
          <t>発注</t>
        </is>
      </c>
      <c r="B21" s="16" t="inlineStr">
        <is>
          <t>APPROVED（承認済）</t>
        </is>
      </c>
      <c r="C21" s="16" t="inlineStr">
        <is>
          <t>一部入荷</t>
        </is>
      </c>
      <c r="D21" s="16" t="inlineStr">
        <is>
          <t>PARTIAL（一部入荷）</t>
        </is>
      </c>
      <c r="E21" s="16" t="inlineStr">
        <is>
          <t>入荷済数量 &lt; 発注数量</t>
        </is>
      </c>
      <c r="F21" s="9" t="inlineStr">
        <is>
          <t>WAREHOUSE</t>
        </is>
      </c>
    </row>
    <row r="22">
      <c r="A22" s="9" t="inlineStr">
        <is>
          <t>発注</t>
        </is>
      </c>
      <c r="B22" s="16" t="inlineStr">
        <is>
          <t>APPROVED（承認済）/PARTIAL（一部入荷）</t>
        </is>
      </c>
      <c r="C22" s="16" t="inlineStr">
        <is>
          <t>全量入荷</t>
        </is>
      </c>
      <c r="D22" s="16" t="inlineStr">
        <is>
          <t>RECEIVED（入荷完了）</t>
        </is>
      </c>
      <c r="E22" s="16" t="inlineStr">
        <is>
          <t>全明細で入荷済数量 &gt;= 発注数量</t>
        </is>
      </c>
      <c r="F22" s="9" t="inlineStr">
        <is>
          <t>WAREHOUSE</t>
        </is>
      </c>
    </row>
    <row r="23">
      <c r="A23" s="9" t="inlineStr">
        <is>
          <t>発注</t>
        </is>
      </c>
      <c r="B23" s="16" t="inlineStr">
        <is>
          <t>PARTIAL（一部入荷）/RECEIVED（入荷完了）</t>
        </is>
      </c>
      <c r="C23" s="16" t="inlineStr">
        <is>
          <t>入荷取消</t>
        </is>
      </c>
      <c r="D23" s="16" t="inlineStr">
        <is>
          <t>APPROVED（承認済）/PARTIAL（一部入荷）</t>
        </is>
      </c>
      <c r="E23" s="16" t="inlineStr">
        <is>
          <t>P-12 で入荷済数量を減算し再判定</t>
        </is>
      </c>
      <c r="F23" s="9" t="inlineStr">
        <is>
          <t>ADMIN</t>
        </is>
      </c>
    </row>
    <row r="24">
      <c r="A24" s="9" t="inlineStr">
        <is>
          <t>発注</t>
        </is>
      </c>
      <c r="B24" s="16" t="inlineStr">
        <is>
          <t>PARTIAL（一部入荷）</t>
        </is>
      </c>
      <c r="C24" s="16" t="inlineStr">
        <is>
          <t>残数打切り</t>
        </is>
      </c>
      <c r="D24" s="16" t="inlineStr">
        <is>
          <t>CLOSED（打切り）</t>
        </is>
      </c>
      <c r="E24" s="16" t="inlineStr">
        <is>
          <t>API-024。DRAFT の入荷がないこと（MSG-E32）。以後の入荷対象外。理由を備考に記録</t>
        </is>
      </c>
      <c r="F24" s="9" t="inlineStr">
        <is>
          <t>PURCHASE</t>
        </is>
      </c>
    </row>
    <row r="25">
      <c r="A25" s="9" t="inlineStr">
        <is>
          <t>発注</t>
        </is>
      </c>
      <c r="B25" s="16" t="inlineStr">
        <is>
          <t>CLOSED（打切り）</t>
        </is>
      </c>
      <c r="C25" s="16" t="inlineStr">
        <is>
          <t>入荷取消</t>
        </is>
      </c>
      <c r="D25" s="16" t="inlineStr">
        <is>
          <t>CLOSED（打切り）</t>
        </is>
      </c>
      <c r="E25" s="16" t="inlineStr">
        <is>
          <t>P-12。入荷済数量のみ減算し状態は維持</t>
        </is>
      </c>
      <c r="F25" s="9" t="inlineStr">
        <is>
          <t>ADMIN</t>
        </is>
      </c>
    </row>
    <row r="26">
      <c r="A26" s="9" t="inlineStr">
        <is>
          <t>発注</t>
        </is>
      </c>
      <c r="B26" s="16" t="inlineStr">
        <is>
          <t>DRAFT（作成中）/APPROVED（承認済）</t>
        </is>
      </c>
      <c r="C26" s="16" t="inlineStr">
        <is>
          <t>取消</t>
        </is>
      </c>
      <c r="D26" s="16" t="inlineStr">
        <is>
          <t>CANCELLED（取消）</t>
        </is>
      </c>
      <c r="E26" s="16" t="inlineStr">
        <is>
          <t>入荷実績がない場合のみ（MSG-E21）</t>
        </is>
      </c>
      <c r="F26" s="9" t="inlineStr">
        <is>
          <t>PURCHASE</t>
        </is>
      </c>
    </row>
    <row r="27">
      <c r="A27" s="9" t="inlineStr">
        <is>
          <t>入荷</t>
        </is>
      </c>
      <c r="B27" s="16" t="inlineStr">
        <is>
          <t>DRAFT（下書き）</t>
        </is>
      </c>
      <c r="C27" s="16" t="inlineStr">
        <is>
          <t>確定</t>
        </is>
      </c>
      <c r="D27" s="16" t="inlineStr">
        <is>
          <t>CONFIRMED（確定）</t>
        </is>
      </c>
      <c r="E27" s="16" t="inlineStr">
        <is>
          <t>P-01</t>
        </is>
      </c>
      <c r="F27" s="9" t="inlineStr">
        <is>
          <t>WAREHOUSE</t>
        </is>
      </c>
    </row>
    <row r="28">
      <c r="A28" s="9" t="inlineStr">
        <is>
          <t>入荷</t>
        </is>
      </c>
      <c r="B28" s="16" t="inlineStr">
        <is>
          <t>DRAFT（下書き）</t>
        </is>
      </c>
      <c r="C28" s="16" t="inlineStr">
        <is>
          <t>破棄</t>
        </is>
      </c>
      <c r="D28" s="16" t="inlineStr">
        <is>
          <t>CANCELLED（取消）</t>
        </is>
      </c>
      <c r="E28" s="16" t="inlineStr">
        <is>
          <t>P-20。在庫移動なし</t>
        </is>
      </c>
      <c r="F28" s="9" t="inlineStr">
        <is>
          <t>WAREHOUSE</t>
        </is>
      </c>
    </row>
    <row r="29">
      <c r="A29" s="9" t="inlineStr">
        <is>
          <t>入荷</t>
        </is>
      </c>
      <c r="B29" s="16" t="inlineStr">
        <is>
          <t>CONFIRMED（確定）</t>
        </is>
      </c>
      <c r="C29" s="16" t="inlineStr">
        <is>
          <t>入荷取消</t>
        </is>
      </c>
      <c r="D29" s="16" t="inlineStr">
        <is>
          <t>CANCELLED（取消）</t>
        </is>
      </c>
      <c r="E29" s="16" t="inlineStr">
        <is>
          <t>P-12。赤伝（CANCEL移動）</t>
        </is>
      </c>
      <c r="F29" s="9" t="inlineStr">
        <is>
          <t>ADMIN</t>
        </is>
      </c>
    </row>
    <row r="30">
      <c r="A30" s="9" t="inlineStr">
        <is>
          <t>受注</t>
        </is>
      </c>
      <c r="B30" s="16" t="inlineStr">
        <is>
          <t>（なし）</t>
        </is>
      </c>
      <c r="C30" s="16" t="inlineStr">
        <is>
          <t>登録（与信超過）</t>
        </is>
      </c>
      <c r="D30" s="16" t="inlineStr">
        <is>
          <t>CREDIT_PENDING（与信承認待ち）</t>
        </is>
      </c>
      <c r="E30" s="16" t="inlineStr">
        <is>
          <t>P-03。引当不可</t>
        </is>
      </c>
      <c r="F30" s="9" t="inlineStr">
        <is>
          <t>SALES</t>
        </is>
      </c>
    </row>
    <row r="31">
      <c r="A31" s="9" t="inlineStr">
        <is>
          <t>受注</t>
        </is>
      </c>
      <c r="B31" s="16" t="inlineStr">
        <is>
          <t>OPEN（受付）/PARTIAL（一部出荷）</t>
        </is>
      </c>
      <c r="C31" s="16" t="inlineStr">
        <is>
          <t>変更で与信超過</t>
        </is>
      </c>
      <c r="D31" s="16" t="inlineStr">
        <is>
          <t>CREDIT_PENDING（与信承認待ち）</t>
        </is>
      </c>
      <c r="E31" s="16" t="inlineStr">
        <is>
          <t>P-03。ALLOCATED の出荷がない場合のみ（あれば MSG-E31）</t>
        </is>
      </c>
      <c r="F31" s="9" t="inlineStr">
        <is>
          <t>SALES</t>
        </is>
      </c>
    </row>
    <row r="32">
      <c r="A32" s="9" t="inlineStr">
        <is>
          <t>受注</t>
        </is>
      </c>
      <c r="B32" s="16" t="inlineStr">
        <is>
          <t>CREDIT_PENDING（与信承認待ち）</t>
        </is>
      </c>
      <c r="C32" s="16" t="inlineStr">
        <is>
          <t>与信承認</t>
        </is>
      </c>
      <c r="D32" s="16" t="inlineStr">
        <is>
          <t>OPEN（受付）/PARTIAL（一部出荷）</t>
        </is>
      </c>
      <c r="E32" s="16" t="inlineStr">
        <is>
          <t>API-063。credit_approved_by/at を記録。出荷済数量で再判定</t>
        </is>
      </c>
      <c r="F32" s="9" t="inlineStr">
        <is>
          <t>ADMIN</t>
        </is>
      </c>
    </row>
    <row r="33">
      <c r="A33" s="9" t="inlineStr">
        <is>
          <t>受注</t>
        </is>
      </c>
      <c r="B33" s="16" t="inlineStr">
        <is>
          <t>CREDIT_PENDING（与信承認待ち）</t>
        </is>
      </c>
      <c r="C33" s="16" t="inlineStr">
        <is>
          <t>取消</t>
        </is>
      </c>
      <c r="D33" s="16" t="inlineStr">
        <is>
          <t>CANCELLED（取消）</t>
        </is>
      </c>
      <c r="E33" s="16" t="inlineStr">
        <is>
          <t>全明細の出荷済数量=0 の場合のみ（MSG-E19）</t>
        </is>
      </c>
      <c r="F33" s="9" t="inlineStr">
        <is>
          <t>SALES</t>
        </is>
      </c>
    </row>
    <row r="34">
      <c r="A34" s="9" t="inlineStr">
        <is>
          <t>受注</t>
        </is>
      </c>
      <c r="B34" s="16" t="inlineStr">
        <is>
          <t>CREDIT_PENDING（与信承認待ち）</t>
        </is>
      </c>
      <c r="C34" s="16" t="inlineStr">
        <is>
          <t>残数打切り</t>
        </is>
      </c>
      <c r="D34" s="16" t="inlineStr">
        <is>
          <t>CLOSED（打切り）</t>
        </is>
      </c>
      <c r="E34" s="16" t="inlineStr">
        <is>
          <t>API-062。出荷済数量&gt;0 で承認しない場合の終了手段</t>
        </is>
      </c>
      <c r="F34" s="9" t="inlineStr">
        <is>
          <t>SALES</t>
        </is>
      </c>
    </row>
    <row r="35">
      <c r="A35" s="9" t="inlineStr">
        <is>
          <t>受注</t>
        </is>
      </c>
      <c r="B35" s="16" t="inlineStr">
        <is>
          <t>CREDIT_PENDING（与信承認待ち）</t>
        </is>
      </c>
      <c r="C35" s="16" t="inlineStr">
        <is>
          <t>出荷取消</t>
        </is>
      </c>
      <c r="D35" s="16" t="inlineStr">
        <is>
          <t>CREDIT_PENDING（与信承認待ち）</t>
        </is>
      </c>
      <c r="E35" s="16" t="inlineStr">
        <is>
          <t>P-06。出荷済数量のみ減算し状態は維持（承認を迂回させない）</t>
        </is>
      </c>
      <c r="F35" s="9" t="inlineStr">
        <is>
          <t>ADMIN</t>
        </is>
      </c>
    </row>
    <row r="36">
      <c r="A36" s="9" t="inlineStr">
        <is>
          <t>受注</t>
        </is>
      </c>
      <c r="B36" s="16" t="inlineStr">
        <is>
          <t>OPEN（受付）</t>
        </is>
      </c>
      <c r="C36" s="16" t="inlineStr">
        <is>
          <t>一部出荷</t>
        </is>
      </c>
      <c r="D36" s="16" t="inlineStr">
        <is>
          <t>PARTIAL（一部出荷）</t>
        </is>
      </c>
      <c r="E36" s="16" t="inlineStr"/>
      <c r="F36" s="9" t="inlineStr">
        <is>
          <t>WAREHOUSE</t>
        </is>
      </c>
    </row>
    <row r="37">
      <c r="A37" s="9" t="inlineStr">
        <is>
          <t>受注</t>
        </is>
      </c>
      <c r="B37" s="16" t="inlineStr">
        <is>
          <t>OPEN（受付）/PARTIAL（一部出荷）</t>
        </is>
      </c>
      <c r="C37" s="16" t="inlineStr">
        <is>
          <t>全量出荷</t>
        </is>
      </c>
      <c r="D37" s="16" t="inlineStr">
        <is>
          <t>SHIPPED（出荷完了）</t>
        </is>
      </c>
      <c r="E37" s="16" t="inlineStr"/>
      <c r="F37" s="9" t="inlineStr">
        <is>
          <t>WAREHOUSE</t>
        </is>
      </c>
    </row>
    <row r="38">
      <c r="A38" s="9" t="inlineStr">
        <is>
          <t>受注</t>
        </is>
      </c>
      <c r="B38" s="16" t="inlineStr">
        <is>
          <t>PARTIAL（一部出荷）/SHIPPED（出荷完了）</t>
        </is>
      </c>
      <c r="C38" s="16" t="inlineStr">
        <is>
          <t>出荷取消</t>
        </is>
      </c>
      <c r="D38" s="16" t="inlineStr">
        <is>
          <t>OPEN（受付）/PARTIAL（一部出荷）</t>
        </is>
      </c>
      <c r="E38" s="16" t="inlineStr">
        <is>
          <t>P-06 で出荷済数量を減算し再判定</t>
        </is>
      </c>
      <c r="F38" s="9" t="inlineStr">
        <is>
          <t>ADMIN</t>
        </is>
      </c>
    </row>
    <row r="39">
      <c r="A39" s="9" t="inlineStr">
        <is>
          <t>受注</t>
        </is>
      </c>
      <c r="B39" s="16" t="inlineStr">
        <is>
          <t>CLOSED（打切り）</t>
        </is>
      </c>
      <c r="C39" s="16" t="inlineStr">
        <is>
          <t>出荷取消</t>
        </is>
      </c>
      <c r="D39" s="16" t="inlineStr">
        <is>
          <t>CLOSED（打切り）</t>
        </is>
      </c>
      <c r="E39" s="16" t="inlineStr">
        <is>
          <t>P-06。出荷済数量のみ減算し状態は維持（再出荷しない）</t>
        </is>
      </c>
      <c r="F39" s="9" t="inlineStr">
        <is>
          <t>ADMIN</t>
        </is>
      </c>
    </row>
    <row r="40">
      <c r="A40" s="9" t="inlineStr">
        <is>
          <t>受注</t>
        </is>
      </c>
      <c r="B40" s="16" t="inlineStr">
        <is>
          <t>PARTIAL（一部出荷）</t>
        </is>
      </c>
      <c r="C40" s="16" t="inlineStr">
        <is>
          <t>残数打切り</t>
        </is>
      </c>
      <c r="D40" s="16" t="inlineStr">
        <is>
          <t>CLOSED（打切り）</t>
        </is>
      </c>
      <c r="E40" s="16" t="inlineStr">
        <is>
          <t>API-062。ALLOCATED の出荷がないこと（MSG-E19）。CREDIT_PENDING からも可（出荷済&gt;0 の場合）</t>
        </is>
      </c>
      <c r="F40" s="9" t="inlineStr">
        <is>
          <t>SALES</t>
        </is>
      </c>
    </row>
    <row r="41">
      <c r="A41" s="9" t="inlineStr">
        <is>
          <t>受注</t>
        </is>
      </c>
      <c r="B41" s="16" t="inlineStr">
        <is>
          <t>OPEN（受付）</t>
        </is>
      </c>
      <c r="C41" s="16" t="inlineStr">
        <is>
          <t>取消</t>
        </is>
      </c>
      <c r="D41" s="16" t="inlineStr">
        <is>
          <t>CANCELLED（取消）</t>
        </is>
      </c>
      <c r="E41" s="16" t="inlineStr">
        <is>
          <t>出荷実績・ALLOCATED の出荷がない場合のみ（MSG-E19）</t>
        </is>
      </c>
      <c r="F41" s="9" t="inlineStr">
        <is>
          <t>SALES</t>
        </is>
      </c>
    </row>
    <row r="42">
      <c r="A42" s="9" t="inlineStr">
        <is>
          <t>出荷</t>
        </is>
      </c>
      <c r="B42" s="16" t="inlineStr">
        <is>
          <t>ALLOCATED（引当済）</t>
        </is>
      </c>
      <c r="C42" s="16" t="inlineStr">
        <is>
          <t>出荷確定</t>
        </is>
      </c>
      <c r="D42" s="16" t="inlineStr">
        <is>
          <t>SHIPPED（出荷済）</t>
        </is>
      </c>
      <c r="E42" s="16" t="inlineStr">
        <is>
          <t>P-05。ALLOCATED の明細のみ SHIPPED にする</t>
        </is>
      </c>
      <c r="F42" s="9" t="inlineStr">
        <is>
          <t>WAREHOUSE</t>
        </is>
      </c>
    </row>
    <row r="43">
      <c r="A43" s="9" t="inlineStr">
        <is>
          <t>出荷</t>
        </is>
      </c>
      <c r="B43" s="16" t="inlineStr">
        <is>
          <t>ALLOCATED（引当済）</t>
        </is>
      </c>
      <c r="C43" s="16" t="inlineStr">
        <is>
          <t>引当解除（全明細）</t>
        </is>
      </c>
      <c r="D43" s="16" t="inlineStr">
        <is>
          <t>CANCELLED（取消）</t>
        </is>
      </c>
      <c r="E43" s="16" t="inlineStr">
        <is>
          <t>P-06 / P-11 で ALLOCATED 明細が残らなくなった場合</t>
        </is>
      </c>
      <c r="F43" s="9" t="inlineStr">
        <is>
          <t>WAREHOUSE</t>
        </is>
      </c>
    </row>
    <row r="44">
      <c r="A44" s="9" t="inlineStr">
        <is>
          <t>出荷</t>
        </is>
      </c>
      <c r="B44" s="16" t="inlineStr">
        <is>
          <t>SHIPPED（出荷済）</t>
        </is>
      </c>
      <c r="C44" s="16" t="inlineStr">
        <is>
          <t>出荷取消</t>
        </is>
      </c>
      <c r="D44" s="16" t="inlineStr">
        <is>
          <t>CANCELLED（取消）</t>
        </is>
      </c>
      <c r="E44" s="16" t="inlineStr">
        <is>
          <t>P-06。赤伝（CANCEL移動）で在庫戻し。返品がある場合は不可</t>
        </is>
      </c>
      <c r="F44" s="9" t="inlineStr">
        <is>
          <t>ADMIN</t>
        </is>
      </c>
    </row>
    <row r="45">
      <c r="A45" s="9" t="inlineStr">
        <is>
          <t>回収案件</t>
        </is>
      </c>
      <c r="B45" s="16" t="inlineStr">
        <is>
          <t>（なし）</t>
        </is>
      </c>
      <c r="C45" s="16" t="inlineStr">
        <is>
          <t>登録</t>
        </is>
      </c>
      <c r="D45" s="16" t="inlineStr">
        <is>
          <t>OPEN（登録）</t>
        </is>
      </c>
      <c r="E45" s="16" t="inlineStr">
        <is>
          <t>P-08</t>
        </is>
      </c>
      <c r="F45" s="9" t="inlineStr">
        <is>
          <t>QA</t>
        </is>
      </c>
    </row>
    <row r="46">
      <c r="A46" s="9" t="inlineStr">
        <is>
          <t>回収案件</t>
        </is>
      </c>
      <c r="B46" s="16" t="inlineStr">
        <is>
          <t>OPEN（登録）/IN_PROGRESS（対応中）</t>
        </is>
      </c>
      <c r="C46" s="16" t="inlineStr">
        <is>
          <t>対象顧客抽出（再抽出）</t>
        </is>
      </c>
      <c r="D46" s="16" t="inlineStr">
        <is>
          <t>IN_PROGRESS（対応中）</t>
        </is>
      </c>
      <c r="E46" s="16" t="inlineStr">
        <is>
          <t>P-18。何度実行しても同じ結果</t>
        </is>
      </c>
      <c r="F46" s="9" t="inlineStr">
        <is>
          <t>QA</t>
        </is>
      </c>
    </row>
    <row r="47">
      <c r="A47" s="9" t="inlineStr">
        <is>
          <t>回収対象</t>
        </is>
      </c>
      <c r="B47" s="16" t="inlineStr">
        <is>
          <t>（なし）</t>
        </is>
      </c>
      <c r="C47" s="16" t="inlineStr">
        <is>
          <t>抽出</t>
        </is>
      </c>
      <c r="D47" s="16" t="inlineStr">
        <is>
          <t>NOT_CONTACTED（未連絡）</t>
        </is>
      </c>
      <c r="E47" s="16" t="inlineStr">
        <is>
          <t>P-18。出荷正味0の場合は CLOSED</t>
        </is>
      </c>
      <c r="F47" s="9" t="inlineStr">
        <is>
          <t>QA</t>
        </is>
      </c>
    </row>
    <row r="48">
      <c r="A48" s="9" t="inlineStr">
        <is>
          <t>回収対象</t>
        </is>
      </c>
      <c r="B48" s="16" t="inlineStr">
        <is>
          <t>NOT_CONTACTED（未連絡）</t>
        </is>
      </c>
      <c r="C48" s="16" t="inlineStr">
        <is>
          <t>連絡</t>
        </is>
      </c>
      <c r="D48" s="16" t="inlineStr">
        <is>
          <t>CONTACTED（連絡済）</t>
        </is>
      </c>
      <c r="E48" s="16" t="inlineStr">
        <is>
          <t>API-102</t>
        </is>
      </c>
      <c r="F48" s="9" t="inlineStr">
        <is>
          <t>SALES</t>
        </is>
      </c>
    </row>
    <row r="49">
      <c r="A49" s="9" t="inlineStr">
        <is>
          <t>回収対象</t>
        </is>
      </c>
      <c r="B49" s="16" t="inlineStr">
        <is>
          <t>NOT_CONTACTED（未連絡）/CONTACTED（連絡済）</t>
        </is>
      </c>
      <c r="C49" s="16" t="inlineStr">
        <is>
          <t>回収完了</t>
        </is>
      </c>
      <c r="D49" s="16" t="inlineStr">
        <is>
          <t>RECOVERED（回収済）</t>
        </is>
      </c>
      <c r="E49" s="16" t="inlineStr">
        <is>
          <t>P-07/P-18/P-19 で自動。回収数量＋回収不能数量 &gt;= 出荷正味数量</t>
        </is>
      </c>
      <c r="F49" s="9" t="inlineStr">
        <is>
          <t>システム</t>
        </is>
      </c>
    </row>
    <row r="50">
      <c r="A50" s="9" t="inlineStr">
        <is>
          <t>回収対象</t>
        </is>
      </c>
      <c r="B50" s="16" t="inlineStr">
        <is>
          <t>NOT_CONTACTED（未連絡）/CONTACTED（連絡済）</t>
        </is>
      </c>
      <c r="C50" s="16" t="inlineStr">
        <is>
          <t>クローズ</t>
        </is>
      </c>
      <c r="D50" s="16" t="inlineStr">
        <is>
          <t>CLOSED（対象外・終了）</t>
        </is>
      </c>
      <c r="E50" s="16" t="inlineStr">
        <is>
          <t>P-19（QAのみ）。close_reason 必須（使用済・全量返品済等）。出荷正味0は自動</t>
        </is>
      </c>
      <c r="F50" s="9" t="inlineStr">
        <is>
          <t>QA</t>
        </is>
      </c>
    </row>
    <row r="51">
      <c r="A51" s="9" t="inlineStr">
        <is>
          <t>回収案件</t>
        </is>
      </c>
      <c r="B51" s="16" t="inlineStr">
        <is>
          <t>IN_PROGRESS（対応中）</t>
        </is>
      </c>
      <c r="C51" s="16" t="inlineStr">
        <is>
          <t>完了</t>
        </is>
      </c>
      <c r="D51" s="16" t="inlineStr">
        <is>
          <t>CLOSED（完了）</t>
        </is>
      </c>
      <c r="E51" s="16" t="inlineStr">
        <is>
          <t>P-14。全対象が RECOVERED/CLOSED</t>
        </is>
      </c>
      <c r="F51" s="9" t="inlineStr">
        <is>
          <t>QA</t>
        </is>
      </c>
    </row>
  </sheetData>
  <autoFilter ref="A3:F51"/>
  <hyperlinks>
    <hyperlink xmlns:r="http://schemas.openxmlformats.org/officeDocument/2006/relationships" ref="F1" r:id="rId1"/>
  </hyperlinks>
  <printOptions gridLines="0"/>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F29"/>
  <sheetViews>
    <sheetView zoomScale="90" workbookViewId="0">
      <pane ySplit="3" topLeftCell="A4" activePane="bottomLeft" state="frozen"/>
      <selection pane="bottomLeft" activeCell="A1" sqref="A1"/>
    </sheetView>
  </sheetViews>
  <sheetFormatPr baseColWidth="8" defaultRowHeight="15"/>
  <cols>
    <col width="24" customWidth="1" min="1" max="1"/>
    <col width="16" customWidth="1" min="2" max="2"/>
    <col width="14" customWidth="1" min="3" max="3"/>
    <col width="46" customWidth="1" min="4" max="4"/>
    <col width="9" customWidth="1" min="5" max="5"/>
    <col width="50" customWidth="1" min="6" max="6"/>
  </cols>
  <sheetData>
    <row r="1">
      <c r="A1" s="5" t="inlineStr">
        <is>
          <t>テーブル一覧</t>
        </is>
      </c>
      <c r="F1" s="15" t="inlineStr">
        <is>
          <t>← 表紙へ</t>
        </is>
      </c>
    </row>
    <row r="2">
      <c r="A2" s="17" t="inlineStr">
        <is>
          <t>カラム数は項目定義シートから COUNTIF で自動集計（グループ見出し行を除く）</t>
        </is>
      </c>
    </row>
    <row r="3">
      <c r="A3" s="8" t="inlineStr">
        <is>
          <t>物理名</t>
        </is>
      </c>
      <c r="B3" s="8" t="inlineStr">
        <is>
          <t>論理名</t>
        </is>
      </c>
      <c r="C3" s="8" t="inlineStr">
        <is>
          <t>区分</t>
        </is>
      </c>
      <c r="D3" s="8" t="inlineStr">
        <is>
          <t>概要</t>
        </is>
      </c>
      <c r="E3" s="8" t="inlineStr">
        <is>
          <t>カラム数</t>
        </is>
      </c>
      <c r="F3" s="8" t="inlineStr">
        <is>
          <t>主な参照先（FK）</t>
        </is>
      </c>
    </row>
    <row r="4">
      <c r="A4" s="21" t="inlineStr">
        <is>
          <t>m_supplier</t>
        </is>
      </c>
      <c r="B4" s="16" t="inlineStr">
        <is>
          <t>仕入先</t>
        </is>
      </c>
      <c r="C4" s="9" t="inlineStr">
        <is>
          <t>マスタ</t>
        </is>
      </c>
      <c r="D4" s="16" t="inlineStr">
        <is>
          <t>仕入先（製造元・輸入元）</t>
        </is>
      </c>
      <c r="E4" s="9">
        <f>COUNTIF('項目定義'!A:A,A4)-1</f>
        <v/>
      </c>
      <c r="F4" s="16" t="inlineStr">
        <is>
          <t>—</t>
        </is>
      </c>
    </row>
    <row r="5">
      <c r="A5" s="21" t="inlineStr">
        <is>
          <t>m_product</t>
        </is>
      </c>
      <c r="B5" s="16" t="inlineStr">
        <is>
          <t>商品</t>
        </is>
      </c>
      <c r="C5" s="9" t="inlineStr">
        <is>
          <t>マスタ</t>
        </is>
      </c>
      <c r="D5" s="16" t="inlineStr">
        <is>
          <t>エクソソーム製品・原料</t>
        </is>
      </c>
      <c r="E5" s="9">
        <f>COUNTIF('項目定義'!A:A,A5)-1</f>
        <v/>
      </c>
      <c r="F5" s="16" t="inlineStr">
        <is>
          <t>m_supplier</t>
        </is>
      </c>
    </row>
    <row r="6">
      <c r="A6" s="21" t="inlineStr">
        <is>
          <t>m_customer</t>
        </is>
      </c>
      <c r="B6" s="16" t="inlineStr">
        <is>
          <t>顧客</t>
        </is>
      </c>
      <c r="C6" s="9" t="inlineStr">
        <is>
          <t>マスタ</t>
        </is>
      </c>
      <c r="D6" s="16" t="inlineStr">
        <is>
          <t>販売先（請求先）</t>
        </is>
      </c>
      <c r="E6" s="9">
        <f>COUNTIF('項目定義'!A:A,A6)-1</f>
        <v/>
      </c>
      <c r="F6" s="16" t="inlineStr">
        <is>
          <t>—</t>
        </is>
      </c>
    </row>
    <row r="7">
      <c r="A7" s="21" t="inlineStr">
        <is>
          <t>m_ship_to</t>
        </is>
      </c>
      <c r="B7" s="16" t="inlineStr">
        <is>
          <t>納品先</t>
        </is>
      </c>
      <c r="C7" s="9" t="inlineStr">
        <is>
          <t>マスタ</t>
        </is>
      </c>
      <c r="D7" s="16" t="inlineStr">
        <is>
          <t>顧客ごとの納品先</t>
        </is>
      </c>
      <c r="E7" s="9">
        <f>COUNTIF('項目定義'!A:A,A7)-1</f>
        <v/>
      </c>
      <c r="F7" s="16" t="inlineStr">
        <is>
          <t>m_customer</t>
        </is>
      </c>
    </row>
    <row r="8">
      <c r="A8" s="21" t="inlineStr">
        <is>
          <t>m_location</t>
        </is>
      </c>
      <c r="B8" s="16" t="inlineStr">
        <is>
          <t>保管場所</t>
        </is>
      </c>
      <c r="C8" s="9" t="inlineStr">
        <is>
          <t>マスタ</t>
        </is>
      </c>
      <c r="D8" s="16" t="inlineStr">
        <is>
          <t>倉庫・冷凍庫・冷蔵庫等</t>
        </is>
      </c>
      <c r="E8" s="9">
        <f>COUNTIF('項目定義'!A:A,A8)-1</f>
        <v/>
      </c>
      <c r="F8" s="16" t="inlineStr">
        <is>
          <t>—</t>
        </is>
      </c>
    </row>
    <row r="9">
      <c r="A9" s="21" t="inlineStr">
        <is>
          <t>m_sales_rule</t>
        </is>
      </c>
      <c r="B9" s="16" t="inlineStr">
        <is>
          <t>販売可否ルール</t>
        </is>
      </c>
      <c r="C9" s="9" t="inlineStr">
        <is>
          <t>マスタ</t>
        </is>
      </c>
      <c r="D9" s="16" t="inlineStr">
        <is>
          <t>規制区分×顧客区分の販売可否</t>
        </is>
      </c>
      <c r="E9" s="9">
        <f>COUNTIF('項目定義'!A:A,A9)-1</f>
        <v/>
      </c>
      <c r="F9" s="16" t="inlineStr">
        <is>
          <t>—</t>
        </is>
      </c>
    </row>
    <row r="10">
      <c r="A10" s="21" t="inlineStr">
        <is>
          <t>m_user</t>
        </is>
      </c>
      <c r="B10" s="16" t="inlineStr">
        <is>
          <t>ユーザー</t>
        </is>
      </c>
      <c r="C10" s="9" t="inlineStr">
        <is>
          <t>マスタ</t>
        </is>
      </c>
      <c r="D10" s="16" t="inlineStr">
        <is>
          <t>システム利用者</t>
        </is>
      </c>
      <c r="E10" s="9">
        <f>COUNTIF('項目定義'!A:A,A10)-1</f>
        <v/>
      </c>
      <c r="F10" s="16" t="inlineStr">
        <is>
          <t>—</t>
        </is>
      </c>
    </row>
    <row r="11">
      <c r="A11" s="21" t="inlineStr">
        <is>
          <t>t_purchase_order</t>
        </is>
      </c>
      <c r="B11" s="16" t="inlineStr">
        <is>
          <t>発注</t>
        </is>
      </c>
      <c r="C11" s="9" t="inlineStr">
        <is>
          <t>トランザクション</t>
        </is>
      </c>
      <c r="D11" s="16" t="inlineStr">
        <is>
          <t>発注ヘッダ</t>
        </is>
      </c>
      <c r="E11" s="9">
        <f>COUNTIF('項目定義'!A:A,A11)-1</f>
        <v/>
      </c>
      <c r="F11" s="16" t="inlineStr">
        <is>
          <t>m_supplier, m_user</t>
        </is>
      </c>
    </row>
    <row r="12">
      <c r="A12" s="21" t="inlineStr">
        <is>
          <t>t_purchase_order_line</t>
        </is>
      </c>
      <c r="B12" s="16" t="inlineStr">
        <is>
          <t>発注明細</t>
        </is>
      </c>
      <c r="C12" s="9" t="inlineStr">
        <is>
          <t>トランザクション</t>
        </is>
      </c>
      <c r="D12" s="16" t="inlineStr">
        <is>
          <t>発注明細</t>
        </is>
      </c>
      <c r="E12" s="9">
        <f>COUNTIF('項目定義'!A:A,A12)-1</f>
        <v/>
      </c>
      <c r="F12" s="16" t="inlineStr">
        <is>
          <t>m_product, t_purchase_order</t>
        </is>
      </c>
    </row>
    <row r="13">
      <c r="A13" s="21" t="inlineStr">
        <is>
          <t>t_receipt</t>
        </is>
      </c>
      <c r="B13" s="16" t="inlineStr">
        <is>
          <t>入荷</t>
        </is>
      </c>
      <c r="C13" s="9" t="inlineStr">
        <is>
          <t>トランザクション</t>
        </is>
      </c>
      <c r="D13" s="16" t="inlineStr">
        <is>
          <t>入荷ヘッダ</t>
        </is>
      </c>
      <c r="E13" s="9">
        <f>COUNTIF('項目定義'!A:A,A13)-1</f>
        <v/>
      </c>
      <c r="F13" s="16" t="inlineStr">
        <is>
          <t>m_supplier, t_purchase_order</t>
        </is>
      </c>
    </row>
    <row r="14">
      <c r="A14" s="21" t="inlineStr">
        <is>
          <t>t_receipt_line</t>
        </is>
      </c>
      <c r="B14" s="16" t="inlineStr">
        <is>
          <t>入荷明細</t>
        </is>
      </c>
      <c r="C14" s="9" t="inlineStr">
        <is>
          <t>トランザクション</t>
        </is>
      </c>
      <c r="D14" s="16" t="inlineStr">
        <is>
          <t>入荷明細（入荷明細:ロット＝多:1。分納は同一ロットに加算）</t>
        </is>
      </c>
      <c r="E14" s="9">
        <f>COUNTIF('項目定義'!A:A,A14)-1</f>
        <v/>
      </c>
      <c r="F14" s="16" t="inlineStr">
        <is>
          <t>m_location, m_product, t_lot, t_purchase_order_line, t_receipt</t>
        </is>
      </c>
    </row>
    <row r="15">
      <c r="A15" s="21" t="inlineStr">
        <is>
          <t>t_lot</t>
        </is>
      </c>
      <c r="B15" s="16" t="inlineStr">
        <is>
          <t>ロット</t>
        </is>
      </c>
      <c r="C15" s="9" t="inlineStr">
        <is>
          <t>トランザクション</t>
        </is>
      </c>
      <c r="D15" s="16" t="inlineStr">
        <is>
          <t>ロット（トレーサビリティの中核）</t>
        </is>
      </c>
      <c r="E15" s="9">
        <f>COUNTIF('項目定義'!A:A,A15)-1</f>
        <v/>
      </c>
      <c r="F15" s="16" t="inlineStr">
        <is>
          <t>m_product, m_supplier, m_user</t>
        </is>
      </c>
    </row>
    <row r="16">
      <c r="A16" s="21" t="inlineStr">
        <is>
          <t>t_lot_status_history</t>
        </is>
      </c>
      <c r="B16" s="16" t="inlineStr">
        <is>
          <t>ロットステータス履歴</t>
        </is>
      </c>
      <c r="C16" s="9" t="inlineStr">
        <is>
          <t>トランザクション</t>
        </is>
      </c>
      <c r="D16" s="16" t="inlineStr">
        <is>
          <t>ロット判定・状態変更の経緯（追記のみ）</t>
        </is>
      </c>
      <c r="E16" s="9">
        <f>COUNTIF('項目定義'!A:A,A16)-1</f>
        <v/>
      </c>
      <c r="F16" s="16" t="inlineStr">
        <is>
          <t>t_lot, t_recall, t_temperature_log</t>
        </is>
      </c>
    </row>
    <row r="17">
      <c r="A17" s="21" t="inlineStr">
        <is>
          <t>t_inventory</t>
        </is>
      </c>
      <c r="B17" s="16" t="inlineStr">
        <is>
          <t>在庫</t>
        </is>
      </c>
      <c r="C17" s="9" t="inlineStr">
        <is>
          <t>トランザクション</t>
        </is>
      </c>
      <c r="D17" s="16" t="inlineStr">
        <is>
          <t>ロット×保管場所の現在庫（移動履歴の集計結果）</t>
        </is>
      </c>
      <c r="E17" s="9">
        <f>COUNTIF('項目定義'!A:A,A17)-1</f>
        <v/>
      </c>
      <c r="F17" s="16" t="inlineStr">
        <is>
          <t>m_location, t_lot</t>
        </is>
      </c>
    </row>
    <row r="18">
      <c r="A18" s="21" t="inlineStr">
        <is>
          <t>t_stock_movement</t>
        </is>
      </c>
      <c r="B18" s="16" t="inlineStr">
        <is>
          <t>在庫移動履歴</t>
        </is>
      </c>
      <c r="C18" s="9" t="inlineStr">
        <is>
          <t>トランザクション</t>
        </is>
      </c>
      <c r="D18" s="16" t="inlineStr">
        <is>
          <t>在庫の全増減の記録（追記のみ）</t>
        </is>
      </c>
      <c r="E18" s="9">
        <f>COUNTIF('項目定義'!A:A,A18)-1</f>
        <v/>
      </c>
      <c r="F18" s="16" t="inlineStr">
        <is>
          <t>m_location, t_lot</t>
        </is>
      </c>
    </row>
    <row r="19">
      <c r="A19" s="21" t="inlineStr">
        <is>
          <t>t_sales_order</t>
        </is>
      </c>
      <c r="B19" s="16" t="inlineStr">
        <is>
          <t>受注</t>
        </is>
      </c>
      <c r="C19" s="9" t="inlineStr">
        <is>
          <t>トランザクション</t>
        </is>
      </c>
      <c r="D19" s="16" t="inlineStr">
        <is>
          <t>受注ヘッダ</t>
        </is>
      </c>
      <c r="E19" s="9">
        <f>COUNTIF('項目定義'!A:A,A19)-1</f>
        <v/>
      </c>
      <c r="F19" s="16" t="inlineStr">
        <is>
          <t>m_customer, m_ship_to, m_user</t>
        </is>
      </c>
    </row>
    <row r="20">
      <c r="A20" s="21" t="inlineStr">
        <is>
          <t>t_sales_order_line</t>
        </is>
      </c>
      <c r="B20" s="16" t="inlineStr">
        <is>
          <t>受注明細</t>
        </is>
      </c>
      <c r="C20" s="9" t="inlineStr">
        <is>
          <t>トランザクション</t>
        </is>
      </c>
      <c r="D20" s="16" t="inlineStr">
        <is>
          <t>受注明細</t>
        </is>
      </c>
      <c r="E20" s="9">
        <f>COUNTIF('項目定義'!A:A,A20)-1</f>
        <v/>
      </c>
      <c r="F20" s="16" t="inlineStr">
        <is>
          <t>m_product, t_sales_order</t>
        </is>
      </c>
    </row>
    <row r="21">
      <c r="A21" s="21" t="inlineStr">
        <is>
          <t>t_shipment</t>
        </is>
      </c>
      <c r="B21" s="16" t="inlineStr">
        <is>
          <t>出荷</t>
        </is>
      </c>
      <c r="C21" s="9" t="inlineStr">
        <is>
          <t>トランザクション</t>
        </is>
      </c>
      <c r="D21" s="16" t="inlineStr">
        <is>
          <t>出荷ヘッダ</t>
        </is>
      </c>
      <c r="E21" s="9">
        <f>COUNTIF('項目定義'!A:A,A21)-1</f>
        <v/>
      </c>
      <c r="F21" s="16" t="inlineStr">
        <is>
          <t>m_customer, m_ship_to, t_sales_order</t>
        </is>
      </c>
    </row>
    <row r="22">
      <c r="A22" s="21" t="inlineStr">
        <is>
          <t>t_shipment_line</t>
        </is>
      </c>
      <c r="B22" s="16" t="inlineStr">
        <is>
          <t>出荷明細</t>
        </is>
      </c>
      <c r="C22" s="9" t="inlineStr">
        <is>
          <t>トランザクション</t>
        </is>
      </c>
      <c r="D22" s="16" t="inlineStr">
        <is>
          <t>出荷明細（ロット紐付け必須）</t>
        </is>
      </c>
      <c r="E22" s="9">
        <f>COUNTIF('項目定義'!A:A,A22)-1</f>
        <v/>
      </c>
      <c r="F22" s="16" t="inlineStr">
        <is>
          <t>m_location, m_product, t_lot, t_sales_order_line, t_shipment</t>
        </is>
      </c>
    </row>
    <row r="23">
      <c r="A23" s="21" t="inlineStr">
        <is>
          <t>t_return</t>
        </is>
      </c>
      <c r="B23" s="16" t="inlineStr">
        <is>
          <t>返品</t>
        </is>
      </c>
      <c r="C23" s="9" t="inlineStr">
        <is>
          <t>トランザクション</t>
        </is>
      </c>
      <c r="D23" s="16" t="inlineStr">
        <is>
          <t>返品（元出荷明細に紐付け）</t>
        </is>
      </c>
      <c r="E23" s="9">
        <f>COUNTIF('項目定義'!A:A,A23)-1</f>
        <v/>
      </c>
      <c r="F23" s="16" t="inlineStr">
        <is>
          <t>m_location, t_recall_target, t_shipment_line</t>
        </is>
      </c>
    </row>
    <row r="24">
      <c r="A24" s="21" t="inlineStr">
        <is>
          <t>t_recall</t>
        </is>
      </c>
      <c r="B24" s="16" t="inlineStr">
        <is>
          <t>回収案件</t>
        </is>
      </c>
      <c r="C24" s="9" t="inlineStr">
        <is>
          <t>トランザクション</t>
        </is>
      </c>
      <c r="D24" s="16" t="inlineStr">
        <is>
          <t>回収（リコール）案件</t>
        </is>
      </c>
      <c r="E24" s="9">
        <f>COUNTIF('項目定義'!A:A,A24)-1</f>
        <v/>
      </c>
      <c r="F24" s="16" t="inlineStr">
        <is>
          <t>—</t>
        </is>
      </c>
    </row>
    <row r="25">
      <c r="A25" s="21" t="inlineStr">
        <is>
          <t>t_recall_lot</t>
        </is>
      </c>
      <c r="B25" s="16" t="inlineStr">
        <is>
          <t>回収対象ロット</t>
        </is>
      </c>
      <c r="C25" s="9" t="inlineStr">
        <is>
          <t>トランザクション</t>
        </is>
      </c>
      <c r="D25" s="16" t="inlineStr">
        <is>
          <t>回収案件×ロット</t>
        </is>
      </c>
      <c r="E25" s="9">
        <f>COUNTIF('項目定義'!A:A,A25)-1</f>
        <v/>
      </c>
      <c r="F25" s="16" t="inlineStr">
        <is>
          <t>t_lot, t_recall</t>
        </is>
      </c>
    </row>
    <row r="26">
      <c r="A26" s="21" t="inlineStr">
        <is>
          <t>t_recall_target</t>
        </is>
      </c>
      <c r="B26" s="16" t="inlineStr">
        <is>
          <t>回収対象顧客</t>
        </is>
      </c>
      <c r="C26" s="9" t="inlineStr">
        <is>
          <t>トランザクション</t>
        </is>
      </c>
      <c r="D26" s="16" t="inlineStr">
        <is>
          <t>回収案件×顧客の連絡・回収状況</t>
        </is>
      </c>
      <c r="E26" s="9">
        <f>COUNTIF('項目定義'!A:A,A26)-1</f>
        <v/>
      </c>
      <c r="F26" s="16" t="inlineStr">
        <is>
          <t>m_customer, m_ship_to, t_lot, t_recall</t>
        </is>
      </c>
    </row>
    <row r="27">
      <c r="A27" s="21" t="inlineStr">
        <is>
          <t>t_temperature_log</t>
        </is>
      </c>
      <c r="B27" s="16" t="inlineStr">
        <is>
          <t>温度記録</t>
        </is>
      </c>
      <c r="C27" s="9" t="inlineStr">
        <is>
          <t>トランザクション</t>
        </is>
      </c>
      <c r="D27" s="16" t="inlineStr">
        <is>
          <t>保管場所の温度記録</t>
        </is>
      </c>
      <c r="E27" s="9">
        <f>COUNTIF('項目定義'!A:A,A27)-1</f>
        <v/>
      </c>
      <c r="F27" s="16" t="inlineStr">
        <is>
          <t>m_location</t>
        </is>
      </c>
    </row>
    <row r="28">
      <c r="A28" s="21" t="inlineStr">
        <is>
          <t>t_attachment</t>
        </is>
      </c>
      <c r="B28" s="16" t="inlineStr">
        <is>
          <t>添付ファイル</t>
        </is>
      </c>
      <c r="C28" s="9" t="inlineStr">
        <is>
          <t>トランザクション</t>
        </is>
      </c>
      <c r="D28" s="16" t="inlineStr">
        <is>
          <t>COA・輸入書類等</t>
        </is>
      </c>
      <c r="E28" s="9">
        <f>COUNTIF('項目定義'!A:A,A28)-1</f>
        <v/>
      </c>
      <c r="F28" s="16" t="inlineStr">
        <is>
          <t>—</t>
        </is>
      </c>
    </row>
    <row r="29">
      <c r="A29" s="21" t="inlineStr">
        <is>
          <t>t_audit_log</t>
        </is>
      </c>
      <c r="B29" s="16" t="inlineStr">
        <is>
          <t>監査ログ</t>
        </is>
      </c>
      <c r="C29" s="9" t="inlineStr">
        <is>
          <t>ログ</t>
        </is>
      </c>
      <c r="D29" s="16" t="inlineStr">
        <is>
          <t>操作履歴（追記のみ）</t>
        </is>
      </c>
      <c r="E29" s="9">
        <f>COUNTIF('項目定義'!A:A,A29)-1</f>
        <v/>
      </c>
      <c r="F29" s="16" t="inlineStr">
        <is>
          <t>m_user</t>
        </is>
      </c>
    </row>
  </sheetData>
  <autoFilter ref="A3:F29"/>
  <hyperlinks>
    <hyperlink xmlns:r="http://schemas.openxmlformats.org/officeDocument/2006/relationships" ref="F1"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s>
  <printOptions gridLines="0"/>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fitToPage="1"/>
  </sheetPr>
  <dimension ref="A1:K382"/>
  <sheetViews>
    <sheetView zoomScale="90" workbookViewId="0">
      <pane ySplit="3" topLeftCell="A4" activePane="bottomLeft" state="frozen"/>
      <selection pane="bottomLeft" activeCell="A1" sqref="A1"/>
    </sheetView>
  </sheetViews>
  <sheetFormatPr baseColWidth="8" defaultRowHeight="15"/>
  <cols>
    <col width="22" customWidth="1" min="1" max="1"/>
    <col width="5" customWidth="1" min="2" max="2"/>
    <col width="22" customWidth="1" min="3" max="3"/>
    <col width="22" customWidth="1" min="4" max="4"/>
    <col width="11" customWidth="1" min="5" max="5"/>
    <col width="7" customWidth="1" min="6" max="6"/>
    <col width="5" customWidth="1" min="7" max="7"/>
    <col width="24" customWidth="1" min="8" max="8"/>
    <col width="9" customWidth="1" min="9" max="9"/>
    <col width="12" customWidth="1" min="10" max="10"/>
    <col width="46" customWidth="1" min="11" max="11"/>
  </cols>
  <sheetData>
    <row r="1">
      <c r="A1" s="5" t="inlineStr">
        <is>
          <t>項目定義</t>
        </is>
      </c>
      <c r="K1" s="15" t="inlineStr">
        <is>
          <t>← 表紙へ</t>
        </is>
      </c>
    </row>
    <row r="2">
      <c r="A2" s="17" t="inlineStr">
        <is>
          <t>各テーブル末尾に共通カラム（created_at/by, updated_at/by, version）を付与。追記のみのテーブル（t_audit_log, t_lot_status_history, t_stock_movement, t_temperature_log）は created_* のみ</t>
        </is>
      </c>
    </row>
    <row r="3">
      <c r="A3" s="8" t="inlineStr">
        <is>
          <t>テーブル</t>
        </is>
      </c>
      <c r="B3" s="8" t="inlineStr">
        <is>
          <t>No</t>
        </is>
      </c>
      <c r="C3" s="8" t="inlineStr">
        <is>
          <t>物理名</t>
        </is>
      </c>
      <c r="D3" s="8" t="inlineStr">
        <is>
          <t>論理名</t>
        </is>
      </c>
      <c r="E3" s="8" t="inlineStr">
        <is>
          <t>型</t>
        </is>
      </c>
      <c r="F3" s="8" t="inlineStr">
        <is>
          <t>桁</t>
        </is>
      </c>
      <c r="G3" s="8" t="inlineStr">
        <is>
          <t>PK</t>
        </is>
      </c>
      <c r="H3" s="8" t="inlineStr">
        <is>
          <t>FK参照</t>
        </is>
      </c>
      <c r="I3" s="8" t="inlineStr">
        <is>
          <t>NOT NULL</t>
        </is>
      </c>
      <c r="J3" s="8" t="inlineStr">
        <is>
          <t>初期値</t>
        </is>
      </c>
      <c r="K3" s="8" t="inlineStr">
        <is>
          <t>備考</t>
        </is>
      </c>
    </row>
    <row r="4">
      <c r="A4" s="22" t="inlineStr">
        <is>
          <t>m_supplier</t>
        </is>
      </c>
      <c r="B4" s="23" t="inlineStr">
        <is>
          <t>【仕入先】仕入先（製造元・輸入元）</t>
        </is>
      </c>
      <c r="C4" s="24" t="n"/>
      <c r="D4" s="24" t="n"/>
      <c r="E4" s="24" t="n"/>
      <c r="F4" s="24" t="n"/>
      <c r="G4" s="24" t="n"/>
      <c r="H4" s="24" t="n"/>
      <c r="I4" s="24" t="n"/>
      <c r="J4" s="24" t="n"/>
      <c r="K4" s="25" t="n"/>
    </row>
    <row r="5">
      <c r="A5" s="16" t="inlineStr">
        <is>
          <t>m_supplier</t>
        </is>
      </c>
      <c r="B5" s="9" t="n">
        <v>1</v>
      </c>
      <c r="C5" s="16" t="inlineStr">
        <is>
          <t>id</t>
        </is>
      </c>
      <c r="D5" s="16" t="inlineStr">
        <is>
          <t>仕入先ID</t>
        </is>
      </c>
      <c r="E5" s="9" t="inlineStr">
        <is>
          <t>BIGINT</t>
        </is>
      </c>
      <c r="F5" s="9" t="inlineStr"/>
      <c r="G5" s="9" t="inlineStr">
        <is>
          <t>Y</t>
        </is>
      </c>
      <c r="H5" s="16" t="inlineStr"/>
      <c r="I5" s="9" t="inlineStr">
        <is>
          <t>Y</t>
        </is>
      </c>
      <c r="J5" s="16" t="inlineStr">
        <is>
          <t>自動採番</t>
        </is>
      </c>
      <c r="K5" s="16" t="inlineStr"/>
    </row>
    <row r="6">
      <c r="A6" s="16" t="inlineStr">
        <is>
          <t>m_supplier</t>
        </is>
      </c>
      <c r="B6" s="9" t="n">
        <v>2</v>
      </c>
      <c r="C6" s="16" t="inlineStr">
        <is>
          <t>supplier_code</t>
        </is>
      </c>
      <c r="D6" s="16" t="inlineStr">
        <is>
          <t>仕入先コード</t>
        </is>
      </c>
      <c r="E6" s="9" t="inlineStr">
        <is>
          <t>VARCHAR</t>
        </is>
      </c>
      <c r="F6" s="9" t="inlineStr">
        <is>
          <t>20</t>
        </is>
      </c>
      <c r="G6" s="9" t="inlineStr"/>
      <c r="H6" s="16" t="inlineStr"/>
      <c r="I6" s="9" t="inlineStr">
        <is>
          <t>Y</t>
        </is>
      </c>
      <c r="J6" s="16" t="inlineStr"/>
      <c r="K6" s="16" t="inlineStr">
        <is>
          <t>一意</t>
        </is>
      </c>
    </row>
    <row r="7">
      <c r="A7" s="16" t="inlineStr">
        <is>
          <t>m_supplier</t>
        </is>
      </c>
      <c r="B7" s="9" t="n">
        <v>3</v>
      </c>
      <c r="C7" s="16" t="inlineStr">
        <is>
          <t>name</t>
        </is>
      </c>
      <c r="D7" s="16" t="inlineStr">
        <is>
          <t>仕入先名</t>
        </is>
      </c>
      <c r="E7" s="9" t="inlineStr">
        <is>
          <t>VARCHAR</t>
        </is>
      </c>
      <c r="F7" s="9" t="inlineStr">
        <is>
          <t>100</t>
        </is>
      </c>
      <c r="G7" s="9" t="inlineStr"/>
      <c r="H7" s="16" t="inlineStr"/>
      <c r="I7" s="9" t="inlineStr">
        <is>
          <t>Y</t>
        </is>
      </c>
      <c r="J7" s="16" t="inlineStr"/>
      <c r="K7" s="16" t="inlineStr"/>
    </row>
    <row r="8">
      <c r="A8" s="16" t="inlineStr">
        <is>
          <t>m_supplier</t>
        </is>
      </c>
      <c r="B8" s="9" t="n">
        <v>4</v>
      </c>
      <c r="C8" s="16" t="inlineStr">
        <is>
          <t>country</t>
        </is>
      </c>
      <c r="D8" s="16" t="inlineStr">
        <is>
          <t>国</t>
        </is>
      </c>
      <c r="E8" s="9" t="inlineStr">
        <is>
          <t>VARCHAR</t>
        </is>
      </c>
      <c r="F8" s="9" t="inlineStr">
        <is>
          <t>2</t>
        </is>
      </c>
      <c r="G8" s="9" t="inlineStr"/>
      <c r="H8" s="16" t="inlineStr"/>
      <c r="I8" s="9" t="inlineStr">
        <is>
          <t>Y</t>
        </is>
      </c>
      <c r="J8" s="16" t="inlineStr">
        <is>
          <t>JP</t>
        </is>
      </c>
      <c r="K8" s="16" t="inlineStr">
        <is>
          <t>ISO 3166-1</t>
        </is>
      </c>
    </row>
    <row r="9">
      <c r="A9" s="16" t="inlineStr">
        <is>
          <t>m_supplier</t>
        </is>
      </c>
      <c r="B9" s="9" t="n">
        <v>5</v>
      </c>
      <c r="C9" s="16" t="inlineStr">
        <is>
          <t>address</t>
        </is>
      </c>
      <c r="D9" s="16" t="inlineStr">
        <is>
          <t>住所</t>
        </is>
      </c>
      <c r="E9" s="9" t="inlineStr">
        <is>
          <t>VARCHAR</t>
        </is>
      </c>
      <c r="F9" s="9" t="inlineStr">
        <is>
          <t>200</t>
        </is>
      </c>
      <c r="G9" s="9" t="inlineStr"/>
      <c r="H9" s="16" t="inlineStr"/>
      <c r="I9" s="9" t="inlineStr"/>
      <c r="J9" s="16" t="inlineStr"/>
      <c r="K9" s="16" t="inlineStr"/>
    </row>
    <row r="10">
      <c r="A10" s="16" t="inlineStr">
        <is>
          <t>m_supplier</t>
        </is>
      </c>
      <c r="B10" s="9" t="n">
        <v>6</v>
      </c>
      <c r="C10" s="16" t="inlineStr">
        <is>
          <t>contact_name</t>
        </is>
      </c>
      <c r="D10" s="16" t="inlineStr">
        <is>
          <t>担当者名</t>
        </is>
      </c>
      <c r="E10" s="9" t="inlineStr">
        <is>
          <t>VARCHAR</t>
        </is>
      </c>
      <c r="F10" s="9" t="inlineStr">
        <is>
          <t>50</t>
        </is>
      </c>
      <c r="G10" s="9" t="inlineStr"/>
      <c r="H10" s="16" t="inlineStr"/>
      <c r="I10" s="9" t="inlineStr"/>
      <c r="J10" s="16" t="inlineStr"/>
      <c r="K10" s="16" t="inlineStr"/>
    </row>
    <row r="11">
      <c r="A11" s="16" t="inlineStr">
        <is>
          <t>m_supplier</t>
        </is>
      </c>
      <c r="B11" s="9" t="n">
        <v>7</v>
      </c>
      <c r="C11" s="16" t="inlineStr">
        <is>
          <t>phone</t>
        </is>
      </c>
      <c r="D11" s="16" t="inlineStr">
        <is>
          <t>電話番号</t>
        </is>
      </c>
      <c r="E11" s="9" t="inlineStr">
        <is>
          <t>VARCHAR</t>
        </is>
      </c>
      <c r="F11" s="9" t="inlineStr">
        <is>
          <t>20</t>
        </is>
      </c>
      <c r="G11" s="9" t="inlineStr"/>
      <c r="H11" s="16" t="inlineStr"/>
      <c r="I11" s="9" t="inlineStr"/>
      <c r="J11" s="16" t="inlineStr"/>
      <c r="K11" s="16" t="inlineStr"/>
    </row>
    <row r="12">
      <c r="A12" s="16" t="inlineStr">
        <is>
          <t>m_supplier</t>
        </is>
      </c>
      <c r="B12" s="9" t="n">
        <v>8</v>
      </c>
      <c r="C12" s="16" t="inlineStr">
        <is>
          <t>email</t>
        </is>
      </c>
      <c r="D12" s="16" t="inlineStr">
        <is>
          <t>メール</t>
        </is>
      </c>
      <c r="E12" s="9" t="inlineStr">
        <is>
          <t>VARCHAR</t>
        </is>
      </c>
      <c r="F12" s="9" t="inlineStr">
        <is>
          <t>254</t>
        </is>
      </c>
      <c r="G12" s="9" t="inlineStr"/>
      <c r="H12" s="16" t="inlineStr"/>
      <c r="I12" s="9" t="inlineStr"/>
      <c r="J12" s="16" t="inlineStr"/>
      <c r="K12" s="16" t="inlineStr"/>
    </row>
    <row r="13">
      <c r="A13" s="16" t="inlineStr">
        <is>
          <t>m_supplier</t>
        </is>
      </c>
      <c r="B13" s="9" t="n">
        <v>9</v>
      </c>
      <c r="C13" s="16" t="inlineStr">
        <is>
          <t>payment_terms</t>
        </is>
      </c>
      <c r="D13" s="16" t="inlineStr">
        <is>
          <t>支払条件</t>
        </is>
      </c>
      <c r="E13" s="9" t="inlineStr">
        <is>
          <t>VARCHAR</t>
        </is>
      </c>
      <c r="F13" s="9" t="inlineStr">
        <is>
          <t>100</t>
        </is>
      </c>
      <c r="G13" s="9" t="inlineStr"/>
      <c r="H13" s="16" t="inlineStr"/>
      <c r="I13" s="9" t="inlineStr"/>
      <c r="J13" s="16" t="inlineStr"/>
      <c r="K13" s="16" t="inlineStr">
        <is>
          <t>例：月末締め翌月末払い</t>
        </is>
      </c>
    </row>
    <row r="14">
      <c r="A14" s="16" t="inlineStr">
        <is>
          <t>m_supplier</t>
        </is>
      </c>
      <c r="B14" s="9" t="n">
        <v>10</v>
      </c>
      <c r="C14" s="16" t="inlineStr">
        <is>
          <t>is_active</t>
        </is>
      </c>
      <c r="D14" s="16" t="inlineStr">
        <is>
          <t>有効フラグ</t>
        </is>
      </c>
      <c r="E14" s="9" t="inlineStr">
        <is>
          <t>BOOLEAN</t>
        </is>
      </c>
      <c r="F14" s="9" t="inlineStr"/>
      <c r="G14" s="9" t="inlineStr"/>
      <c r="H14" s="16" t="inlineStr"/>
      <c r="I14" s="9" t="inlineStr">
        <is>
          <t>Y</t>
        </is>
      </c>
      <c r="J14" s="16" t="inlineStr">
        <is>
          <t>true</t>
        </is>
      </c>
      <c r="K14" s="16" t="inlineStr"/>
    </row>
    <row r="15">
      <c r="A15" s="16" t="inlineStr">
        <is>
          <t>m_supplier</t>
        </is>
      </c>
      <c r="B15" s="9" t="n">
        <v>11</v>
      </c>
      <c r="C15" s="16" t="inlineStr">
        <is>
          <t>created_at</t>
        </is>
      </c>
      <c r="D15" s="16" t="inlineStr">
        <is>
          <t>作成日時</t>
        </is>
      </c>
      <c r="E15" s="9" t="inlineStr">
        <is>
          <t>TIMESTAMPTZ</t>
        </is>
      </c>
      <c r="F15" s="9" t="inlineStr"/>
      <c r="G15" s="9" t="inlineStr"/>
      <c r="H15" s="16" t="inlineStr"/>
      <c r="I15" s="9" t="inlineStr">
        <is>
          <t>Y</t>
        </is>
      </c>
      <c r="J15" s="16" t="inlineStr">
        <is>
          <t>現在日時</t>
        </is>
      </c>
      <c r="K15" s="16" t="inlineStr"/>
    </row>
    <row r="16">
      <c r="A16" s="16" t="inlineStr">
        <is>
          <t>m_supplier</t>
        </is>
      </c>
      <c r="B16" s="9" t="n">
        <v>12</v>
      </c>
      <c r="C16" s="16" t="inlineStr">
        <is>
          <t>created_by</t>
        </is>
      </c>
      <c r="D16" s="16" t="inlineStr">
        <is>
          <t>作成者</t>
        </is>
      </c>
      <c r="E16" s="9" t="inlineStr">
        <is>
          <t>BIGINT</t>
        </is>
      </c>
      <c r="F16" s="9" t="inlineStr"/>
      <c r="G16" s="9" t="inlineStr"/>
      <c r="H16" s="16" t="inlineStr">
        <is>
          <t>m_user.id</t>
        </is>
      </c>
      <c r="I16" s="9" t="inlineStr">
        <is>
          <t>Y</t>
        </is>
      </c>
      <c r="J16" s="16" t="inlineStr"/>
      <c r="K16" s="16" t="inlineStr"/>
    </row>
    <row r="17">
      <c r="A17" s="16" t="inlineStr">
        <is>
          <t>m_supplier</t>
        </is>
      </c>
      <c r="B17" s="9" t="n">
        <v>13</v>
      </c>
      <c r="C17" s="16" t="inlineStr">
        <is>
          <t>updated_at</t>
        </is>
      </c>
      <c r="D17" s="16" t="inlineStr">
        <is>
          <t>更新日時</t>
        </is>
      </c>
      <c r="E17" s="9" t="inlineStr">
        <is>
          <t>TIMESTAMPTZ</t>
        </is>
      </c>
      <c r="F17" s="9" t="inlineStr"/>
      <c r="G17" s="9" t="inlineStr"/>
      <c r="H17" s="16" t="inlineStr"/>
      <c r="I17" s="9" t="inlineStr">
        <is>
          <t>Y</t>
        </is>
      </c>
      <c r="J17" s="16" t="inlineStr">
        <is>
          <t>現在日時</t>
        </is>
      </c>
      <c r="K17" s="16" t="inlineStr"/>
    </row>
    <row r="18">
      <c r="A18" s="16" t="inlineStr">
        <is>
          <t>m_supplier</t>
        </is>
      </c>
      <c r="B18" s="9" t="n">
        <v>14</v>
      </c>
      <c r="C18" s="16" t="inlineStr">
        <is>
          <t>updated_by</t>
        </is>
      </c>
      <c r="D18" s="16" t="inlineStr">
        <is>
          <t>更新者</t>
        </is>
      </c>
      <c r="E18" s="9" t="inlineStr">
        <is>
          <t>BIGINT</t>
        </is>
      </c>
      <c r="F18" s="9" t="inlineStr"/>
      <c r="G18" s="9" t="inlineStr"/>
      <c r="H18" s="16" t="inlineStr">
        <is>
          <t>m_user.id</t>
        </is>
      </c>
      <c r="I18" s="9" t="inlineStr">
        <is>
          <t>Y</t>
        </is>
      </c>
      <c r="J18" s="16" t="inlineStr"/>
      <c r="K18" s="16" t="inlineStr"/>
    </row>
    <row r="19">
      <c r="A19" s="16" t="inlineStr">
        <is>
          <t>m_supplier</t>
        </is>
      </c>
      <c r="B19" s="9" t="n">
        <v>15</v>
      </c>
      <c r="C19" s="16" t="inlineStr">
        <is>
          <t>version</t>
        </is>
      </c>
      <c r="D19" s="16" t="inlineStr">
        <is>
          <t>版数</t>
        </is>
      </c>
      <c r="E19" s="9" t="inlineStr">
        <is>
          <t>INTEGER</t>
        </is>
      </c>
      <c r="F19" s="9" t="inlineStr"/>
      <c r="G19" s="9" t="inlineStr"/>
      <c r="H19" s="16" t="inlineStr"/>
      <c r="I19" s="9" t="inlineStr">
        <is>
          <t>Y</t>
        </is>
      </c>
      <c r="J19" s="16" t="inlineStr">
        <is>
          <t>1</t>
        </is>
      </c>
      <c r="K19" s="16" t="inlineStr">
        <is>
          <t>楽観ロック用</t>
        </is>
      </c>
    </row>
    <row r="20">
      <c r="A20" s="22" t="inlineStr">
        <is>
          <t>m_product</t>
        </is>
      </c>
      <c r="B20" s="23" t="inlineStr">
        <is>
          <t>【商品】エクソソーム製品・原料</t>
        </is>
      </c>
      <c r="C20" s="24" t="n"/>
      <c r="D20" s="24" t="n"/>
      <c r="E20" s="24" t="n"/>
      <c r="F20" s="24" t="n"/>
      <c r="G20" s="24" t="n"/>
      <c r="H20" s="24" t="n"/>
      <c r="I20" s="24" t="n"/>
      <c r="J20" s="24" t="n"/>
      <c r="K20" s="25" t="n"/>
    </row>
    <row r="21">
      <c r="A21" s="16" t="inlineStr">
        <is>
          <t>m_product</t>
        </is>
      </c>
      <c r="B21" s="9" t="n">
        <v>1</v>
      </c>
      <c r="C21" s="16" t="inlineStr">
        <is>
          <t>id</t>
        </is>
      </c>
      <c r="D21" s="16" t="inlineStr">
        <is>
          <t>商品ID</t>
        </is>
      </c>
      <c r="E21" s="9" t="inlineStr">
        <is>
          <t>BIGINT</t>
        </is>
      </c>
      <c r="F21" s="9" t="inlineStr"/>
      <c r="G21" s="9" t="inlineStr">
        <is>
          <t>Y</t>
        </is>
      </c>
      <c r="H21" s="16" t="inlineStr"/>
      <c r="I21" s="9" t="inlineStr">
        <is>
          <t>Y</t>
        </is>
      </c>
      <c r="J21" s="16" t="inlineStr">
        <is>
          <t>自動採番</t>
        </is>
      </c>
      <c r="K21" s="16" t="inlineStr"/>
    </row>
    <row r="22">
      <c r="A22" s="16" t="inlineStr">
        <is>
          <t>m_product</t>
        </is>
      </c>
      <c r="B22" s="9" t="n">
        <v>2</v>
      </c>
      <c r="C22" s="16" t="inlineStr">
        <is>
          <t>product_code</t>
        </is>
      </c>
      <c r="D22" s="16" t="inlineStr">
        <is>
          <t>商品コード</t>
        </is>
      </c>
      <c r="E22" s="9" t="inlineStr">
        <is>
          <t>VARCHAR</t>
        </is>
      </c>
      <c r="F22" s="9" t="inlineStr">
        <is>
          <t>20</t>
        </is>
      </c>
      <c r="G22" s="9" t="inlineStr"/>
      <c r="H22" s="16" t="inlineStr"/>
      <c r="I22" s="9" t="inlineStr">
        <is>
          <t>Y</t>
        </is>
      </c>
      <c r="J22" s="16" t="inlineStr"/>
      <c r="K22" s="16" t="inlineStr">
        <is>
          <t>一意</t>
        </is>
      </c>
    </row>
    <row r="23">
      <c r="A23" s="16" t="inlineStr">
        <is>
          <t>m_product</t>
        </is>
      </c>
      <c r="B23" s="9" t="n">
        <v>3</v>
      </c>
      <c r="C23" s="16" t="inlineStr">
        <is>
          <t>name</t>
        </is>
      </c>
      <c r="D23" s="16" t="inlineStr">
        <is>
          <t>商品名</t>
        </is>
      </c>
      <c r="E23" s="9" t="inlineStr">
        <is>
          <t>VARCHAR</t>
        </is>
      </c>
      <c r="F23" s="9" t="inlineStr">
        <is>
          <t>100</t>
        </is>
      </c>
      <c r="G23" s="9" t="inlineStr"/>
      <c r="H23" s="16" t="inlineStr"/>
      <c r="I23" s="9" t="inlineStr">
        <is>
          <t>Y</t>
        </is>
      </c>
      <c r="J23" s="16" t="inlineStr"/>
      <c r="K23" s="16" t="inlineStr"/>
    </row>
    <row r="24">
      <c r="A24" s="16" t="inlineStr">
        <is>
          <t>m_product</t>
        </is>
      </c>
      <c r="B24" s="9" t="n">
        <v>4</v>
      </c>
      <c r="C24" s="16" t="inlineStr">
        <is>
          <t>supplier_id</t>
        </is>
      </c>
      <c r="D24" s="16" t="inlineStr">
        <is>
          <t>主仕入先ID</t>
        </is>
      </c>
      <c r="E24" s="9" t="inlineStr">
        <is>
          <t>BIGINT</t>
        </is>
      </c>
      <c r="F24" s="9" t="inlineStr"/>
      <c r="G24" s="9" t="inlineStr"/>
      <c r="H24" s="16" t="inlineStr">
        <is>
          <t>m_supplier.id</t>
        </is>
      </c>
      <c r="I24" s="9" t="inlineStr"/>
      <c r="J24" s="16" t="inlineStr"/>
      <c r="K24" s="16" t="inlineStr"/>
    </row>
    <row r="25">
      <c r="A25" s="16" t="inlineStr">
        <is>
          <t>m_product</t>
        </is>
      </c>
      <c r="B25" s="9" t="n">
        <v>5</v>
      </c>
      <c r="C25" s="16" t="inlineStr">
        <is>
          <t>source_type</t>
        </is>
      </c>
      <c r="D25" s="16" t="inlineStr">
        <is>
          <t>由来</t>
        </is>
      </c>
      <c r="E25" s="9" t="inlineStr">
        <is>
          <t>VARCHAR</t>
        </is>
      </c>
      <c r="F25" s="9" t="inlineStr">
        <is>
          <t>20</t>
        </is>
      </c>
      <c r="G25" s="9" t="inlineStr"/>
      <c r="H25" s="16" t="inlineStr"/>
      <c r="I25" s="9" t="inlineStr">
        <is>
          <t>Y</t>
        </is>
      </c>
      <c r="J25" s="16" t="inlineStr"/>
      <c r="K25" s="16" t="inlineStr">
        <is>
          <t>コード値：ADIPOSE/UMBILICAL/DENTAL_PULP/BONE_MARROW/PLANT/OTHER</t>
        </is>
      </c>
    </row>
    <row r="26">
      <c r="A26" s="16" t="inlineStr">
        <is>
          <t>m_product</t>
        </is>
      </c>
      <c r="B26" s="9" t="n">
        <v>6</v>
      </c>
      <c r="C26" s="16" t="inlineStr">
        <is>
          <t>form</t>
        </is>
      </c>
      <c r="D26" s="16" t="inlineStr">
        <is>
          <t>形態</t>
        </is>
      </c>
      <c r="E26" s="9" t="inlineStr">
        <is>
          <t>VARCHAR</t>
        </is>
      </c>
      <c r="F26" s="9" t="inlineStr">
        <is>
          <t>20</t>
        </is>
      </c>
      <c r="G26" s="9" t="inlineStr"/>
      <c r="H26" s="16" t="inlineStr"/>
      <c r="I26" s="9" t="inlineStr">
        <is>
          <t>Y</t>
        </is>
      </c>
      <c r="J26" s="16" t="inlineStr"/>
      <c r="K26" s="16" t="inlineStr">
        <is>
          <t>コード値：FROZEN/LYOPHILIZED/LIQUID</t>
        </is>
      </c>
    </row>
    <row r="27">
      <c r="A27" s="16" t="inlineStr">
        <is>
          <t>m_product</t>
        </is>
      </c>
      <c r="B27" s="9" t="n">
        <v>7</v>
      </c>
      <c r="C27" s="16" t="inlineStr">
        <is>
          <t>particle_conc</t>
        </is>
      </c>
      <c r="D27" s="16" t="inlineStr">
        <is>
          <t>粒子濃度（個/mL）</t>
        </is>
      </c>
      <c r="E27" s="9" t="inlineStr">
        <is>
          <t>NUMERIC</t>
        </is>
      </c>
      <c r="F27" s="9" t="inlineStr">
        <is>
          <t>20,0</t>
        </is>
      </c>
      <c r="G27" s="9" t="inlineStr"/>
      <c r="H27" s="16" t="inlineStr"/>
      <c r="I27" s="9" t="inlineStr"/>
      <c r="J27" s="16" t="inlineStr"/>
      <c r="K27" s="16" t="inlineStr">
        <is>
          <t>仕様値。ロット実測はt_lotに保持</t>
        </is>
      </c>
    </row>
    <row r="28">
      <c r="A28" s="16" t="inlineStr">
        <is>
          <t>m_product</t>
        </is>
      </c>
      <c r="B28" s="9" t="n">
        <v>8</v>
      </c>
      <c r="C28" s="16" t="inlineStr">
        <is>
          <t>volume_ml</t>
        </is>
      </c>
      <c r="D28" s="16" t="inlineStr">
        <is>
          <t>内容量（mL）</t>
        </is>
      </c>
      <c r="E28" s="9" t="inlineStr">
        <is>
          <t>NUMERIC</t>
        </is>
      </c>
      <c r="F28" s="9" t="inlineStr">
        <is>
          <t>8,2</t>
        </is>
      </c>
      <c r="G28" s="9" t="inlineStr"/>
      <c r="H28" s="16" t="inlineStr"/>
      <c r="I28" s="9" t="inlineStr"/>
      <c r="J28" s="16" t="inlineStr"/>
      <c r="K28" s="16" t="inlineStr"/>
    </row>
    <row r="29">
      <c r="A29" s="16" t="inlineStr">
        <is>
          <t>m_product</t>
        </is>
      </c>
      <c r="B29" s="9" t="n">
        <v>9</v>
      </c>
      <c r="C29" s="16" t="inlineStr">
        <is>
          <t>unit</t>
        </is>
      </c>
      <c r="D29" s="16" t="inlineStr">
        <is>
          <t>販売単位</t>
        </is>
      </c>
      <c r="E29" s="9" t="inlineStr">
        <is>
          <t>VARCHAR</t>
        </is>
      </c>
      <c r="F29" s="9" t="inlineStr">
        <is>
          <t>10</t>
        </is>
      </c>
      <c r="G29" s="9" t="inlineStr"/>
      <c r="H29" s="16" t="inlineStr"/>
      <c r="I29" s="9" t="inlineStr">
        <is>
          <t>Y</t>
        </is>
      </c>
      <c r="J29" s="16" t="inlineStr">
        <is>
          <t>本</t>
        </is>
      </c>
      <c r="K29" s="16" t="inlineStr">
        <is>
          <t>本/箱/vial 等</t>
        </is>
      </c>
    </row>
    <row r="30">
      <c r="A30" s="16" t="inlineStr">
        <is>
          <t>m_product</t>
        </is>
      </c>
      <c r="B30" s="9" t="n">
        <v>10</v>
      </c>
      <c r="C30" s="16" t="inlineStr">
        <is>
          <t>storage_class</t>
        </is>
      </c>
      <c r="D30" s="16" t="inlineStr">
        <is>
          <t>保管温度区分</t>
        </is>
      </c>
      <c r="E30" s="9" t="inlineStr">
        <is>
          <t>VARCHAR</t>
        </is>
      </c>
      <c r="F30" s="9" t="inlineStr">
        <is>
          <t>10</t>
        </is>
      </c>
      <c r="G30" s="9" t="inlineStr"/>
      <c r="H30" s="16" t="inlineStr"/>
      <c r="I30" s="9" t="inlineStr">
        <is>
          <t>Y</t>
        </is>
      </c>
      <c r="J30" s="16" t="inlineStr"/>
      <c r="K30" s="16" t="inlineStr">
        <is>
          <t>コード値：M80/M20/COLD/RT</t>
        </is>
      </c>
    </row>
    <row r="31">
      <c r="A31" s="16" t="inlineStr">
        <is>
          <t>m_product</t>
        </is>
      </c>
      <c r="B31" s="9" t="n">
        <v>11</v>
      </c>
      <c r="C31" s="16" t="inlineStr">
        <is>
          <t>shelf_life_days</t>
        </is>
      </c>
      <c r="D31" s="16" t="inlineStr">
        <is>
          <t>有効期間（日）</t>
        </is>
      </c>
      <c r="E31" s="9" t="inlineStr">
        <is>
          <t>INTEGER</t>
        </is>
      </c>
      <c r="F31" s="9" t="inlineStr"/>
      <c r="G31" s="9" t="inlineStr"/>
      <c r="H31" s="16" t="inlineStr"/>
      <c r="I31" s="9" t="inlineStr">
        <is>
          <t>Y</t>
        </is>
      </c>
      <c r="J31" s="16" t="inlineStr"/>
      <c r="K31" s="16" t="inlineStr">
        <is>
          <t>使用期限未記載時の自動計算用</t>
        </is>
      </c>
    </row>
    <row r="32">
      <c r="A32" s="16" t="inlineStr">
        <is>
          <t>m_product</t>
        </is>
      </c>
      <c r="B32" s="9" t="n">
        <v>12</v>
      </c>
      <c r="C32" s="16" t="inlineStr">
        <is>
          <t>min_remaining_days</t>
        </is>
      </c>
      <c r="D32" s="16" t="inlineStr">
        <is>
          <t>最低出荷残期間（日）</t>
        </is>
      </c>
      <c r="E32" s="9" t="inlineStr">
        <is>
          <t>INTEGER</t>
        </is>
      </c>
      <c r="F32" s="9" t="inlineStr"/>
      <c r="G32" s="9" t="inlineStr"/>
      <c r="H32" s="16" t="inlineStr"/>
      <c r="I32" s="9" t="inlineStr">
        <is>
          <t>Y</t>
        </is>
      </c>
      <c r="J32" s="16" t="inlineStr">
        <is>
          <t>90</t>
        </is>
      </c>
      <c r="K32" s="16" t="inlineStr">
        <is>
          <t>残存期間がこれ未満のロットは引当不可</t>
        </is>
      </c>
    </row>
    <row r="33">
      <c r="A33" s="16" t="inlineStr">
        <is>
          <t>m_product</t>
        </is>
      </c>
      <c r="B33" s="9" t="n">
        <v>13</v>
      </c>
      <c r="C33" s="16" t="inlineStr">
        <is>
          <t>regulatory_class</t>
        </is>
      </c>
      <c r="D33" s="16" t="inlineStr">
        <is>
          <t>規制区分</t>
        </is>
      </c>
      <c r="E33" s="9" t="inlineStr">
        <is>
          <t>VARCHAR</t>
        </is>
      </c>
      <c r="F33" s="9" t="inlineStr">
        <is>
          <t>20</t>
        </is>
      </c>
      <c r="G33" s="9" t="inlineStr"/>
      <c r="H33" s="16" t="inlineStr"/>
      <c r="I33" s="9" t="inlineStr">
        <is>
          <t>Y</t>
        </is>
      </c>
      <c r="J33" s="16" t="inlineStr"/>
      <c r="K33" s="16" t="inlineStr">
        <is>
          <t>コード値：COSMETIC_RAW/RESEARCH_USE/MEDICAL_USE/OTHER</t>
        </is>
      </c>
    </row>
    <row r="34">
      <c r="A34" s="16" t="inlineStr">
        <is>
          <t>m_product</t>
        </is>
      </c>
      <c r="B34" s="9" t="n">
        <v>14</v>
      </c>
      <c r="C34" s="16" t="inlineStr">
        <is>
          <t>standard_cost</t>
        </is>
      </c>
      <c r="D34" s="16" t="inlineStr">
        <is>
          <t>標準原価（円）</t>
        </is>
      </c>
      <c r="E34" s="9" t="inlineStr">
        <is>
          <t>NUMERIC</t>
        </is>
      </c>
      <c r="F34" s="9" t="inlineStr">
        <is>
          <t>12,2</t>
        </is>
      </c>
      <c r="G34" s="9" t="inlineStr"/>
      <c r="H34" s="16" t="inlineStr"/>
      <c r="I34" s="9" t="inlineStr"/>
      <c r="J34" s="16" t="inlineStr"/>
      <c r="K34" s="16" t="inlineStr"/>
    </row>
    <row r="35">
      <c r="A35" s="16" t="inlineStr">
        <is>
          <t>m_product</t>
        </is>
      </c>
      <c r="B35" s="9" t="n">
        <v>15</v>
      </c>
      <c r="C35" s="16" t="inlineStr">
        <is>
          <t>list_price</t>
        </is>
      </c>
      <c r="D35" s="16" t="inlineStr">
        <is>
          <t>標準売価（円）</t>
        </is>
      </c>
      <c r="E35" s="9" t="inlineStr">
        <is>
          <t>NUMERIC</t>
        </is>
      </c>
      <c r="F35" s="9" t="inlineStr">
        <is>
          <t>12,2</t>
        </is>
      </c>
      <c r="G35" s="9" t="inlineStr"/>
      <c r="H35" s="16" t="inlineStr"/>
      <c r="I35" s="9" t="inlineStr"/>
      <c r="J35" s="16" t="inlineStr"/>
      <c r="K35" s="16" t="inlineStr">
        <is>
          <t>税抜</t>
        </is>
      </c>
    </row>
    <row r="36">
      <c r="A36" s="16" t="inlineStr">
        <is>
          <t>m_product</t>
        </is>
      </c>
      <c r="B36" s="9" t="n">
        <v>16</v>
      </c>
      <c r="C36" s="16" t="inlineStr">
        <is>
          <t>reorder_point</t>
        </is>
      </c>
      <c r="D36" s="16" t="inlineStr">
        <is>
          <t>発注点</t>
        </is>
      </c>
      <c r="E36" s="9" t="inlineStr">
        <is>
          <t>INTEGER</t>
        </is>
      </c>
      <c r="F36" s="9" t="inlineStr"/>
      <c r="G36" s="9" t="inlineStr"/>
      <c r="H36" s="16" t="inlineStr"/>
      <c r="I36" s="9" t="inlineStr"/>
      <c r="J36" s="16" t="inlineStr">
        <is>
          <t>0</t>
        </is>
      </c>
      <c r="K36" s="16" t="inlineStr">
        <is>
          <t>在庫下限アラート閾値</t>
        </is>
      </c>
    </row>
    <row r="37">
      <c r="A37" s="16" t="inlineStr">
        <is>
          <t>m_product</t>
        </is>
      </c>
      <c r="B37" s="9" t="n">
        <v>17</v>
      </c>
      <c r="C37" s="16" t="inlineStr">
        <is>
          <t>is_active</t>
        </is>
      </c>
      <c r="D37" s="16" t="inlineStr">
        <is>
          <t>有効フラグ</t>
        </is>
      </c>
      <c r="E37" s="9" t="inlineStr">
        <is>
          <t>BOOLEAN</t>
        </is>
      </c>
      <c r="F37" s="9" t="inlineStr"/>
      <c r="G37" s="9" t="inlineStr"/>
      <c r="H37" s="16" t="inlineStr"/>
      <c r="I37" s="9" t="inlineStr">
        <is>
          <t>Y</t>
        </is>
      </c>
      <c r="J37" s="16" t="inlineStr">
        <is>
          <t>true</t>
        </is>
      </c>
      <c r="K37" s="16" t="inlineStr"/>
    </row>
    <row r="38">
      <c r="A38" s="16" t="inlineStr">
        <is>
          <t>m_product</t>
        </is>
      </c>
      <c r="B38" s="9" t="n">
        <v>18</v>
      </c>
      <c r="C38" s="16" t="inlineStr">
        <is>
          <t>created_at</t>
        </is>
      </c>
      <c r="D38" s="16" t="inlineStr">
        <is>
          <t>作成日時</t>
        </is>
      </c>
      <c r="E38" s="9" t="inlineStr">
        <is>
          <t>TIMESTAMPTZ</t>
        </is>
      </c>
      <c r="F38" s="9" t="inlineStr"/>
      <c r="G38" s="9" t="inlineStr"/>
      <c r="H38" s="16" t="inlineStr"/>
      <c r="I38" s="9" t="inlineStr">
        <is>
          <t>Y</t>
        </is>
      </c>
      <c r="J38" s="16" t="inlineStr">
        <is>
          <t>現在日時</t>
        </is>
      </c>
      <c r="K38" s="16" t="inlineStr"/>
    </row>
    <row r="39">
      <c r="A39" s="16" t="inlineStr">
        <is>
          <t>m_product</t>
        </is>
      </c>
      <c r="B39" s="9" t="n">
        <v>19</v>
      </c>
      <c r="C39" s="16" t="inlineStr">
        <is>
          <t>created_by</t>
        </is>
      </c>
      <c r="D39" s="16" t="inlineStr">
        <is>
          <t>作成者</t>
        </is>
      </c>
      <c r="E39" s="9" t="inlineStr">
        <is>
          <t>BIGINT</t>
        </is>
      </c>
      <c r="F39" s="9" t="inlineStr"/>
      <c r="G39" s="9" t="inlineStr"/>
      <c r="H39" s="16" t="inlineStr">
        <is>
          <t>m_user.id</t>
        </is>
      </c>
      <c r="I39" s="9" t="inlineStr">
        <is>
          <t>Y</t>
        </is>
      </c>
      <c r="J39" s="16" t="inlineStr"/>
      <c r="K39" s="16" t="inlineStr"/>
    </row>
    <row r="40">
      <c r="A40" s="16" t="inlineStr">
        <is>
          <t>m_product</t>
        </is>
      </c>
      <c r="B40" s="9" t="n">
        <v>20</v>
      </c>
      <c r="C40" s="16" t="inlineStr">
        <is>
          <t>updated_at</t>
        </is>
      </c>
      <c r="D40" s="16" t="inlineStr">
        <is>
          <t>更新日時</t>
        </is>
      </c>
      <c r="E40" s="9" t="inlineStr">
        <is>
          <t>TIMESTAMPTZ</t>
        </is>
      </c>
      <c r="F40" s="9" t="inlineStr"/>
      <c r="G40" s="9" t="inlineStr"/>
      <c r="H40" s="16" t="inlineStr"/>
      <c r="I40" s="9" t="inlineStr">
        <is>
          <t>Y</t>
        </is>
      </c>
      <c r="J40" s="16" t="inlineStr">
        <is>
          <t>現在日時</t>
        </is>
      </c>
      <c r="K40" s="16" t="inlineStr"/>
    </row>
    <row r="41">
      <c r="A41" s="16" t="inlineStr">
        <is>
          <t>m_product</t>
        </is>
      </c>
      <c r="B41" s="9" t="n">
        <v>21</v>
      </c>
      <c r="C41" s="16" t="inlineStr">
        <is>
          <t>updated_by</t>
        </is>
      </c>
      <c r="D41" s="16" t="inlineStr">
        <is>
          <t>更新者</t>
        </is>
      </c>
      <c r="E41" s="9" t="inlineStr">
        <is>
          <t>BIGINT</t>
        </is>
      </c>
      <c r="F41" s="9" t="inlineStr"/>
      <c r="G41" s="9" t="inlineStr"/>
      <c r="H41" s="16" t="inlineStr">
        <is>
          <t>m_user.id</t>
        </is>
      </c>
      <c r="I41" s="9" t="inlineStr">
        <is>
          <t>Y</t>
        </is>
      </c>
      <c r="J41" s="16" t="inlineStr"/>
      <c r="K41" s="16" t="inlineStr"/>
    </row>
    <row r="42">
      <c r="A42" s="16" t="inlineStr">
        <is>
          <t>m_product</t>
        </is>
      </c>
      <c r="B42" s="9" t="n">
        <v>22</v>
      </c>
      <c r="C42" s="16" t="inlineStr">
        <is>
          <t>version</t>
        </is>
      </c>
      <c r="D42" s="16" t="inlineStr">
        <is>
          <t>版数</t>
        </is>
      </c>
      <c r="E42" s="9" t="inlineStr">
        <is>
          <t>INTEGER</t>
        </is>
      </c>
      <c r="F42" s="9" t="inlineStr"/>
      <c r="G42" s="9" t="inlineStr"/>
      <c r="H42" s="16" t="inlineStr"/>
      <c r="I42" s="9" t="inlineStr">
        <is>
          <t>Y</t>
        </is>
      </c>
      <c r="J42" s="16" t="inlineStr">
        <is>
          <t>1</t>
        </is>
      </c>
      <c r="K42" s="16" t="inlineStr">
        <is>
          <t>楽観ロック用</t>
        </is>
      </c>
    </row>
    <row r="43">
      <c r="A43" s="22" t="inlineStr">
        <is>
          <t>m_customer</t>
        </is>
      </c>
      <c r="B43" s="23" t="inlineStr">
        <is>
          <t>【顧客】販売先（請求先）</t>
        </is>
      </c>
      <c r="C43" s="24" t="n"/>
      <c r="D43" s="24" t="n"/>
      <c r="E43" s="24" t="n"/>
      <c r="F43" s="24" t="n"/>
      <c r="G43" s="24" t="n"/>
      <c r="H43" s="24" t="n"/>
      <c r="I43" s="24" t="n"/>
      <c r="J43" s="24" t="n"/>
      <c r="K43" s="25" t="n"/>
    </row>
    <row r="44">
      <c r="A44" s="16" t="inlineStr">
        <is>
          <t>m_customer</t>
        </is>
      </c>
      <c r="B44" s="9" t="n">
        <v>1</v>
      </c>
      <c r="C44" s="16" t="inlineStr">
        <is>
          <t>id</t>
        </is>
      </c>
      <c r="D44" s="16" t="inlineStr">
        <is>
          <t>顧客ID</t>
        </is>
      </c>
      <c r="E44" s="9" t="inlineStr">
        <is>
          <t>BIGINT</t>
        </is>
      </c>
      <c r="F44" s="9" t="inlineStr"/>
      <c r="G44" s="9" t="inlineStr">
        <is>
          <t>Y</t>
        </is>
      </c>
      <c r="H44" s="16" t="inlineStr"/>
      <c r="I44" s="9" t="inlineStr">
        <is>
          <t>Y</t>
        </is>
      </c>
      <c r="J44" s="16" t="inlineStr">
        <is>
          <t>自動採番</t>
        </is>
      </c>
      <c r="K44" s="16" t="inlineStr"/>
    </row>
    <row r="45">
      <c r="A45" s="16" t="inlineStr">
        <is>
          <t>m_customer</t>
        </is>
      </c>
      <c r="B45" s="9" t="n">
        <v>2</v>
      </c>
      <c r="C45" s="16" t="inlineStr">
        <is>
          <t>customer_code</t>
        </is>
      </c>
      <c r="D45" s="16" t="inlineStr">
        <is>
          <t>顧客コード</t>
        </is>
      </c>
      <c r="E45" s="9" t="inlineStr">
        <is>
          <t>VARCHAR</t>
        </is>
      </c>
      <c r="F45" s="9" t="inlineStr">
        <is>
          <t>20</t>
        </is>
      </c>
      <c r="G45" s="9" t="inlineStr"/>
      <c r="H45" s="16" t="inlineStr"/>
      <c r="I45" s="9" t="inlineStr">
        <is>
          <t>Y</t>
        </is>
      </c>
      <c r="J45" s="16" t="inlineStr"/>
      <c r="K45" s="16" t="inlineStr">
        <is>
          <t>一意</t>
        </is>
      </c>
    </row>
    <row r="46">
      <c r="A46" s="16" t="inlineStr">
        <is>
          <t>m_customer</t>
        </is>
      </c>
      <c r="B46" s="9" t="n">
        <v>3</v>
      </c>
      <c r="C46" s="16" t="inlineStr">
        <is>
          <t>name</t>
        </is>
      </c>
      <c r="D46" s="16" t="inlineStr">
        <is>
          <t>顧客名</t>
        </is>
      </c>
      <c r="E46" s="9" t="inlineStr">
        <is>
          <t>VARCHAR</t>
        </is>
      </c>
      <c r="F46" s="9" t="inlineStr">
        <is>
          <t>100</t>
        </is>
      </c>
      <c r="G46" s="9" t="inlineStr"/>
      <c r="H46" s="16" t="inlineStr"/>
      <c r="I46" s="9" t="inlineStr">
        <is>
          <t>Y</t>
        </is>
      </c>
      <c r="J46" s="16" t="inlineStr"/>
      <c r="K46" s="16" t="inlineStr"/>
    </row>
    <row r="47">
      <c r="A47" s="16" t="inlineStr">
        <is>
          <t>m_customer</t>
        </is>
      </c>
      <c r="B47" s="9" t="n">
        <v>4</v>
      </c>
      <c r="C47" s="16" t="inlineStr">
        <is>
          <t>customer_type</t>
        </is>
      </c>
      <c r="D47" s="16" t="inlineStr">
        <is>
          <t>顧客区分</t>
        </is>
      </c>
      <c r="E47" s="9" t="inlineStr">
        <is>
          <t>VARCHAR</t>
        </is>
      </c>
      <c r="F47" s="9" t="inlineStr">
        <is>
          <t>20</t>
        </is>
      </c>
      <c r="G47" s="9" t="inlineStr"/>
      <c r="H47" s="16" t="inlineStr"/>
      <c r="I47" s="9" t="inlineStr">
        <is>
          <t>Y</t>
        </is>
      </c>
      <c r="J47" s="16" t="inlineStr"/>
      <c r="K47" s="16" t="inlineStr">
        <is>
          <t>コード値：MEDICAL/SALON/DISTRIBUTOR/RESEARCH/OTHER</t>
        </is>
      </c>
    </row>
    <row r="48">
      <c r="A48" s="16" t="inlineStr">
        <is>
          <t>m_customer</t>
        </is>
      </c>
      <c r="B48" s="9" t="n">
        <v>5</v>
      </c>
      <c r="C48" s="16" t="inlineStr">
        <is>
          <t>medical_inst_code</t>
        </is>
      </c>
      <c r="D48" s="16" t="inlineStr">
        <is>
          <t>医療機関コード</t>
        </is>
      </c>
      <c r="E48" s="9" t="inlineStr">
        <is>
          <t>VARCHAR</t>
        </is>
      </c>
      <c r="F48" s="9" t="inlineStr">
        <is>
          <t>20</t>
        </is>
      </c>
      <c r="G48" s="9" t="inlineStr"/>
      <c r="H48" s="16" t="inlineStr"/>
      <c r="I48" s="9" t="inlineStr"/>
      <c r="J48" s="16" t="inlineStr"/>
      <c r="K48" s="16" t="inlineStr">
        <is>
          <t>顧客区分=医療機関の場合必須</t>
        </is>
      </c>
    </row>
    <row r="49">
      <c r="A49" s="16" t="inlineStr">
        <is>
          <t>m_customer</t>
        </is>
      </c>
      <c r="B49" s="9" t="n">
        <v>6</v>
      </c>
      <c r="C49" s="16" t="inlineStr">
        <is>
          <t>representative</t>
        </is>
      </c>
      <c r="D49" s="16" t="inlineStr">
        <is>
          <t>代表者名</t>
        </is>
      </c>
      <c r="E49" s="9" t="inlineStr">
        <is>
          <t>VARCHAR</t>
        </is>
      </c>
      <c r="F49" s="9" t="inlineStr">
        <is>
          <t>50</t>
        </is>
      </c>
      <c r="G49" s="9" t="inlineStr"/>
      <c r="H49" s="16" t="inlineStr"/>
      <c r="I49" s="9" t="inlineStr"/>
      <c r="J49" s="16" t="inlineStr"/>
      <c r="K49" s="16" t="inlineStr"/>
    </row>
    <row r="50">
      <c r="A50" s="16" t="inlineStr">
        <is>
          <t>m_customer</t>
        </is>
      </c>
      <c r="B50" s="9" t="n">
        <v>7</v>
      </c>
      <c r="C50" s="16" t="inlineStr">
        <is>
          <t>contact_name</t>
        </is>
      </c>
      <c r="D50" s="16" t="inlineStr">
        <is>
          <t>担当者名</t>
        </is>
      </c>
      <c r="E50" s="9" t="inlineStr">
        <is>
          <t>VARCHAR</t>
        </is>
      </c>
      <c r="F50" s="9" t="inlineStr">
        <is>
          <t>50</t>
        </is>
      </c>
      <c r="G50" s="9" t="inlineStr"/>
      <c r="H50" s="16" t="inlineStr"/>
      <c r="I50" s="9" t="inlineStr"/>
      <c r="J50" s="16" t="inlineStr"/>
      <c r="K50" s="16" t="inlineStr">
        <is>
          <t>請求・回収連絡の窓口</t>
        </is>
      </c>
    </row>
    <row r="51">
      <c r="A51" s="16" t="inlineStr">
        <is>
          <t>m_customer</t>
        </is>
      </c>
      <c r="B51" s="9" t="n">
        <v>8</v>
      </c>
      <c r="C51" s="16" t="inlineStr">
        <is>
          <t>postal_code</t>
        </is>
      </c>
      <c r="D51" s="16" t="inlineStr">
        <is>
          <t>郵便番号</t>
        </is>
      </c>
      <c r="E51" s="9" t="inlineStr">
        <is>
          <t>VARCHAR</t>
        </is>
      </c>
      <c r="F51" s="9" t="inlineStr">
        <is>
          <t>8</t>
        </is>
      </c>
      <c r="G51" s="9" t="inlineStr"/>
      <c r="H51" s="16" t="inlineStr"/>
      <c r="I51" s="9" t="inlineStr"/>
      <c r="J51" s="16" t="inlineStr"/>
      <c r="K51" s="16" t="inlineStr"/>
    </row>
    <row r="52">
      <c r="A52" s="16" t="inlineStr">
        <is>
          <t>m_customer</t>
        </is>
      </c>
      <c r="B52" s="9" t="n">
        <v>9</v>
      </c>
      <c r="C52" s="16" t="inlineStr">
        <is>
          <t>address</t>
        </is>
      </c>
      <c r="D52" s="16" t="inlineStr">
        <is>
          <t>住所</t>
        </is>
      </c>
      <c r="E52" s="9" t="inlineStr">
        <is>
          <t>VARCHAR</t>
        </is>
      </c>
      <c r="F52" s="9" t="inlineStr">
        <is>
          <t>200</t>
        </is>
      </c>
      <c r="G52" s="9" t="inlineStr"/>
      <c r="H52" s="16" t="inlineStr"/>
      <c r="I52" s="9" t="inlineStr">
        <is>
          <t>Y</t>
        </is>
      </c>
      <c r="J52" s="16" t="inlineStr"/>
      <c r="K52" s="16" t="inlineStr"/>
    </row>
    <row r="53">
      <c r="A53" s="16" t="inlineStr">
        <is>
          <t>m_customer</t>
        </is>
      </c>
      <c r="B53" s="9" t="n">
        <v>10</v>
      </c>
      <c r="C53" s="16" t="inlineStr">
        <is>
          <t>phone</t>
        </is>
      </c>
      <c r="D53" s="16" t="inlineStr">
        <is>
          <t>電話番号</t>
        </is>
      </c>
      <c r="E53" s="9" t="inlineStr">
        <is>
          <t>VARCHAR</t>
        </is>
      </c>
      <c r="F53" s="9" t="inlineStr">
        <is>
          <t>20</t>
        </is>
      </c>
      <c r="G53" s="9" t="inlineStr"/>
      <c r="H53" s="16" t="inlineStr"/>
      <c r="I53" s="9" t="inlineStr"/>
      <c r="J53" s="16" t="inlineStr"/>
      <c r="K53" s="16" t="inlineStr"/>
    </row>
    <row r="54">
      <c r="A54" s="16" t="inlineStr">
        <is>
          <t>m_customer</t>
        </is>
      </c>
      <c r="B54" s="9" t="n">
        <v>11</v>
      </c>
      <c r="C54" s="16" t="inlineStr">
        <is>
          <t>email</t>
        </is>
      </c>
      <c r="D54" s="16" t="inlineStr">
        <is>
          <t>メール</t>
        </is>
      </c>
      <c r="E54" s="9" t="inlineStr">
        <is>
          <t>VARCHAR</t>
        </is>
      </c>
      <c r="F54" s="9" t="inlineStr">
        <is>
          <t>254</t>
        </is>
      </c>
      <c r="G54" s="9" t="inlineStr"/>
      <c r="H54" s="16" t="inlineStr"/>
      <c r="I54" s="9" t="inlineStr"/>
      <c r="J54" s="16" t="inlineStr"/>
      <c r="K54" s="16" t="inlineStr">
        <is>
          <t>回収連絡に使用</t>
        </is>
      </c>
    </row>
    <row r="55">
      <c r="A55" s="16" t="inlineStr">
        <is>
          <t>m_customer</t>
        </is>
      </c>
      <c r="B55" s="9" t="n">
        <v>12</v>
      </c>
      <c r="C55" s="16" t="inlineStr">
        <is>
          <t>credit_limit</t>
        </is>
      </c>
      <c r="D55" s="16" t="inlineStr">
        <is>
          <t>与信限度額（円）</t>
        </is>
      </c>
      <c r="E55" s="9" t="inlineStr">
        <is>
          <t>NUMERIC</t>
        </is>
      </c>
      <c r="F55" s="9" t="inlineStr">
        <is>
          <t>12,0</t>
        </is>
      </c>
      <c r="G55" s="9" t="inlineStr"/>
      <c r="H55" s="16" t="inlineStr"/>
      <c r="I55" s="9" t="inlineStr"/>
      <c r="J55" s="16" t="inlineStr"/>
      <c r="K55" s="16" t="inlineStr">
        <is>
          <t>未設定は無制限</t>
        </is>
      </c>
    </row>
    <row r="56">
      <c r="A56" s="16" t="inlineStr">
        <is>
          <t>m_customer</t>
        </is>
      </c>
      <c r="B56" s="9" t="n">
        <v>13</v>
      </c>
      <c r="C56" s="16" t="inlineStr">
        <is>
          <t>is_active</t>
        </is>
      </c>
      <c r="D56" s="16" t="inlineStr">
        <is>
          <t>有効フラグ</t>
        </is>
      </c>
      <c r="E56" s="9" t="inlineStr">
        <is>
          <t>BOOLEAN</t>
        </is>
      </c>
      <c r="F56" s="9" t="inlineStr"/>
      <c r="G56" s="9" t="inlineStr"/>
      <c r="H56" s="16" t="inlineStr"/>
      <c r="I56" s="9" t="inlineStr">
        <is>
          <t>Y</t>
        </is>
      </c>
      <c r="J56" s="16" t="inlineStr">
        <is>
          <t>true</t>
        </is>
      </c>
      <c r="K56" s="16" t="inlineStr"/>
    </row>
    <row r="57">
      <c r="A57" s="16" t="inlineStr">
        <is>
          <t>m_customer</t>
        </is>
      </c>
      <c r="B57" s="9" t="n">
        <v>14</v>
      </c>
      <c r="C57" s="16" t="inlineStr">
        <is>
          <t>created_at</t>
        </is>
      </c>
      <c r="D57" s="16" t="inlineStr">
        <is>
          <t>作成日時</t>
        </is>
      </c>
      <c r="E57" s="9" t="inlineStr">
        <is>
          <t>TIMESTAMPTZ</t>
        </is>
      </c>
      <c r="F57" s="9" t="inlineStr"/>
      <c r="G57" s="9" t="inlineStr"/>
      <c r="H57" s="16" t="inlineStr"/>
      <c r="I57" s="9" t="inlineStr">
        <is>
          <t>Y</t>
        </is>
      </c>
      <c r="J57" s="16" t="inlineStr">
        <is>
          <t>現在日時</t>
        </is>
      </c>
      <c r="K57" s="16" t="inlineStr"/>
    </row>
    <row r="58">
      <c r="A58" s="16" t="inlineStr">
        <is>
          <t>m_customer</t>
        </is>
      </c>
      <c r="B58" s="9" t="n">
        <v>15</v>
      </c>
      <c r="C58" s="16" t="inlineStr">
        <is>
          <t>created_by</t>
        </is>
      </c>
      <c r="D58" s="16" t="inlineStr">
        <is>
          <t>作成者</t>
        </is>
      </c>
      <c r="E58" s="9" t="inlineStr">
        <is>
          <t>BIGINT</t>
        </is>
      </c>
      <c r="F58" s="9" t="inlineStr"/>
      <c r="G58" s="9" t="inlineStr"/>
      <c r="H58" s="16" t="inlineStr">
        <is>
          <t>m_user.id</t>
        </is>
      </c>
      <c r="I58" s="9" t="inlineStr">
        <is>
          <t>Y</t>
        </is>
      </c>
      <c r="J58" s="16" t="inlineStr"/>
      <c r="K58" s="16" t="inlineStr"/>
    </row>
    <row r="59">
      <c r="A59" s="16" t="inlineStr">
        <is>
          <t>m_customer</t>
        </is>
      </c>
      <c r="B59" s="9" t="n">
        <v>16</v>
      </c>
      <c r="C59" s="16" t="inlineStr">
        <is>
          <t>updated_at</t>
        </is>
      </c>
      <c r="D59" s="16" t="inlineStr">
        <is>
          <t>更新日時</t>
        </is>
      </c>
      <c r="E59" s="9" t="inlineStr">
        <is>
          <t>TIMESTAMPTZ</t>
        </is>
      </c>
      <c r="F59" s="9" t="inlineStr"/>
      <c r="G59" s="9" t="inlineStr"/>
      <c r="H59" s="16" t="inlineStr"/>
      <c r="I59" s="9" t="inlineStr">
        <is>
          <t>Y</t>
        </is>
      </c>
      <c r="J59" s="16" t="inlineStr">
        <is>
          <t>現在日時</t>
        </is>
      </c>
      <c r="K59" s="16" t="inlineStr"/>
    </row>
    <row r="60">
      <c r="A60" s="16" t="inlineStr">
        <is>
          <t>m_customer</t>
        </is>
      </c>
      <c r="B60" s="9" t="n">
        <v>17</v>
      </c>
      <c r="C60" s="16" t="inlineStr">
        <is>
          <t>updated_by</t>
        </is>
      </c>
      <c r="D60" s="16" t="inlineStr">
        <is>
          <t>更新者</t>
        </is>
      </c>
      <c r="E60" s="9" t="inlineStr">
        <is>
          <t>BIGINT</t>
        </is>
      </c>
      <c r="F60" s="9" t="inlineStr"/>
      <c r="G60" s="9" t="inlineStr"/>
      <c r="H60" s="16" t="inlineStr">
        <is>
          <t>m_user.id</t>
        </is>
      </c>
      <c r="I60" s="9" t="inlineStr">
        <is>
          <t>Y</t>
        </is>
      </c>
      <c r="J60" s="16" t="inlineStr"/>
      <c r="K60" s="16" t="inlineStr"/>
    </row>
    <row r="61">
      <c r="A61" s="16" t="inlineStr">
        <is>
          <t>m_customer</t>
        </is>
      </c>
      <c r="B61" s="9" t="n">
        <v>18</v>
      </c>
      <c r="C61" s="16" t="inlineStr">
        <is>
          <t>version</t>
        </is>
      </c>
      <c r="D61" s="16" t="inlineStr">
        <is>
          <t>版数</t>
        </is>
      </c>
      <c r="E61" s="9" t="inlineStr">
        <is>
          <t>INTEGER</t>
        </is>
      </c>
      <c r="F61" s="9" t="inlineStr"/>
      <c r="G61" s="9" t="inlineStr"/>
      <c r="H61" s="16" t="inlineStr"/>
      <c r="I61" s="9" t="inlineStr">
        <is>
          <t>Y</t>
        </is>
      </c>
      <c r="J61" s="16" t="inlineStr">
        <is>
          <t>1</t>
        </is>
      </c>
      <c r="K61" s="16" t="inlineStr">
        <is>
          <t>楽観ロック用</t>
        </is>
      </c>
    </row>
    <row r="62">
      <c r="A62" s="22" t="inlineStr">
        <is>
          <t>m_ship_to</t>
        </is>
      </c>
      <c r="B62" s="23" t="inlineStr">
        <is>
          <t>【納品先】顧客ごとの納品先</t>
        </is>
      </c>
      <c r="C62" s="24" t="n"/>
      <c r="D62" s="24" t="n"/>
      <c r="E62" s="24" t="n"/>
      <c r="F62" s="24" t="n"/>
      <c r="G62" s="24" t="n"/>
      <c r="H62" s="24" t="n"/>
      <c r="I62" s="24" t="n"/>
      <c r="J62" s="24" t="n"/>
      <c r="K62" s="25" t="n"/>
    </row>
    <row r="63">
      <c r="A63" s="16" t="inlineStr">
        <is>
          <t>m_ship_to</t>
        </is>
      </c>
      <c r="B63" s="9" t="n">
        <v>1</v>
      </c>
      <c r="C63" s="16" t="inlineStr">
        <is>
          <t>id</t>
        </is>
      </c>
      <c r="D63" s="16" t="inlineStr">
        <is>
          <t>納品先ID</t>
        </is>
      </c>
      <c r="E63" s="9" t="inlineStr">
        <is>
          <t>BIGINT</t>
        </is>
      </c>
      <c r="F63" s="9" t="inlineStr"/>
      <c r="G63" s="9" t="inlineStr">
        <is>
          <t>Y</t>
        </is>
      </c>
      <c r="H63" s="16" t="inlineStr"/>
      <c r="I63" s="9" t="inlineStr">
        <is>
          <t>Y</t>
        </is>
      </c>
      <c r="J63" s="16" t="inlineStr">
        <is>
          <t>自動採番</t>
        </is>
      </c>
      <c r="K63" s="16" t="inlineStr"/>
    </row>
    <row r="64">
      <c r="A64" s="16" t="inlineStr">
        <is>
          <t>m_ship_to</t>
        </is>
      </c>
      <c r="B64" s="9" t="n">
        <v>2</v>
      </c>
      <c r="C64" s="16" t="inlineStr">
        <is>
          <t>customer_id</t>
        </is>
      </c>
      <c r="D64" s="16" t="inlineStr">
        <is>
          <t>顧客ID</t>
        </is>
      </c>
      <c r="E64" s="9" t="inlineStr">
        <is>
          <t>BIGINT</t>
        </is>
      </c>
      <c r="F64" s="9" t="inlineStr"/>
      <c r="G64" s="9" t="inlineStr"/>
      <c r="H64" s="16" t="inlineStr">
        <is>
          <t>m_customer.id</t>
        </is>
      </c>
      <c r="I64" s="9" t="inlineStr">
        <is>
          <t>Y</t>
        </is>
      </c>
      <c r="J64" s="16" t="inlineStr"/>
      <c r="K64" s="16" t="inlineStr"/>
    </row>
    <row r="65">
      <c r="A65" s="16" t="inlineStr">
        <is>
          <t>m_ship_to</t>
        </is>
      </c>
      <c r="B65" s="9" t="n">
        <v>3</v>
      </c>
      <c r="C65" s="16" t="inlineStr">
        <is>
          <t>name</t>
        </is>
      </c>
      <c r="D65" s="16" t="inlineStr">
        <is>
          <t>納品先名</t>
        </is>
      </c>
      <c r="E65" s="9" t="inlineStr">
        <is>
          <t>VARCHAR</t>
        </is>
      </c>
      <c r="F65" s="9" t="inlineStr">
        <is>
          <t>100</t>
        </is>
      </c>
      <c r="G65" s="9" t="inlineStr"/>
      <c r="H65" s="16" t="inlineStr"/>
      <c r="I65" s="9" t="inlineStr">
        <is>
          <t>Y</t>
        </is>
      </c>
      <c r="J65" s="16" t="inlineStr"/>
      <c r="K65" s="16" t="inlineStr"/>
    </row>
    <row r="66">
      <c r="A66" s="16" t="inlineStr">
        <is>
          <t>m_ship_to</t>
        </is>
      </c>
      <c r="B66" s="9" t="n">
        <v>4</v>
      </c>
      <c r="C66" s="16" t="inlineStr">
        <is>
          <t>postal_code</t>
        </is>
      </c>
      <c r="D66" s="16" t="inlineStr">
        <is>
          <t>郵便番号</t>
        </is>
      </c>
      <c r="E66" s="9" t="inlineStr">
        <is>
          <t>VARCHAR</t>
        </is>
      </c>
      <c r="F66" s="9" t="inlineStr">
        <is>
          <t>8</t>
        </is>
      </c>
      <c r="G66" s="9" t="inlineStr"/>
      <c r="H66" s="16" t="inlineStr"/>
      <c r="I66" s="9" t="inlineStr"/>
      <c r="J66" s="16" t="inlineStr"/>
      <c r="K66" s="16" t="inlineStr"/>
    </row>
    <row r="67">
      <c r="A67" s="16" t="inlineStr">
        <is>
          <t>m_ship_to</t>
        </is>
      </c>
      <c r="B67" s="9" t="n">
        <v>5</v>
      </c>
      <c r="C67" s="16" t="inlineStr">
        <is>
          <t>address</t>
        </is>
      </c>
      <c r="D67" s="16" t="inlineStr">
        <is>
          <t>住所</t>
        </is>
      </c>
      <c r="E67" s="9" t="inlineStr">
        <is>
          <t>VARCHAR</t>
        </is>
      </c>
      <c r="F67" s="9" t="inlineStr">
        <is>
          <t>200</t>
        </is>
      </c>
      <c r="G67" s="9" t="inlineStr"/>
      <c r="H67" s="16" t="inlineStr"/>
      <c r="I67" s="9" t="inlineStr">
        <is>
          <t>Y</t>
        </is>
      </c>
      <c r="J67" s="16" t="inlineStr"/>
      <c r="K67" s="16" t="inlineStr"/>
    </row>
    <row r="68">
      <c r="A68" s="16" t="inlineStr">
        <is>
          <t>m_ship_to</t>
        </is>
      </c>
      <c r="B68" s="9" t="n">
        <v>6</v>
      </c>
      <c r="C68" s="16" t="inlineStr">
        <is>
          <t>phone</t>
        </is>
      </c>
      <c r="D68" s="16" t="inlineStr">
        <is>
          <t>電話番号</t>
        </is>
      </c>
      <c r="E68" s="9" t="inlineStr">
        <is>
          <t>VARCHAR</t>
        </is>
      </c>
      <c r="F68" s="9" t="inlineStr">
        <is>
          <t>20</t>
        </is>
      </c>
      <c r="G68" s="9" t="inlineStr"/>
      <c r="H68" s="16" t="inlineStr"/>
      <c r="I68" s="9" t="inlineStr"/>
      <c r="J68" s="16" t="inlineStr"/>
      <c r="K68" s="16" t="inlineStr"/>
    </row>
    <row r="69">
      <c r="A69" s="16" t="inlineStr">
        <is>
          <t>m_ship_to</t>
        </is>
      </c>
      <c r="B69" s="9" t="n">
        <v>7</v>
      </c>
      <c r="C69" s="16" t="inlineStr">
        <is>
          <t>contact_name</t>
        </is>
      </c>
      <c r="D69" s="16" t="inlineStr">
        <is>
          <t>担当者名</t>
        </is>
      </c>
      <c r="E69" s="9" t="inlineStr">
        <is>
          <t>VARCHAR</t>
        </is>
      </c>
      <c r="F69" s="9" t="inlineStr">
        <is>
          <t>50</t>
        </is>
      </c>
      <c r="G69" s="9" t="inlineStr"/>
      <c r="H69" s="16" t="inlineStr"/>
      <c r="I69" s="9" t="inlineStr"/>
      <c r="J69" s="16" t="inlineStr"/>
      <c r="K69" s="16" t="inlineStr">
        <is>
          <t>現品管理者（回収連絡先）</t>
        </is>
      </c>
    </row>
    <row r="70">
      <c r="A70" s="16" t="inlineStr">
        <is>
          <t>m_ship_to</t>
        </is>
      </c>
      <c r="B70" s="9" t="n">
        <v>8</v>
      </c>
      <c r="C70" s="16" t="inlineStr">
        <is>
          <t>email</t>
        </is>
      </c>
      <c r="D70" s="16" t="inlineStr">
        <is>
          <t>メール</t>
        </is>
      </c>
      <c r="E70" s="9" t="inlineStr">
        <is>
          <t>VARCHAR</t>
        </is>
      </c>
      <c r="F70" s="9" t="inlineStr">
        <is>
          <t>254</t>
        </is>
      </c>
      <c r="G70" s="9" t="inlineStr"/>
      <c r="H70" s="16" t="inlineStr"/>
      <c r="I70" s="9" t="inlineStr"/>
      <c r="J70" s="16" t="inlineStr"/>
      <c r="K70" s="16" t="inlineStr">
        <is>
          <t>回収連絡に使用</t>
        </is>
      </c>
    </row>
    <row r="71">
      <c r="A71" s="16" t="inlineStr">
        <is>
          <t>m_ship_to</t>
        </is>
      </c>
      <c r="B71" s="9" t="n">
        <v>9</v>
      </c>
      <c r="C71" s="16" t="inlineStr">
        <is>
          <t>is_default</t>
        </is>
      </c>
      <c r="D71" s="16" t="inlineStr">
        <is>
          <t>既定フラグ</t>
        </is>
      </c>
      <c r="E71" s="9" t="inlineStr">
        <is>
          <t>BOOLEAN</t>
        </is>
      </c>
      <c r="F71" s="9" t="inlineStr"/>
      <c r="G71" s="9" t="inlineStr"/>
      <c r="H71" s="16" t="inlineStr"/>
      <c r="I71" s="9" t="inlineStr">
        <is>
          <t>Y</t>
        </is>
      </c>
      <c r="J71" s="16" t="inlineStr">
        <is>
          <t>false</t>
        </is>
      </c>
      <c r="K71" s="16" t="inlineStr">
        <is>
          <t>顧客ごとに1件</t>
        </is>
      </c>
    </row>
    <row r="72">
      <c r="A72" s="16" t="inlineStr">
        <is>
          <t>m_ship_to</t>
        </is>
      </c>
      <c r="B72" s="9" t="n">
        <v>10</v>
      </c>
      <c r="C72" s="16" t="inlineStr">
        <is>
          <t>is_active</t>
        </is>
      </c>
      <c r="D72" s="16" t="inlineStr">
        <is>
          <t>有効フラグ</t>
        </is>
      </c>
      <c r="E72" s="9" t="inlineStr">
        <is>
          <t>BOOLEAN</t>
        </is>
      </c>
      <c r="F72" s="9" t="inlineStr"/>
      <c r="G72" s="9" t="inlineStr"/>
      <c r="H72" s="16" t="inlineStr"/>
      <c r="I72" s="9" t="inlineStr">
        <is>
          <t>Y</t>
        </is>
      </c>
      <c r="J72" s="16" t="inlineStr">
        <is>
          <t>true</t>
        </is>
      </c>
      <c r="K72" s="16" t="inlineStr"/>
    </row>
    <row r="73">
      <c r="A73" s="16" t="inlineStr">
        <is>
          <t>m_ship_to</t>
        </is>
      </c>
      <c r="B73" s="9" t="n">
        <v>11</v>
      </c>
      <c r="C73" s="16" t="inlineStr">
        <is>
          <t>created_at</t>
        </is>
      </c>
      <c r="D73" s="16" t="inlineStr">
        <is>
          <t>作成日時</t>
        </is>
      </c>
      <c r="E73" s="9" t="inlineStr">
        <is>
          <t>TIMESTAMPTZ</t>
        </is>
      </c>
      <c r="F73" s="9" t="inlineStr"/>
      <c r="G73" s="9" t="inlineStr"/>
      <c r="H73" s="16" t="inlineStr"/>
      <c r="I73" s="9" t="inlineStr">
        <is>
          <t>Y</t>
        </is>
      </c>
      <c r="J73" s="16" t="inlineStr">
        <is>
          <t>現在日時</t>
        </is>
      </c>
      <c r="K73" s="16" t="inlineStr"/>
    </row>
    <row r="74">
      <c r="A74" s="16" t="inlineStr">
        <is>
          <t>m_ship_to</t>
        </is>
      </c>
      <c r="B74" s="9" t="n">
        <v>12</v>
      </c>
      <c r="C74" s="16" t="inlineStr">
        <is>
          <t>created_by</t>
        </is>
      </c>
      <c r="D74" s="16" t="inlineStr">
        <is>
          <t>作成者</t>
        </is>
      </c>
      <c r="E74" s="9" t="inlineStr">
        <is>
          <t>BIGINT</t>
        </is>
      </c>
      <c r="F74" s="9" t="inlineStr"/>
      <c r="G74" s="9" t="inlineStr"/>
      <c r="H74" s="16" t="inlineStr">
        <is>
          <t>m_user.id</t>
        </is>
      </c>
      <c r="I74" s="9" t="inlineStr">
        <is>
          <t>Y</t>
        </is>
      </c>
      <c r="J74" s="16" t="inlineStr"/>
      <c r="K74" s="16" t="inlineStr"/>
    </row>
    <row r="75">
      <c r="A75" s="16" t="inlineStr">
        <is>
          <t>m_ship_to</t>
        </is>
      </c>
      <c r="B75" s="9" t="n">
        <v>13</v>
      </c>
      <c r="C75" s="16" t="inlineStr">
        <is>
          <t>updated_at</t>
        </is>
      </c>
      <c r="D75" s="16" t="inlineStr">
        <is>
          <t>更新日時</t>
        </is>
      </c>
      <c r="E75" s="9" t="inlineStr">
        <is>
          <t>TIMESTAMPTZ</t>
        </is>
      </c>
      <c r="F75" s="9" t="inlineStr"/>
      <c r="G75" s="9" t="inlineStr"/>
      <c r="H75" s="16" t="inlineStr"/>
      <c r="I75" s="9" t="inlineStr">
        <is>
          <t>Y</t>
        </is>
      </c>
      <c r="J75" s="16" t="inlineStr">
        <is>
          <t>現在日時</t>
        </is>
      </c>
      <c r="K75" s="16" t="inlineStr"/>
    </row>
    <row r="76">
      <c r="A76" s="16" t="inlineStr">
        <is>
          <t>m_ship_to</t>
        </is>
      </c>
      <c r="B76" s="9" t="n">
        <v>14</v>
      </c>
      <c r="C76" s="16" t="inlineStr">
        <is>
          <t>updated_by</t>
        </is>
      </c>
      <c r="D76" s="16" t="inlineStr">
        <is>
          <t>更新者</t>
        </is>
      </c>
      <c r="E76" s="9" t="inlineStr">
        <is>
          <t>BIGINT</t>
        </is>
      </c>
      <c r="F76" s="9" t="inlineStr"/>
      <c r="G76" s="9" t="inlineStr"/>
      <c r="H76" s="16" t="inlineStr">
        <is>
          <t>m_user.id</t>
        </is>
      </c>
      <c r="I76" s="9" t="inlineStr">
        <is>
          <t>Y</t>
        </is>
      </c>
      <c r="J76" s="16" t="inlineStr"/>
      <c r="K76" s="16" t="inlineStr"/>
    </row>
    <row r="77">
      <c r="A77" s="16" t="inlineStr">
        <is>
          <t>m_ship_to</t>
        </is>
      </c>
      <c r="B77" s="9" t="n">
        <v>15</v>
      </c>
      <c r="C77" s="16" t="inlineStr">
        <is>
          <t>version</t>
        </is>
      </c>
      <c r="D77" s="16" t="inlineStr">
        <is>
          <t>版数</t>
        </is>
      </c>
      <c r="E77" s="9" t="inlineStr">
        <is>
          <t>INTEGER</t>
        </is>
      </c>
      <c r="F77" s="9" t="inlineStr"/>
      <c r="G77" s="9" t="inlineStr"/>
      <c r="H77" s="16" t="inlineStr"/>
      <c r="I77" s="9" t="inlineStr">
        <is>
          <t>Y</t>
        </is>
      </c>
      <c r="J77" s="16" t="inlineStr">
        <is>
          <t>1</t>
        </is>
      </c>
      <c r="K77" s="16" t="inlineStr">
        <is>
          <t>楽観ロック用</t>
        </is>
      </c>
    </row>
    <row r="78">
      <c r="A78" s="22" t="inlineStr">
        <is>
          <t>m_location</t>
        </is>
      </c>
      <c r="B78" s="23" t="inlineStr">
        <is>
          <t>【保管場所】倉庫・冷凍庫・冷蔵庫等</t>
        </is>
      </c>
      <c r="C78" s="24" t="n"/>
      <c r="D78" s="24" t="n"/>
      <c r="E78" s="24" t="n"/>
      <c r="F78" s="24" t="n"/>
      <c r="G78" s="24" t="n"/>
      <c r="H78" s="24" t="n"/>
      <c r="I78" s="24" t="n"/>
      <c r="J78" s="24" t="n"/>
      <c r="K78" s="25" t="n"/>
    </row>
    <row r="79">
      <c r="A79" s="16" t="inlineStr">
        <is>
          <t>m_location</t>
        </is>
      </c>
      <c r="B79" s="9" t="n">
        <v>1</v>
      </c>
      <c r="C79" s="16" t="inlineStr">
        <is>
          <t>id</t>
        </is>
      </c>
      <c r="D79" s="16" t="inlineStr">
        <is>
          <t>保管場所ID</t>
        </is>
      </c>
      <c r="E79" s="9" t="inlineStr">
        <is>
          <t>BIGINT</t>
        </is>
      </c>
      <c r="F79" s="9" t="inlineStr"/>
      <c r="G79" s="9" t="inlineStr">
        <is>
          <t>Y</t>
        </is>
      </c>
      <c r="H79" s="16" t="inlineStr"/>
      <c r="I79" s="9" t="inlineStr">
        <is>
          <t>Y</t>
        </is>
      </c>
      <c r="J79" s="16" t="inlineStr">
        <is>
          <t>自動採番</t>
        </is>
      </c>
      <c r="K79" s="16" t="inlineStr"/>
    </row>
    <row r="80">
      <c r="A80" s="16" t="inlineStr">
        <is>
          <t>m_location</t>
        </is>
      </c>
      <c r="B80" s="9" t="n">
        <v>2</v>
      </c>
      <c r="C80" s="16" t="inlineStr">
        <is>
          <t>location_code</t>
        </is>
      </c>
      <c r="D80" s="16" t="inlineStr">
        <is>
          <t>保管場所コード</t>
        </is>
      </c>
      <c r="E80" s="9" t="inlineStr">
        <is>
          <t>VARCHAR</t>
        </is>
      </c>
      <c r="F80" s="9" t="inlineStr">
        <is>
          <t>20</t>
        </is>
      </c>
      <c r="G80" s="9" t="inlineStr"/>
      <c r="H80" s="16" t="inlineStr"/>
      <c r="I80" s="9" t="inlineStr">
        <is>
          <t>Y</t>
        </is>
      </c>
      <c r="J80" s="16" t="inlineStr"/>
      <c r="K80" s="16" t="inlineStr">
        <is>
          <t>一意</t>
        </is>
      </c>
    </row>
    <row r="81">
      <c r="A81" s="16" t="inlineStr">
        <is>
          <t>m_location</t>
        </is>
      </c>
      <c r="B81" s="9" t="n">
        <v>3</v>
      </c>
      <c r="C81" s="16" t="inlineStr">
        <is>
          <t>name</t>
        </is>
      </c>
      <c r="D81" s="16" t="inlineStr">
        <is>
          <t>保管場所名</t>
        </is>
      </c>
      <c r="E81" s="9" t="inlineStr">
        <is>
          <t>VARCHAR</t>
        </is>
      </c>
      <c r="F81" s="9" t="inlineStr">
        <is>
          <t>50</t>
        </is>
      </c>
      <c r="G81" s="9" t="inlineStr"/>
      <c r="H81" s="16" t="inlineStr"/>
      <c r="I81" s="9" t="inlineStr">
        <is>
          <t>Y</t>
        </is>
      </c>
      <c r="J81" s="16" t="inlineStr"/>
      <c r="K81" s="16" t="inlineStr">
        <is>
          <t>例：本社 -80℃冷凍庫#1</t>
        </is>
      </c>
    </row>
    <row r="82">
      <c r="A82" s="16" t="inlineStr">
        <is>
          <t>m_location</t>
        </is>
      </c>
      <c r="B82" s="9" t="n">
        <v>4</v>
      </c>
      <c r="C82" s="16" t="inlineStr">
        <is>
          <t>storage_class</t>
        </is>
      </c>
      <c r="D82" s="16" t="inlineStr">
        <is>
          <t>保管温度区分</t>
        </is>
      </c>
      <c r="E82" s="9" t="inlineStr">
        <is>
          <t>VARCHAR</t>
        </is>
      </c>
      <c r="F82" s="9" t="inlineStr">
        <is>
          <t>10</t>
        </is>
      </c>
      <c r="G82" s="9" t="inlineStr"/>
      <c r="H82" s="16" t="inlineStr"/>
      <c r="I82" s="9" t="inlineStr">
        <is>
          <t>Y</t>
        </is>
      </c>
      <c r="J82" s="16" t="inlineStr"/>
      <c r="K82" s="16" t="inlineStr">
        <is>
          <t>商品の保管温度区分と一致する場所のみ入庫可</t>
        </is>
      </c>
    </row>
    <row r="83">
      <c r="A83" s="16" t="inlineStr">
        <is>
          <t>m_location</t>
        </is>
      </c>
      <c r="B83" s="9" t="n">
        <v>5</v>
      </c>
      <c r="C83" s="16" t="inlineStr">
        <is>
          <t>temp_min</t>
        </is>
      </c>
      <c r="D83" s="16" t="inlineStr">
        <is>
          <t>許容温度下限（℃）</t>
        </is>
      </c>
      <c r="E83" s="9" t="inlineStr">
        <is>
          <t>NUMERIC</t>
        </is>
      </c>
      <c r="F83" s="9" t="inlineStr">
        <is>
          <t>5,1</t>
        </is>
      </c>
      <c r="G83" s="9" t="inlineStr"/>
      <c r="H83" s="16" t="inlineStr"/>
      <c r="I83" s="9" t="inlineStr">
        <is>
          <t>Y</t>
        </is>
      </c>
      <c r="J83" s="16" t="inlineStr"/>
      <c r="K83" s="16" t="inlineStr"/>
    </row>
    <row r="84">
      <c r="A84" s="16" t="inlineStr">
        <is>
          <t>m_location</t>
        </is>
      </c>
      <c r="B84" s="9" t="n">
        <v>6</v>
      </c>
      <c r="C84" s="16" t="inlineStr">
        <is>
          <t>temp_max</t>
        </is>
      </c>
      <c r="D84" s="16" t="inlineStr">
        <is>
          <t>許容温度上限（℃）</t>
        </is>
      </c>
      <c r="E84" s="9" t="inlineStr">
        <is>
          <t>NUMERIC</t>
        </is>
      </c>
      <c r="F84" s="9" t="inlineStr">
        <is>
          <t>5,1</t>
        </is>
      </c>
      <c r="G84" s="9" t="inlineStr"/>
      <c r="H84" s="16" t="inlineStr"/>
      <c r="I84" s="9" t="inlineStr">
        <is>
          <t>Y</t>
        </is>
      </c>
      <c r="J84" s="16" t="inlineStr"/>
      <c r="K84" s="16" t="inlineStr"/>
    </row>
    <row r="85">
      <c r="A85" s="16" t="inlineStr">
        <is>
          <t>m_location</t>
        </is>
      </c>
      <c r="B85" s="9" t="n">
        <v>7</v>
      </c>
      <c r="C85" s="16" t="inlineStr">
        <is>
          <t>is_quarantine</t>
        </is>
      </c>
      <c r="D85" s="16" t="inlineStr">
        <is>
          <t>隔離保管フラグ</t>
        </is>
      </c>
      <c r="E85" s="9" t="inlineStr">
        <is>
          <t>BOOLEAN</t>
        </is>
      </c>
      <c r="F85" s="9" t="inlineStr"/>
      <c r="G85" s="9" t="inlineStr"/>
      <c r="H85" s="16" t="inlineStr"/>
      <c r="I85" s="9" t="inlineStr">
        <is>
          <t>Y</t>
        </is>
      </c>
      <c r="J85" s="16" t="inlineStr">
        <is>
          <t>false</t>
        </is>
      </c>
      <c r="K85" s="16" t="inlineStr">
        <is>
          <t>返品・保留品の一時保管場所。引当・通常入荷の対象外</t>
        </is>
      </c>
    </row>
    <row r="86">
      <c r="A86" s="16" t="inlineStr">
        <is>
          <t>m_location</t>
        </is>
      </c>
      <c r="B86" s="9" t="n">
        <v>8</v>
      </c>
      <c r="C86" s="16" t="inlineStr">
        <is>
          <t>is_active</t>
        </is>
      </c>
      <c r="D86" s="16" t="inlineStr">
        <is>
          <t>有効フラグ</t>
        </is>
      </c>
      <c r="E86" s="9" t="inlineStr">
        <is>
          <t>BOOLEAN</t>
        </is>
      </c>
      <c r="F86" s="9" t="inlineStr"/>
      <c r="G86" s="9" t="inlineStr"/>
      <c r="H86" s="16" t="inlineStr"/>
      <c r="I86" s="9" t="inlineStr">
        <is>
          <t>Y</t>
        </is>
      </c>
      <c r="J86" s="16" t="inlineStr">
        <is>
          <t>true</t>
        </is>
      </c>
      <c r="K86" s="16" t="inlineStr"/>
    </row>
    <row r="87">
      <c r="A87" s="16" t="inlineStr">
        <is>
          <t>m_location</t>
        </is>
      </c>
      <c r="B87" s="9" t="n">
        <v>9</v>
      </c>
      <c r="C87" s="16" t="inlineStr">
        <is>
          <t>created_at</t>
        </is>
      </c>
      <c r="D87" s="16" t="inlineStr">
        <is>
          <t>作成日時</t>
        </is>
      </c>
      <c r="E87" s="9" t="inlineStr">
        <is>
          <t>TIMESTAMPTZ</t>
        </is>
      </c>
      <c r="F87" s="9" t="inlineStr"/>
      <c r="G87" s="9" t="inlineStr"/>
      <c r="H87" s="16" t="inlineStr"/>
      <c r="I87" s="9" t="inlineStr">
        <is>
          <t>Y</t>
        </is>
      </c>
      <c r="J87" s="16" t="inlineStr">
        <is>
          <t>現在日時</t>
        </is>
      </c>
      <c r="K87" s="16" t="inlineStr"/>
    </row>
    <row r="88">
      <c r="A88" s="16" t="inlineStr">
        <is>
          <t>m_location</t>
        </is>
      </c>
      <c r="B88" s="9" t="n">
        <v>10</v>
      </c>
      <c r="C88" s="16" t="inlineStr">
        <is>
          <t>created_by</t>
        </is>
      </c>
      <c r="D88" s="16" t="inlineStr">
        <is>
          <t>作成者</t>
        </is>
      </c>
      <c r="E88" s="9" t="inlineStr">
        <is>
          <t>BIGINT</t>
        </is>
      </c>
      <c r="F88" s="9" t="inlineStr"/>
      <c r="G88" s="9" t="inlineStr"/>
      <c r="H88" s="16" t="inlineStr">
        <is>
          <t>m_user.id</t>
        </is>
      </c>
      <c r="I88" s="9" t="inlineStr">
        <is>
          <t>Y</t>
        </is>
      </c>
      <c r="J88" s="16" t="inlineStr"/>
      <c r="K88" s="16" t="inlineStr"/>
    </row>
    <row r="89">
      <c r="A89" s="16" t="inlineStr">
        <is>
          <t>m_location</t>
        </is>
      </c>
      <c r="B89" s="9" t="n">
        <v>11</v>
      </c>
      <c r="C89" s="16" t="inlineStr">
        <is>
          <t>updated_at</t>
        </is>
      </c>
      <c r="D89" s="16" t="inlineStr">
        <is>
          <t>更新日時</t>
        </is>
      </c>
      <c r="E89" s="9" t="inlineStr">
        <is>
          <t>TIMESTAMPTZ</t>
        </is>
      </c>
      <c r="F89" s="9" t="inlineStr"/>
      <c r="G89" s="9" t="inlineStr"/>
      <c r="H89" s="16" t="inlineStr"/>
      <c r="I89" s="9" t="inlineStr">
        <is>
          <t>Y</t>
        </is>
      </c>
      <c r="J89" s="16" t="inlineStr">
        <is>
          <t>現在日時</t>
        </is>
      </c>
      <c r="K89" s="16" t="inlineStr"/>
    </row>
    <row r="90">
      <c r="A90" s="16" t="inlineStr">
        <is>
          <t>m_location</t>
        </is>
      </c>
      <c r="B90" s="9" t="n">
        <v>12</v>
      </c>
      <c r="C90" s="16" t="inlineStr">
        <is>
          <t>updated_by</t>
        </is>
      </c>
      <c r="D90" s="16" t="inlineStr">
        <is>
          <t>更新者</t>
        </is>
      </c>
      <c r="E90" s="9" t="inlineStr">
        <is>
          <t>BIGINT</t>
        </is>
      </c>
      <c r="F90" s="9" t="inlineStr"/>
      <c r="G90" s="9" t="inlineStr"/>
      <c r="H90" s="16" t="inlineStr">
        <is>
          <t>m_user.id</t>
        </is>
      </c>
      <c r="I90" s="9" t="inlineStr">
        <is>
          <t>Y</t>
        </is>
      </c>
      <c r="J90" s="16" t="inlineStr"/>
      <c r="K90" s="16" t="inlineStr"/>
    </row>
    <row r="91">
      <c r="A91" s="16" t="inlineStr">
        <is>
          <t>m_location</t>
        </is>
      </c>
      <c r="B91" s="9" t="n">
        <v>13</v>
      </c>
      <c r="C91" s="16" t="inlineStr">
        <is>
          <t>version</t>
        </is>
      </c>
      <c r="D91" s="16" t="inlineStr">
        <is>
          <t>版数</t>
        </is>
      </c>
      <c r="E91" s="9" t="inlineStr">
        <is>
          <t>INTEGER</t>
        </is>
      </c>
      <c r="F91" s="9" t="inlineStr"/>
      <c r="G91" s="9" t="inlineStr"/>
      <c r="H91" s="16" t="inlineStr"/>
      <c r="I91" s="9" t="inlineStr">
        <is>
          <t>Y</t>
        </is>
      </c>
      <c r="J91" s="16" t="inlineStr">
        <is>
          <t>1</t>
        </is>
      </c>
      <c r="K91" s="16" t="inlineStr">
        <is>
          <t>楽観ロック用</t>
        </is>
      </c>
    </row>
    <row r="92">
      <c r="A92" s="22" t="inlineStr">
        <is>
          <t>m_sales_rule</t>
        </is>
      </c>
      <c r="B92" s="23" t="inlineStr">
        <is>
          <t>【販売可否ルール】規制区分×顧客区分の販売可否</t>
        </is>
      </c>
      <c r="C92" s="24" t="n"/>
      <c r="D92" s="24" t="n"/>
      <c r="E92" s="24" t="n"/>
      <c r="F92" s="24" t="n"/>
      <c r="G92" s="24" t="n"/>
      <c r="H92" s="24" t="n"/>
      <c r="I92" s="24" t="n"/>
      <c r="J92" s="24" t="n"/>
      <c r="K92" s="25" t="n"/>
    </row>
    <row r="93">
      <c r="A93" s="16" t="inlineStr">
        <is>
          <t>m_sales_rule</t>
        </is>
      </c>
      <c r="B93" s="9" t="n">
        <v>1</v>
      </c>
      <c r="C93" s="16" t="inlineStr">
        <is>
          <t>id</t>
        </is>
      </c>
      <c r="D93" s="16" t="inlineStr">
        <is>
          <t>ルールID</t>
        </is>
      </c>
      <c r="E93" s="9" t="inlineStr">
        <is>
          <t>BIGINT</t>
        </is>
      </c>
      <c r="F93" s="9" t="inlineStr"/>
      <c r="G93" s="9" t="inlineStr">
        <is>
          <t>Y</t>
        </is>
      </c>
      <c r="H93" s="16" t="inlineStr"/>
      <c r="I93" s="9" t="inlineStr">
        <is>
          <t>Y</t>
        </is>
      </c>
      <c r="J93" s="16" t="inlineStr">
        <is>
          <t>自動採番</t>
        </is>
      </c>
      <c r="K93" s="16" t="inlineStr"/>
    </row>
    <row r="94">
      <c r="A94" s="16" t="inlineStr">
        <is>
          <t>m_sales_rule</t>
        </is>
      </c>
      <c r="B94" s="9" t="n">
        <v>2</v>
      </c>
      <c r="C94" s="16" t="inlineStr">
        <is>
          <t>regulatory_class</t>
        </is>
      </c>
      <c r="D94" s="16" t="inlineStr">
        <is>
          <t>規制区分</t>
        </is>
      </c>
      <c r="E94" s="9" t="inlineStr">
        <is>
          <t>VARCHAR</t>
        </is>
      </c>
      <c r="F94" s="9" t="inlineStr">
        <is>
          <t>20</t>
        </is>
      </c>
      <c r="G94" s="9" t="inlineStr"/>
      <c r="H94" s="16" t="inlineStr"/>
      <c r="I94" s="9" t="inlineStr">
        <is>
          <t>Y</t>
        </is>
      </c>
      <c r="J94" s="16" t="inlineStr"/>
      <c r="K94" s="16" t="inlineStr">
        <is>
          <t>m_product.regulatory_class と同じコード値</t>
        </is>
      </c>
    </row>
    <row r="95">
      <c r="A95" s="16" t="inlineStr">
        <is>
          <t>m_sales_rule</t>
        </is>
      </c>
      <c r="B95" s="9" t="n">
        <v>3</v>
      </c>
      <c r="C95" s="16" t="inlineStr">
        <is>
          <t>customer_type</t>
        </is>
      </c>
      <c r="D95" s="16" t="inlineStr">
        <is>
          <t>顧客区分</t>
        </is>
      </c>
      <c r="E95" s="9" t="inlineStr">
        <is>
          <t>VARCHAR</t>
        </is>
      </c>
      <c r="F95" s="9" t="inlineStr">
        <is>
          <t>20</t>
        </is>
      </c>
      <c r="G95" s="9" t="inlineStr"/>
      <c r="H95" s="16" t="inlineStr"/>
      <c r="I95" s="9" t="inlineStr">
        <is>
          <t>Y</t>
        </is>
      </c>
      <c r="J95" s="16" t="inlineStr"/>
      <c r="K95" s="16" t="inlineStr">
        <is>
          <t>m_customer.customer_type と同じコード値</t>
        </is>
      </c>
    </row>
    <row r="96">
      <c r="A96" s="16" t="inlineStr">
        <is>
          <t>m_sales_rule</t>
        </is>
      </c>
      <c r="B96" s="9" t="n">
        <v>4</v>
      </c>
      <c r="C96" s="16" t="inlineStr">
        <is>
          <t>allowed</t>
        </is>
      </c>
      <c r="D96" s="16" t="inlineStr">
        <is>
          <t>販売可否</t>
        </is>
      </c>
      <c r="E96" s="9" t="inlineStr">
        <is>
          <t>BOOLEAN</t>
        </is>
      </c>
      <c r="F96" s="9" t="inlineStr"/>
      <c r="G96" s="9" t="inlineStr"/>
      <c r="H96" s="16" t="inlineStr"/>
      <c r="I96" s="9" t="inlineStr">
        <is>
          <t>Y</t>
        </is>
      </c>
      <c r="J96" s="16" t="inlineStr">
        <is>
          <t>false</t>
        </is>
      </c>
      <c r="K96" s="16" t="inlineStr">
        <is>
          <t>(規制区分,顧客区分)で一意。未登録は販売不可</t>
        </is>
      </c>
    </row>
    <row r="97">
      <c r="A97" s="16" t="inlineStr">
        <is>
          <t>m_sales_rule</t>
        </is>
      </c>
      <c r="B97" s="9" t="n">
        <v>5</v>
      </c>
      <c r="C97" s="16" t="inlineStr">
        <is>
          <t>created_at</t>
        </is>
      </c>
      <c r="D97" s="16" t="inlineStr">
        <is>
          <t>作成日時</t>
        </is>
      </c>
      <c r="E97" s="9" t="inlineStr">
        <is>
          <t>TIMESTAMPTZ</t>
        </is>
      </c>
      <c r="F97" s="9" t="inlineStr"/>
      <c r="G97" s="9" t="inlineStr"/>
      <c r="H97" s="16" t="inlineStr"/>
      <c r="I97" s="9" t="inlineStr">
        <is>
          <t>Y</t>
        </is>
      </c>
      <c r="J97" s="16" t="inlineStr">
        <is>
          <t>現在日時</t>
        </is>
      </c>
      <c r="K97" s="16" t="inlineStr"/>
    </row>
    <row r="98">
      <c r="A98" s="16" t="inlineStr">
        <is>
          <t>m_sales_rule</t>
        </is>
      </c>
      <c r="B98" s="9" t="n">
        <v>6</v>
      </c>
      <c r="C98" s="16" t="inlineStr">
        <is>
          <t>created_by</t>
        </is>
      </c>
      <c r="D98" s="16" t="inlineStr">
        <is>
          <t>作成者</t>
        </is>
      </c>
      <c r="E98" s="9" t="inlineStr">
        <is>
          <t>BIGINT</t>
        </is>
      </c>
      <c r="F98" s="9" t="inlineStr"/>
      <c r="G98" s="9" t="inlineStr"/>
      <c r="H98" s="16" t="inlineStr">
        <is>
          <t>m_user.id</t>
        </is>
      </c>
      <c r="I98" s="9" t="inlineStr">
        <is>
          <t>Y</t>
        </is>
      </c>
      <c r="J98" s="16" t="inlineStr"/>
      <c r="K98" s="16" t="inlineStr"/>
    </row>
    <row r="99">
      <c r="A99" s="16" t="inlineStr">
        <is>
          <t>m_sales_rule</t>
        </is>
      </c>
      <c r="B99" s="9" t="n">
        <v>7</v>
      </c>
      <c r="C99" s="16" t="inlineStr">
        <is>
          <t>updated_at</t>
        </is>
      </c>
      <c r="D99" s="16" t="inlineStr">
        <is>
          <t>更新日時</t>
        </is>
      </c>
      <c r="E99" s="9" t="inlineStr">
        <is>
          <t>TIMESTAMPTZ</t>
        </is>
      </c>
      <c r="F99" s="9" t="inlineStr"/>
      <c r="G99" s="9" t="inlineStr"/>
      <c r="H99" s="16" t="inlineStr"/>
      <c r="I99" s="9" t="inlineStr">
        <is>
          <t>Y</t>
        </is>
      </c>
      <c r="J99" s="16" t="inlineStr">
        <is>
          <t>現在日時</t>
        </is>
      </c>
      <c r="K99" s="16" t="inlineStr"/>
    </row>
    <row r="100">
      <c r="A100" s="16" t="inlineStr">
        <is>
          <t>m_sales_rule</t>
        </is>
      </c>
      <c r="B100" s="9" t="n">
        <v>8</v>
      </c>
      <c r="C100" s="16" t="inlineStr">
        <is>
          <t>updated_by</t>
        </is>
      </c>
      <c r="D100" s="16" t="inlineStr">
        <is>
          <t>更新者</t>
        </is>
      </c>
      <c r="E100" s="9" t="inlineStr">
        <is>
          <t>BIGINT</t>
        </is>
      </c>
      <c r="F100" s="9" t="inlineStr"/>
      <c r="G100" s="9" t="inlineStr"/>
      <c r="H100" s="16" t="inlineStr">
        <is>
          <t>m_user.id</t>
        </is>
      </c>
      <c r="I100" s="9" t="inlineStr">
        <is>
          <t>Y</t>
        </is>
      </c>
      <c r="J100" s="16" t="inlineStr"/>
      <c r="K100" s="16" t="inlineStr"/>
    </row>
    <row r="101">
      <c r="A101" s="16" t="inlineStr">
        <is>
          <t>m_sales_rule</t>
        </is>
      </c>
      <c r="B101" s="9" t="n">
        <v>9</v>
      </c>
      <c r="C101" s="16" t="inlineStr">
        <is>
          <t>version</t>
        </is>
      </c>
      <c r="D101" s="16" t="inlineStr">
        <is>
          <t>版数</t>
        </is>
      </c>
      <c r="E101" s="9" t="inlineStr">
        <is>
          <t>INTEGER</t>
        </is>
      </c>
      <c r="F101" s="9" t="inlineStr"/>
      <c r="G101" s="9" t="inlineStr"/>
      <c r="H101" s="16" t="inlineStr"/>
      <c r="I101" s="9" t="inlineStr">
        <is>
          <t>Y</t>
        </is>
      </c>
      <c r="J101" s="16" t="inlineStr">
        <is>
          <t>1</t>
        </is>
      </c>
      <c r="K101" s="16" t="inlineStr">
        <is>
          <t>楽観ロック用</t>
        </is>
      </c>
    </row>
    <row r="102">
      <c r="A102" s="22" t="inlineStr">
        <is>
          <t>m_user</t>
        </is>
      </c>
      <c r="B102" s="23" t="inlineStr">
        <is>
          <t>【ユーザー】システム利用者</t>
        </is>
      </c>
      <c r="C102" s="24" t="n"/>
      <c r="D102" s="24" t="n"/>
      <c r="E102" s="24" t="n"/>
      <c r="F102" s="24" t="n"/>
      <c r="G102" s="24" t="n"/>
      <c r="H102" s="24" t="n"/>
      <c r="I102" s="24" t="n"/>
      <c r="J102" s="24" t="n"/>
      <c r="K102" s="25" t="n"/>
    </row>
    <row r="103">
      <c r="A103" s="16" t="inlineStr">
        <is>
          <t>m_user</t>
        </is>
      </c>
      <c r="B103" s="9" t="n">
        <v>1</v>
      </c>
      <c r="C103" s="16" t="inlineStr">
        <is>
          <t>id</t>
        </is>
      </c>
      <c r="D103" s="16" t="inlineStr">
        <is>
          <t>ユーザーID</t>
        </is>
      </c>
      <c r="E103" s="9" t="inlineStr">
        <is>
          <t>BIGINT</t>
        </is>
      </c>
      <c r="F103" s="9" t="inlineStr"/>
      <c r="G103" s="9" t="inlineStr">
        <is>
          <t>Y</t>
        </is>
      </c>
      <c r="H103" s="16" t="inlineStr"/>
      <c r="I103" s="9" t="inlineStr">
        <is>
          <t>Y</t>
        </is>
      </c>
      <c r="J103" s="16" t="inlineStr">
        <is>
          <t>自動採番</t>
        </is>
      </c>
      <c r="K103" s="16" t="inlineStr"/>
    </row>
    <row r="104">
      <c r="A104" s="16" t="inlineStr">
        <is>
          <t>m_user</t>
        </is>
      </c>
      <c r="B104" s="9" t="n">
        <v>2</v>
      </c>
      <c r="C104" s="16" t="inlineStr">
        <is>
          <t>email</t>
        </is>
      </c>
      <c r="D104" s="16" t="inlineStr">
        <is>
          <t>メール（ログインID）</t>
        </is>
      </c>
      <c r="E104" s="9" t="inlineStr">
        <is>
          <t>VARCHAR</t>
        </is>
      </c>
      <c r="F104" s="9" t="inlineStr">
        <is>
          <t>254</t>
        </is>
      </c>
      <c r="G104" s="9" t="inlineStr"/>
      <c r="H104" s="16" t="inlineStr"/>
      <c r="I104" s="9" t="inlineStr">
        <is>
          <t>Y</t>
        </is>
      </c>
      <c r="J104" s="16" t="inlineStr"/>
      <c r="K104" s="16" t="inlineStr">
        <is>
          <t>一意</t>
        </is>
      </c>
    </row>
    <row r="105">
      <c r="A105" s="16" t="inlineStr">
        <is>
          <t>m_user</t>
        </is>
      </c>
      <c r="B105" s="9" t="n">
        <v>3</v>
      </c>
      <c r="C105" s="16" t="inlineStr">
        <is>
          <t>name</t>
        </is>
      </c>
      <c r="D105" s="16" t="inlineStr">
        <is>
          <t>氏名</t>
        </is>
      </c>
      <c r="E105" s="9" t="inlineStr">
        <is>
          <t>VARCHAR</t>
        </is>
      </c>
      <c r="F105" s="9" t="inlineStr">
        <is>
          <t>50</t>
        </is>
      </c>
      <c r="G105" s="9" t="inlineStr"/>
      <c r="H105" s="16" t="inlineStr"/>
      <c r="I105" s="9" t="inlineStr">
        <is>
          <t>Y</t>
        </is>
      </c>
      <c r="J105" s="16" t="inlineStr"/>
      <c r="K105" s="16" t="inlineStr"/>
    </row>
    <row r="106">
      <c r="A106" s="16" t="inlineStr">
        <is>
          <t>m_user</t>
        </is>
      </c>
      <c r="B106" s="9" t="n">
        <v>4</v>
      </c>
      <c r="C106" s="16" t="inlineStr">
        <is>
          <t>role</t>
        </is>
      </c>
      <c r="D106" s="16" t="inlineStr">
        <is>
          <t>ロール</t>
        </is>
      </c>
      <c r="E106" s="9" t="inlineStr">
        <is>
          <t>VARCHAR</t>
        </is>
      </c>
      <c r="F106" s="9" t="inlineStr">
        <is>
          <t>20</t>
        </is>
      </c>
      <c r="G106" s="9" t="inlineStr"/>
      <c r="H106" s="16" t="inlineStr"/>
      <c r="I106" s="9" t="inlineStr">
        <is>
          <t>Y</t>
        </is>
      </c>
      <c r="J106" s="16" t="inlineStr"/>
      <c r="K106" s="16" t="inlineStr">
        <is>
          <t>コード値：ADMIN/PURCHASE/WAREHOUSE/SALES/QA/VIEWER</t>
        </is>
      </c>
    </row>
    <row r="107">
      <c r="A107" s="16" t="inlineStr">
        <is>
          <t>m_user</t>
        </is>
      </c>
      <c r="B107" s="9" t="n">
        <v>5</v>
      </c>
      <c r="C107" s="16" t="inlineStr">
        <is>
          <t>password_hash</t>
        </is>
      </c>
      <c r="D107" s="16" t="inlineStr">
        <is>
          <t>パスワードハッシュ</t>
        </is>
      </c>
      <c r="E107" s="9" t="inlineStr">
        <is>
          <t>VARCHAR</t>
        </is>
      </c>
      <c r="F107" s="9" t="inlineStr">
        <is>
          <t>255</t>
        </is>
      </c>
      <c r="G107" s="9" t="inlineStr"/>
      <c r="H107" s="16" t="inlineStr"/>
      <c r="I107" s="9" t="inlineStr">
        <is>
          <t>Y</t>
        </is>
      </c>
      <c r="J107" s="16" t="inlineStr"/>
      <c r="K107" s="16" t="inlineStr">
        <is>
          <t>bcrypt/argon2</t>
        </is>
      </c>
    </row>
    <row r="108">
      <c r="A108" s="16" t="inlineStr">
        <is>
          <t>m_user</t>
        </is>
      </c>
      <c r="B108" s="9" t="n">
        <v>6</v>
      </c>
      <c r="C108" s="16" t="inlineStr">
        <is>
          <t>mfa_secret</t>
        </is>
      </c>
      <c r="D108" s="16" t="inlineStr">
        <is>
          <t>2要素認証シークレット</t>
        </is>
      </c>
      <c r="E108" s="9" t="inlineStr">
        <is>
          <t>VARCHAR</t>
        </is>
      </c>
      <c r="F108" s="9" t="inlineStr">
        <is>
          <t>255</t>
        </is>
      </c>
      <c r="G108" s="9" t="inlineStr"/>
      <c r="H108" s="16" t="inlineStr"/>
      <c r="I108" s="9" t="inlineStr"/>
      <c r="J108" s="16" t="inlineStr"/>
      <c r="K108" s="16" t="inlineStr">
        <is>
          <t>暗号化して保存</t>
        </is>
      </c>
    </row>
    <row r="109">
      <c r="A109" s="16" t="inlineStr">
        <is>
          <t>m_user</t>
        </is>
      </c>
      <c r="B109" s="9" t="n">
        <v>7</v>
      </c>
      <c r="C109" s="16" t="inlineStr">
        <is>
          <t>failed_login_count</t>
        </is>
      </c>
      <c r="D109" s="16" t="inlineStr">
        <is>
          <t>ログイン失敗回数</t>
        </is>
      </c>
      <c r="E109" s="9" t="inlineStr">
        <is>
          <t>INTEGER</t>
        </is>
      </c>
      <c r="F109" s="9" t="inlineStr"/>
      <c r="G109" s="9" t="inlineStr"/>
      <c r="H109" s="16" t="inlineStr"/>
      <c r="I109" s="9" t="inlineStr">
        <is>
          <t>Y</t>
        </is>
      </c>
      <c r="J109" s="16" t="inlineStr">
        <is>
          <t>0</t>
        </is>
      </c>
      <c r="K109" s="16" t="inlineStr">
        <is>
          <t>5回でロック</t>
        </is>
      </c>
    </row>
    <row r="110">
      <c r="A110" s="16" t="inlineStr">
        <is>
          <t>m_user</t>
        </is>
      </c>
      <c r="B110" s="9" t="n">
        <v>8</v>
      </c>
      <c r="C110" s="16" t="inlineStr">
        <is>
          <t>is_active</t>
        </is>
      </c>
      <c r="D110" s="16" t="inlineStr">
        <is>
          <t>有効フラグ</t>
        </is>
      </c>
      <c r="E110" s="9" t="inlineStr">
        <is>
          <t>BOOLEAN</t>
        </is>
      </c>
      <c r="F110" s="9" t="inlineStr"/>
      <c r="G110" s="9" t="inlineStr"/>
      <c r="H110" s="16" t="inlineStr"/>
      <c r="I110" s="9" t="inlineStr">
        <is>
          <t>Y</t>
        </is>
      </c>
      <c r="J110" s="16" t="inlineStr">
        <is>
          <t>true</t>
        </is>
      </c>
      <c r="K110" s="16" t="inlineStr"/>
    </row>
    <row r="111">
      <c r="A111" s="16" t="inlineStr">
        <is>
          <t>m_user</t>
        </is>
      </c>
      <c r="B111" s="9" t="n">
        <v>9</v>
      </c>
      <c r="C111" s="16" t="inlineStr">
        <is>
          <t>created_at</t>
        </is>
      </c>
      <c r="D111" s="16" t="inlineStr">
        <is>
          <t>作成日時</t>
        </is>
      </c>
      <c r="E111" s="9" t="inlineStr">
        <is>
          <t>TIMESTAMPTZ</t>
        </is>
      </c>
      <c r="F111" s="9" t="inlineStr"/>
      <c r="G111" s="9" t="inlineStr"/>
      <c r="H111" s="16" t="inlineStr"/>
      <c r="I111" s="9" t="inlineStr">
        <is>
          <t>Y</t>
        </is>
      </c>
      <c r="J111" s="16" t="inlineStr">
        <is>
          <t>現在日時</t>
        </is>
      </c>
      <c r="K111" s="16" t="inlineStr"/>
    </row>
    <row r="112">
      <c r="A112" s="16" t="inlineStr">
        <is>
          <t>m_user</t>
        </is>
      </c>
      <c r="B112" s="9" t="n">
        <v>10</v>
      </c>
      <c r="C112" s="16" t="inlineStr">
        <is>
          <t>created_by</t>
        </is>
      </c>
      <c r="D112" s="16" t="inlineStr">
        <is>
          <t>作成者</t>
        </is>
      </c>
      <c r="E112" s="9" t="inlineStr">
        <is>
          <t>BIGINT</t>
        </is>
      </c>
      <c r="F112" s="9" t="inlineStr"/>
      <c r="G112" s="9" t="inlineStr"/>
      <c r="H112" s="16" t="inlineStr">
        <is>
          <t>m_user.id</t>
        </is>
      </c>
      <c r="I112" s="9" t="inlineStr">
        <is>
          <t>Y</t>
        </is>
      </c>
      <c r="J112" s="16" t="inlineStr"/>
      <c r="K112" s="16" t="inlineStr"/>
    </row>
    <row r="113">
      <c r="A113" s="16" t="inlineStr">
        <is>
          <t>m_user</t>
        </is>
      </c>
      <c r="B113" s="9" t="n">
        <v>11</v>
      </c>
      <c r="C113" s="16" t="inlineStr">
        <is>
          <t>updated_at</t>
        </is>
      </c>
      <c r="D113" s="16" t="inlineStr">
        <is>
          <t>更新日時</t>
        </is>
      </c>
      <c r="E113" s="9" t="inlineStr">
        <is>
          <t>TIMESTAMPTZ</t>
        </is>
      </c>
      <c r="F113" s="9" t="inlineStr"/>
      <c r="G113" s="9" t="inlineStr"/>
      <c r="H113" s="16" t="inlineStr"/>
      <c r="I113" s="9" t="inlineStr">
        <is>
          <t>Y</t>
        </is>
      </c>
      <c r="J113" s="16" t="inlineStr">
        <is>
          <t>現在日時</t>
        </is>
      </c>
      <c r="K113" s="16" t="inlineStr"/>
    </row>
    <row r="114">
      <c r="A114" s="16" t="inlineStr">
        <is>
          <t>m_user</t>
        </is>
      </c>
      <c r="B114" s="9" t="n">
        <v>12</v>
      </c>
      <c r="C114" s="16" t="inlineStr">
        <is>
          <t>updated_by</t>
        </is>
      </c>
      <c r="D114" s="16" t="inlineStr">
        <is>
          <t>更新者</t>
        </is>
      </c>
      <c r="E114" s="9" t="inlineStr">
        <is>
          <t>BIGINT</t>
        </is>
      </c>
      <c r="F114" s="9" t="inlineStr"/>
      <c r="G114" s="9" t="inlineStr"/>
      <c r="H114" s="16" t="inlineStr">
        <is>
          <t>m_user.id</t>
        </is>
      </c>
      <c r="I114" s="9" t="inlineStr">
        <is>
          <t>Y</t>
        </is>
      </c>
      <c r="J114" s="16" t="inlineStr"/>
      <c r="K114" s="16" t="inlineStr"/>
    </row>
    <row r="115">
      <c r="A115" s="16" t="inlineStr">
        <is>
          <t>m_user</t>
        </is>
      </c>
      <c r="B115" s="9" t="n">
        <v>13</v>
      </c>
      <c r="C115" s="16" t="inlineStr">
        <is>
          <t>version</t>
        </is>
      </c>
      <c r="D115" s="16" t="inlineStr">
        <is>
          <t>版数</t>
        </is>
      </c>
      <c r="E115" s="9" t="inlineStr">
        <is>
          <t>INTEGER</t>
        </is>
      </c>
      <c r="F115" s="9" t="inlineStr"/>
      <c r="G115" s="9" t="inlineStr"/>
      <c r="H115" s="16" t="inlineStr"/>
      <c r="I115" s="9" t="inlineStr">
        <is>
          <t>Y</t>
        </is>
      </c>
      <c r="J115" s="16" t="inlineStr">
        <is>
          <t>1</t>
        </is>
      </c>
      <c r="K115" s="16" t="inlineStr">
        <is>
          <t>楽観ロック用</t>
        </is>
      </c>
    </row>
    <row r="116">
      <c r="A116" s="22" t="inlineStr">
        <is>
          <t>t_purchase_order</t>
        </is>
      </c>
      <c r="B116" s="23" t="inlineStr">
        <is>
          <t>【発注】発注ヘッダ</t>
        </is>
      </c>
      <c r="C116" s="24" t="n"/>
      <c r="D116" s="24" t="n"/>
      <c r="E116" s="24" t="n"/>
      <c r="F116" s="24" t="n"/>
      <c r="G116" s="24" t="n"/>
      <c r="H116" s="24" t="n"/>
      <c r="I116" s="24" t="n"/>
      <c r="J116" s="24" t="n"/>
      <c r="K116" s="25" t="n"/>
    </row>
    <row r="117">
      <c r="A117" s="16" t="inlineStr">
        <is>
          <t>t_purchase_order</t>
        </is>
      </c>
      <c r="B117" s="9" t="n">
        <v>1</v>
      </c>
      <c r="C117" s="16" t="inlineStr">
        <is>
          <t>id</t>
        </is>
      </c>
      <c r="D117" s="16" t="inlineStr">
        <is>
          <t>発注ID</t>
        </is>
      </c>
      <c r="E117" s="9" t="inlineStr">
        <is>
          <t>BIGINT</t>
        </is>
      </c>
      <c r="F117" s="9" t="inlineStr"/>
      <c r="G117" s="9" t="inlineStr">
        <is>
          <t>Y</t>
        </is>
      </c>
      <c r="H117" s="16" t="inlineStr"/>
      <c r="I117" s="9" t="inlineStr">
        <is>
          <t>Y</t>
        </is>
      </c>
      <c r="J117" s="16" t="inlineStr">
        <is>
          <t>自動採番</t>
        </is>
      </c>
      <c r="K117" s="16" t="inlineStr"/>
    </row>
    <row r="118">
      <c r="A118" s="16" t="inlineStr">
        <is>
          <t>t_purchase_order</t>
        </is>
      </c>
      <c r="B118" s="9" t="n">
        <v>2</v>
      </c>
      <c r="C118" s="16" t="inlineStr">
        <is>
          <t>po_no</t>
        </is>
      </c>
      <c r="D118" s="16" t="inlineStr">
        <is>
          <t>発注番号</t>
        </is>
      </c>
      <c r="E118" s="9" t="inlineStr">
        <is>
          <t>VARCHAR</t>
        </is>
      </c>
      <c r="F118" s="9" t="inlineStr">
        <is>
          <t>20</t>
        </is>
      </c>
      <c r="G118" s="9" t="inlineStr"/>
      <c r="H118" s="16" t="inlineStr"/>
      <c r="I118" s="9" t="inlineStr">
        <is>
          <t>Y</t>
        </is>
      </c>
      <c r="J118" s="16" t="inlineStr"/>
      <c r="K118" s="16" t="inlineStr">
        <is>
          <t>PO-YYYYMM-NNNN 一意</t>
        </is>
      </c>
    </row>
    <row r="119">
      <c r="A119" s="16" t="inlineStr">
        <is>
          <t>t_purchase_order</t>
        </is>
      </c>
      <c r="B119" s="9" t="n">
        <v>3</v>
      </c>
      <c r="C119" s="16" t="inlineStr">
        <is>
          <t>supplier_id</t>
        </is>
      </c>
      <c r="D119" s="16" t="inlineStr">
        <is>
          <t>仕入先ID</t>
        </is>
      </c>
      <c r="E119" s="9" t="inlineStr">
        <is>
          <t>BIGINT</t>
        </is>
      </c>
      <c r="F119" s="9" t="inlineStr"/>
      <c r="G119" s="9" t="inlineStr"/>
      <c r="H119" s="16" t="inlineStr">
        <is>
          <t>m_supplier.id</t>
        </is>
      </c>
      <c r="I119" s="9" t="inlineStr">
        <is>
          <t>Y</t>
        </is>
      </c>
      <c r="J119" s="16" t="inlineStr"/>
      <c r="K119" s="16" t="inlineStr"/>
    </row>
    <row r="120">
      <c r="A120" s="16" t="inlineStr">
        <is>
          <t>t_purchase_order</t>
        </is>
      </c>
      <c r="B120" s="9" t="n">
        <v>4</v>
      </c>
      <c r="C120" s="16" t="inlineStr">
        <is>
          <t>order_date</t>
        </is>
      </c>
      <c r="D120" s="16" t="inlineStr">
        <is>
          <t>発注日</t>
        </is>
      </c>
      <c r="E120" s="9" t="inlineStr">
        <is>
          <t>DATE</t>
        </is>
      </c>
      <c r="F120" s="9" t="inlineStr"/>
      <c r="G120" s="9" t="inlineStr"/>
      <c r="H120" s="16" t="inlineStr"/>
      <c r="I120" s="9" t="inlineStr">
        <is>
          <t>Y</t>
        </is>
      </c>
      <c r="J120" s="16" t="inlineStr"/>
      <c r="K120" s="16" t="inlineStr"/>
    </row>
    <row r="121">
      <c r="A121" s="16" t="inlineStr">
        <is>
          <t>t_purchase_order</t>
        </is>
      </c>
      <c r="B121" s="9" t="n">
        <v>5</v>
      </c>
      <c r="C121" s="16" t="inlineStr">
        <is>
          <t>expected_date</t>
        </is>
      </c>
      <c r="D121" s="16" t="inlineStr">
        <is>
          <t>入荷予定日</t>
        </is>
      </c>
      <c r="E121" s="9" t="inlineStr">
        <is>
          <t>DATE</t>
        </is>
      </c>
      <c r="F121" s="9" t="inlineStr"/>
      <c r="G121" s="9" t="inlineStr"/>
      <c r="H121" s="16" t="inlineStr"/>
      <c r="I121" s="9" t="inlineStr"/>
      <c r="J121" s="16" t="inlineStr"/>
      <c r="K121" s="16" t="inlineStr"/>
    </row>
    <row r="122">
      <c r="A122" s="16" t="inlineStr">
        <is>
          <t>t_purchase_order</t>
        </is>
      </c>
      <c r="B122" s="9" t="n">
        <v>6</v>
      </c>
      <c r="C122" s="16" t="inlineStr">
        <is>
          <t>status</t>
        </is>
      </c>
      <c r="D122" s="16" t="inlineStr">
        <is>
          <t>ステータス</t>
        </is>
      </c>
      <c r="E122" s="9" t="inlineStr">
        <is>
          <t>VARCHAR</t>
        </is>
      </c>
      <c r="F122" s="9" t="inlineStr">
        <is>
          <t>20</t>
        </is>
      </c>
      <c r="G122" s="9" t="inlineStr"/>
      <c r="H122" s="16" t="inlineStr"/>
      <c r="I122" s="9" t="inlineStr">
        <is>
          <t>Y</t>
        </is>
      </c>
      <c r="J122" s="16" t="inlineStr">
        <is>
          <t>DRAFT</t>
        </is>
      </c>
      <c r="K122" s="16" t="inlineStr">
        <is>
          <t>DRAFT/APPROVED/PARTIAL/RECEIVED/CLOSED/CANCELLED（状態遷移 参照）</t>
        </is>
      </c>
    </row>
    <row r="123">
      <c r="A123" s="16" t="inlineStr">
        <is>
          <t>t_purchase_order</t>
        </is>
      </c>
      <c r="B123" s="9" t="n">
        <v>7</v>
      </c>
      <c r="C123" s="16" t="inlineStr">
        <is>
          <t>approved_by</t>
        </is>
      </c>
      <c r="D123" s="16" t="inlineStr">
        <is>
          <t>承認者</t>
        </is>
      </c>
      <c r="E123" s="9" t="inlineStr">
        <is>
          <t>BIGINT</t>
        </is>
      </c>
      <c r="F123" s="9" t="inlineStr"/>
      <c r="G123" s="9" t="inlineStr"/>
      <c r="H123" s="16" t="inlineStr">
        <is>
          <t>m_user.id</t>
        </is>
      </c>
      <c r="I123" s="9" t="inlineStr"/>
      <c r="J123" s="16" t="inlineStr"/>
      <c r="K123" s="16" t="inlineStr"/>
    </row>
    <row r="124">
      <c r="A124" s="16" t="inlineStr">
        <is>
          <t>t_purchase_order</t>
        </is>
      </c>
      <c r="B124" s="9" t="n">
        <v>8</v>
      </c>
      <c r="C124" s="16" t="inlineStr">
        <is>
          <t>approved_at</t>
        </is>
      </c>
      <c r="D124" s="16" t="inlineStr">
        <is>
          <t>承認日時</t>
        </is>
      </c>
      <c r="E124" s="9" t="inlineStr">
        <is>
          <t>TIMESTAMPTZ</t>
        </is>
      </c>
      <c r="F124" s="9" t="inlineStr"/>
      <c r="G124" s="9" t="inlineStr"/>
      <c r="H124" s="16" t="inlineStr"/>
      <c r="I124" s="9" t="inlineStr"/>
      <c r="J124" s="16" t="inlineStr"/>
      <c r="K124" s="16" t="inlineStr"/>
    </row>
    <row r="125">
      <c r="A125" s="16" t="inlineStr">
        <is>
          <t>t_purchase_order</t>
        </is>
      </c>
      <c r="B125" s="9" t="n">
        <v>9</v>
      </c>
      <c r="C125" s="16" t="inlineStr">
        <is>
          <t>note</t>
        </is>
      </c>
      <c r="D125" s="16" t="inlineStr">
        <is>
          <t>備考</t>
        </is>
      </c>
      <c r="E125" s="9" t="inlineStr">
        <is>
          <t>TEXT</t>
        </is>
      </c>
      <c r="F125" s="9" t="inlineStr"/>
      <c r="G125" s="9" t="inlineStr"/>
      <c r="H125" s="16" t="inlineStr"/>
      <c r="I125" s="9" t="inlineStr"/>
      <c r="J125" s="16" t="inlineStr"/>
      <c r="K125" s="16" t="inlineStr"/>
    </row>
    <row r="126">
      <c r="A126" s="16" t="inlineStr">
        <is>
          <t>t_purchase_order</t>
        </is>
      </c>
      <c r="B126" s="9" t="n">
        <v>10</v>
      </c>
      <c r="C126" s="16" t="inlineStr">
        <is>
          <t>created_at</t>
        </is>
      </c>
      <c r="D126" s="16" t="inlineStr">
        <is>
          <t>作成日時</t>
        </is>
      </c>
      <c r="E126" s="9" t="inlineStr">
        <is>
          <t>TIMESTAMPTZ</t>
        </is>
      </c>
      <c r="F126" s="9" t="inlineStr"/>
      <c r="G126" s="9" t="inlineStr"/>
      <c r="H126" s="16" t="inlineStr"/>
      <c r="I126" s="9" t="inlineStr">
        <is>
          <t>Y</t>
        </is>
      </c>
      <c r="J126" s="16" t="inlineStr">
        <is>
          <t>現在日時</t>
        </is>
      </c>
      <c r="K126" s="16" t="inlineStr"/>
    </row>
    <row r="127">
      <c r="A127" s="16" t="inlineStr">
        <is>
          <t>t_purchase_order</t>
        </is>
      </c>
      <c r="B127" s="9" t="n">
        <v>11</v>
      </c>
      <c r="C127" s="16" t="inlineStr">
        <is>
          <t>created_by</t>
        </is>
      </c>
      <c r="D127" s="16" t="inlineStr">
        <is>
          <t>作成者</t>
        </is>
      </c>
      <c r="E127" s="9" t="inlineStr">
        <is>
          <t>BIGINT</t>
        </is>
      </c>
      <c r="F127" s="9" t="inlineStr"/>
      <c r="G127" s="9" t="inlineStr"/>
      <c r="H127" s="16" t="inlineStr">
        <is>
          <t>m_user.id</t>
        </is>
      </c>
      <c r="I127" s="9" t="inlineStr">
        <is>
          <t>Y</t>
        </is>
      </c>
      <c r="J127" s="16" t="inlineStr"/>
      <c r="K127" s="16" t="inlineStr"/>
    </row>
    <row r="128">
      <c r="A128" s="16" t="inlineStr">
        <is>
          <t>t_purchase_order</t>
        </is>
      </c>
      <c r="B128" s="9" t="n">
        <v>12</v>
      </c>
      <c r="C128" s="16" t="inlineStr">
        <is>
          <t>updated_at</t>
        </is>
      </c>
      <c r="D128" s="16" t="inlineStr">
        <is>
          <t>更新日時</t>
        </is>
      </c>
      <c r="E128" s="9" t="inlineStr">
        <is>
          <t>TIMESTAMPTZ</t>
        </is>
      </c>
      <c r="F128" s="9" t="inlineStr"/>
      <c r="G128" s="9" t="inlineStr"/>
      <c r="H128" s="16" t="inlineStr"/>
      <c r="I128" s="9" t="inlineStr">
        <is>
          <t>Y</t>
        </is>
      </c>
      <c r="J128" s="16" t="inlineStr">
        <is>
          <t>現在日時</t>
        </is>
      </c>
      <c r="K128" s="16" t="inlineStr"/>
    </row>
    <row r="129">
      <c r="A129" s="16" t="inlineStr">
        <is>
          <t>t_purchase_order</t>
        </is>
      </c>
      <c r="B129" s="9" t="n">
        <v>13</v>
      </c>
      <c r="C129" s="16" t="inlineStr">
        <is>
          <t>updated_by</t>
        </is>
      </c>
      <c r="D129" s="16" t="inlineStr">
        <is>
          <t>更新者</t>
        </is>
      </c>
      <c r="E129" s="9" t="inlineStr">
        <is>
          <t>BIGINT</t>
        </is>
      </c>
      <c r="F129" s="9" t="inlineStr"/>
      <c r="G129" s="9" t="inlineStr"/>
      <c r="H129" s="16" t="inlineStr">
        <is>
          <t>m_user.id</t>
        </is>
      </c>
      <c r="I129" s="9" t="inlineStr">
        <is>
          <t>Y</t>
        </is>
      </c>
      <c r="J129" s="16" t="inlineStr"/>
      <c r="K129" s="16" t="inlineStr"/>
    </row>
    <row r="130">
      <c r="A130" s="16" t="inlineStr">
        <is>
          <t>t_purchase_order</t>
        </is>
      </c>
      <c r="B130" s="9" t="n">
        <v>14</v>
      </c>
      <c r="C130" s="16" t="inlineStr">
        <is>
          <t>version</t>
        </is>
      </c>
      <c r="D130" s="16" t="inlineStr">
        <is>
          <t>版数</t>
        </is>
      </c>
      <c r="E130" s="9" t="inlineStr">
        <is>
          <t>INTEGER</t>
        </is>
      </c>
      <c r="F130" s="9" t="inlineStr"/>
      <c r="G130" s="9" t="inlineStr"/>
      <c r="H130" s="16" t="inlineStr"/>
      <c r="I130" s="9" t="inlineStr">
        <is>
          <t>Y</t>
        </is>
      </c>
      <c r="J130" s="16" t="inlineStr">
        <is>
          <t>1</t>
        </is>
      </c>
      <c r="K130" s="16" t="inlineStr">
        <is>
          <t>楽観ロック用</t>
        </is>
      </c>
    </row>
    <row r="131">
      <c r="A131" s="22" t="inlineStr">
        <is>
          <t>t_purchase_order_line</t>
        </is>
      </c>
      <c r="B131" s="23" t="inlineStr">
        <is>
          <t>【発注明細】発注明細</t>
        </is>
      </c>
      <c r="C131" s="24" t="n"/>
      <c r="D131" s="24" t="n"/>
      <c r="E131" s="24" t="n"/>
      <c r="F131" s="24" t="n"/>
      <c r="G131" s="24" t="n"/>
      <c r="H131" s="24" t="n"/>
      <c r="I131" s="24" t="n"/>
      <c r="J131" s="24" t="n"/>
      <c r="K131" s="25" t="n"/>
    </row>
    <row r="132">
      <c r="A132" s="16" t="inlineStr">
        <is>
          <t>t_purchase_order_line</t>
        </is>
      </c>
      <c r="B132" s="9" t="n">
        <v>1</v>
      </c>
      <c r="C132" s="16" t="inlineStr">
        <is>
          <t>id</t>
        </is>
      </c>
      <c r="D132" s="16" t="inlineStr">
        <is>
          <t>発注明細ID</t>
        </is>
      </c>
      <c r="E132" s="9" t="inlineStr">
        <is>
          <t>BIGINT</t>
        </is>
      </c>
      <c r="F132" s="9" t="inlineStr"/>
      <c r="G132" s="9" t="inlineStr">
        <is>
          <t>Y</t>
        </is>
      </c>
      <c r="H132" s="16" t="inlineStr"/>
      <c r="I132" s="9" t="inlineStr">
        <is>
          <t>Y</t>
        </is>
      </c>
      <c r="J132" s="16" t="inlineStr">
        <is>
          <t>自動採番</t>
        </is>
      </c>
      <c r="K132" s="16" t="inlineStr"/>
    </row>
    <row r="133">
      <c r="A133" s="16" t="inlineStr">
        <is>
          <t>t_purchase_order_line</t>
        </is>
      </c>
      <c r="B133" s="9" t="n">
        <v>2</v>
      </c>
      <c r="C133" s="16" t="inlineStr">
        <is>
          <t>purchase_order_id</t>
        </is>
      </c>
      <c r="D133" s="16" t="inlineStr">
        <is>
          <t>発注ID</t>
        </is>
      </c>
      <c r="E133" s="9" t="inlineStr">
        <is>
          <t>BIGINT</t>
        </is>
      </c>
      <c r="F133" s="9" t="inlineStr"/>
      <c r="G133" s="9" t="inlineStr"/>
      <c r="H133" s="16" t="inlineStr">
        <is>
          <t>t_purchase_order.id</t>
        </is>
      </c>
      <c r="I133" s="9" t="inlineStr">
        <is>
          <t>Y</t>
        </is>
      </c>
      <c r="J133" s="16" t="inlineStr"/>
      <c r="K133" s="16" t="inlineStr"/>
    </row>
    <row r="134">
      <c r="A134" s="16" t="inlineStr">
        <is>
          <t>t_purchase_order_line</t>
        </is>
      </c>
      <c r="B134" s="9" t="n">
        <v>3</v>
      </c>
      <c r="C134" s="16" t="inlineStr">
        <is>
          <t>line_no</t>
        </is>
      </c>
      <c r="D134" s="16" t="inlineStr">
        <is>
          <t>行番号</t>
        </is>
      </c>
      <c r="E134" s="9" t="inlineStr">
        <is>
          <t>INTEGER</t>
        </is>
      </c>
      <c r="F134" s="9" t="inlineStr"/>
      <c r="G134" s="9" t="inlineStr"/>
      <c r="H134" s="16" t="inlineStr"/>
      <c r="I134" s="9" t="inlineStr">
        <is>
          <t>Y</t>
        </is>
      </c>
      <c r="J134" s="16" t="inlineStr"/>
      <c r="K134" s="16" t="inlineStr"/>
    </row>
    <row r="135">
      <c r="A135" s="16" t="inlineStr">
        <is>
          <t>t_purchase_order_line</t>
        </is>
      </c>
      <c r="B135" s="9" t="n">
        <v>4</v>
      </c>
      <c r="C135" s="16" t="inlineStr">
        <is>
          <t>product_id</t>
        </is>
      </c>
      <c r="D135" s="16" t="inlineStr">
        <is>
          <t>商品ID</t>
        </is>
      </c>
      <c r="E135" s="9" t="inlineStr">
        <is>
          <t>BIGINT</t>
        </is>
      </c>
      <c r="F135" s="9" t="inlineStr"/>
      <c r="G135" s="9" t="inlineStr"/>
      <c r="H135" s="16" t="inlineStr">
        <is>
          <t>m_product.id</t>
        </is>
      </c>
      <c r="I135" s="9" t="inlineStr">
        <is>
          <t>Y</t>
        </is>
      </c>
      <c r="J135" s="16" t="inlineStr"/>
      <c r="K135" s="16" t="inlineStr"/>
    </row>
    <row r="136">
      <c r="A136" s="16" t="inlineStr">
        <is>
          <t>t_purchase_order_line</t>
        </is>
      </c>
      <c r="B136" s="9" t="n">
        <v>5</v>
      </c>
      <c r="C136" s="16" t="inlineStr">
        <is>
          <t>quantity</t>
        </is>
      </c>
      <c r="D136" s="16" t="inlineStr">
        <is>
          <t>発注数量</t>
        </is>
      </c>
      <c r="E136" s="9" t="inlineStr">
        <is>
          <t>INTEGER</t>
        </is>
      </c>
      <c r="F136" s="9" t="inlineStr"/>
      <c r="G136" s="9" t="inlineStr"/>
      <c r="H136" s="16" t="inlineStr"/>
      <c r="I136" s="9" t="inlineStr">
        <is>
          <t>Y</t>
        </is>
      </c>
      <c r="J136" s="16" t="inlineStr"/>
      <c r="K136" s="16" t="inlineStr">
        <is>
          <t>&gt; 0</t>
        </is>
      </c>
    </row>
    <row r="137">
      <c r="A137" s="16" t="inlineStr">
        <is>
          <t>t_purchase_order_line</t>
        </is>
      </c>
      <c r="B137" s="9" t="n">
        <v>6</v>
      </c>
      <c r="C137" s="16" t="inlineStr">
        <is>
          <t>unit_price</t>
        </is>
      </c>
      <c r="D137" s="16" t="inlineStr">
        <is>
          <t>仕入単価（円）</t>
        </is>
      </c>
      <c r="E137" s="9" t="inlineStr">
        <is>
          <t>NUMERIC</t>
        </is>
      </c>
      <c r="F137" s="9" t="inlineStr">
        <is>
          <t>12,2</t>
        </is>
      </c>
      <c r="G137" s="9" t="inlineStr"/>
      <c r="H137" s="16" t="inlineStr"/>
      <c r="I137" s="9" t="inlineStr">
        <is>
          <t>Y</t>
        </is>
      </c>
      <c r="J137" s="16" t="inlineStr"/>
      <c r="K137" s="16" t="inlineStr">
        <is>
          <t>税抜</t>
        </is>
      </c>
    </row>
    <row r="138">
      <c r="A138" s="16" t="inlineStr">
        <is>
          <t>t_purchase_order_line</t>
        </is>
      </c>
      <c r="B138" s="9" t="n">
        <v>7</v>
      </c>
      <c r="C138" s="16" t="inlineStr">
        <is>
          <t>received_qty</t>
        </is>
      </c>
      <c r="D138" s="16" t="inlineStr">
        <is>
          <t>入荷済数量</t>
        </is>
      </c>
      <c r="E138" s="9" t="inlineStr">
        <is>
          <t>INTEGER</t>
        </is>
      </c>
      <c r="F138" s="9" t="inlineStr"/>
      <c r="G138" s="9" t="inlineStr"/>
      <c r="H138" s="16" t="inlineStr"/>
      <c r="I138" s="9" t="inlineStr">
        <is>
          <t>Y</t>
        </is>
      </c>
      <c r="J138" s="16" t="inlineStr">
        <is>
          <t>0</t>
        </is>
      </c>
      <c r="K138" s="16" t="inlineStr">
        <is>
          <t>入荷確定時に加算</t>
        </is>
      </c>
    </row>
    <row r="139">
      <c r="A139" s="16" t="inlineStr">
        <is>
          <t>t_purchase_order_line</t>
        </is>
      </c>
      <c r="B139" s="9" t="n">
        <v>8</v>
      </c>
      <c r="C139" s="16" t="inlineStr">
        <is>
          <t>created_at</t>
        </is>
      </c>
      <c r="D139" s="16" t="inlineStr">
        <is>
          <t>作成日時</t>
        </is>
      </c>
      <c r="E139" s="9" t="inlineStr">
        <is>
          <t>TIMESTAMPTZ</t>
        </is>
      </c>
      <c r="F139" s="9" t="inlineStr"/>
      <c r="G139" s="9" t="inlineStr"/>
      <c r="H139" s="16" t="inlineStr"/>
      <c r="I139" s="9" t="inlineStr">
        <is>
          <t>Y</t>
        </is>
      </c>
      <c r="J139" s="16" t="inlineStr">
        <is>
          <t>現在日時</t>
        </is>
      </c>
      <c r="K139" s="16" t="inlineStr"/>
    </row>
    <row r="140">
      <c r="A140" s="16" t="inlineStr">
        <is>
          <t>t_purchase_order_line</t>
        </is>
      </c>
      <c r="B140" s="9" t="n">
        <v>9</v>
      </c>
      <c r="C140" s="16" t="inlineStr">
        <is>
          <t>created_by</t>
        </is>
      </c>
      <c r="D140" s="16" t="inlineStr">
        <is>
          <t>作成者</t>
        </is>
      </c>
      <c r="E140" s="9" t="inlineStr">
        <is>
          <t>BIGINT</t>
        </is>
      </c>
      <c r="F140" s="9" t="inlineStr"/>
      <c r="G140" s="9" t="inlineStr"/>
      <c r="H140" s="16" t="inlineStr">
        <is>
          <t>m_user.id</t>
        </is>
      </c>
      <c r="I140" s="9" t="inlineStr">
        <is>
          <t>Y</t>
        </is>
      </c>
      <c r="J140" s="16" t="inlineStr"/>
      <c r="K140" s="16" t="inlineStr"/>
    </row>
    <row r="141">
      <c r="A141" s="16" t="inlineStr">
        <is>
          <t>t_purchase_order_line</t>
        </is>
      </c>
      <c r="B141" s="9" t="n">
        <v>10</v>
      </c>
      <c r="C141" s="16" t="inlineStr">
        <is>
          <t>updated_at</t>
        </is>
      </c>
      <c r="D141" s="16" t="inlineStr">
        <is>
          <t>更新日時</t>
        </is>
      </c>
      <c r="E141" s="9" t="inlineStr">
        <is>
          <t>TIMESTAMPTZ</t>
        </is>
      </c>
      <c r="F141" s="9" t="inlineStr"/>
      <c r="G141" s="9" t="inlineStr"/>
      <c r="H141" s="16" t="inlineStr"/>
      <c r="I141" s="9" t="inlineStr">
        <is>
          <t>Y</t>
        </is>
      </c>
      <c r="J141" s="16" t="inlineStr">
        <is>
          <t>現在日時</t>
        </is>
      </c>
      <c r="K141" s="16" t="inlineStr"/>
    </row>
    <row r="142">
      <c r="A142" s="16" t="inlineStr">
        <is>
          <t>t_purchase_order_line</t>
        </is>
      </c>
      <c r="B142" s="9" t="n">
        <v>11</v>
      </c>
      <c r="C142" s="16" t="inlineStr">
        <is>
          <t>updated_by</t>
        </is>
      </c>
      <c r="D142" s="16" t="inlineStr">
        <is>
          <t>更新者</t>
        </is>
      </c>
      <c r="E142" s="9" t="inlineStr">
        <is>
          <t>BIGINT</t>
        </is>
      </c>
      <c r="F142" s="9" t="inlineStr"/>
      <c r="G142" s="9" t="inlineStr"/>
      <c r="H142" s="16" t="inlineStr">
        <is>
          <t>m_user.id</t>
        </is>
      </c>
      <c r="I142" s="9" t="inlineStr">
        <is>
          <t>Y</t>
        </is>
      </c>
      <c r="J142" s="16" t="inlineStr"/>
      <c r="K142" s="16" t="inlineStr"/>
    </row>
    <row r="143">
      <c r="A143" s="16" t="inlineStr">
        <is>
          <t>t_purchase_order_line</t>
        </is>
      </c>
      <c r="B143" s="9" t="n">
        <v>12</v>
      </c>
      <c r="C143" s="16" t="inlineStr">
        <is>
          <t>version</t>
        </is>
      </c>
      <c r="D143" s="16" t="inlineStr">
        <is>
          <t>版数</t>
        </is>
      </c>
      <c r="E143" s="9" t="inlineStr">
        <is>
          <t>INTEGER</t>
        </is>
      </c>
      <c r="F143" s="9" t="inlineStr"/>
      <c r="G143" s="9" t="inlineStr"/>
      <c r="H143" s="16" t="inlineStr"/>
      <c r="I143" s="9" t="inlineStr">
        <is>
          <t>Y</t>
        </is>
      </c>
      <c r="J143" s="16" t="inlineStr">
        <is>
          <t>1</t>
        </is>
      </c>
      <c r="K143" s="16" t="inlineStr">
        <is>
          <t>楽観ロック用</t>
        </is>
      </c>
    </row>
    <row r="144">
      <c r="A144" s="22" t="inlineStr">
        <is>
          <t>t_receipt</t>
        </is>
      </c>
      <c r="B144" s="23" t="inlineStr">
        <is>
          <t>【入荷】入荷ヘッダ</t>
        </is>
      </c>
      <c r="C144" s="24" t="n"/>
      <c r="D144" s="24" t="n"/>
      <c r="E144" s="24" t="n"/>
      <c r="F144" s="24" t="n"/>
      <c r="G144" s="24" t="n"/>
      <c r="H144" s="24" t="n"/>
      <c r="I144" s="24" t="n"/>
      <c r="J144" s="24" t="n"/>
      <c r="K144" s="25" t="n"/>
    </row>
    <row r="145">
      <c r="A145" s="16" t="inlineStr">
        <is>
          <t>t_receipt</t>
        </is>
      </c>
      <c r="B145" s="9" t="n">
        <v>1</v>
      </c>
      <c r="C145" s="16" t="inlineStr">
        <is>
          <t>id</t>
        </is>
      </c>
      <c r="D145" s="16" t="inlineStr">
        <is>
          <t>入荷ID</t>
        </is>
      </c>
      <c r="E145" s="9" t="inlineStr">
        <is>
          <t>BIGINT</t>
        </is>
      </c>
      <c r="F145" s="9" t="inlineStr"/>
      <c r="G145" s="9" t="inlineStr">
        <is>
          <t>Y</t>
        </is>
      </c>
      <c r="H145" s="16" t="inlineStr"/>
      <c r="I145" s="9" t="inlineStr">
        <is>
          <t>Y</t>
        </is>
      </c>
      <c r="J145" s="16" t="inlineStr">
        <is>
          <t>自動採番</t>
        </is>
      </c>
      <c r="K145" s="16" t="inlineStr"/>
    </row>
    <row r="146">
      <c r="A146" s="16" t="inlineStr">
        <is>
          <t>t_receipt</t>
        </is>
      </c>
      <c r="B146" s="9" t="n">
        <v>2</v>
      </c>
      <c r="C146" s="16" t="inlineStr">
        <is>
          <t>receipt_no</t>
        </is>
      </c>
      <c r="D146" s="16" t="inlineStr">
        <is>
          <t>入荷番号</t>
        </is>
      </c>
      <c r="E146" s="9" t="inlineStr">
        <is>
          <t>VARCHAR</t>
        </is>
      </c>
      <c r="F146" s="9" t="inlineStr">
        <is>
          <t>20</t>
        </is>
      </c>
      <c r="G146" s="9" t="inlineStr"/>
      <c r="H146" s="16" t="inlineStr"/>
      <c r="I146" s="9" t="inlineStr">
        <is>
          <t>Y</t>
        </is>
      </c>
      <c r="J146" s="16" t="inlineStr"/>
      <c r="K146" s="16" t="inlineStr">
        <is>
          <t>RC-YYYYMM-NNNN 一意</t>
        </is>
      </c>
    </row>
    <row r="147">
      <c r="A147" s="16" t="inlineStr">
        <is>
          <t>t_receipt</t>
        </is>
      </c>
      <c r="B147" s="9" t="n">
        <v>3</v>
      </c>
      <c r="C147" s="16" t="inlineStr">
        <is>
          <t>supplier_id</t>
        </is>
      </c>
      <c r="D147" s="16" t="inlineStr">
        <is>
          <t>仕入先ID</t>
        </is>
      </c>
      <c r="E147" s="9" t="inlineStr">
        <is>
          <t>BIGINT</t>
        </is>
      </c>
      <c r="F147" s="9" t="inlineStr"/>
      <c r="G147" s="9" t="inlineStr"/>
      <c r="H147" s="16" t="inlineStr">
        <is>
          <t>m_supplier.id</t>
        </is>
      </c>
      <c r="I147" s="9" t="inlineStr">
        <is>
          <t>Y</t>
        </is>
      </c>
      <c r="J147" s="16" t="inlineStr"/>
      <c r="K147" s="16" t="inlineStr"/>
    </row>
    <row r="148">
      <c r="A148" s="16" t="inlineStr">
        <is>
          <t>t_receipt</t>
        </is>
      </c>
      <c r="B148" s="9" t="n">
        <v>4</v>
      </c>
      <c r="C148" s="16" t="inlineStr">
        <is>
          <t>purchase_order_id</t>
        </is>
      </c>
      <c r="D148" s="16" t="inlineStr">
        <is>
          <t>発注ID</t>
        </is>
      </c>
      <c r="E148" s="9" t="inlineStr">
        <is>
          <t>BIGINT</t>
        </is>
      </c>
      <c r="F148" s="9" t="inlineStr"/>
      <c r="G148" s="9" t="inlineStr"/>
      <c r="H148" s="16" t="inlineStr">
        <is>
          <t>t_purchase_order.id</t>
        </is>
      </c>
      <c r="I148" s="9" t="inlineStr"/>
      <c r="J148" s="16" t="inlineStr"/>
      <c r="K148" s="16" t="inlineStr">
        <is>
          <t>発注なし入荷はNULL</t>
        </is>
      </c>
    </row>
    <row r="149">
      <c r="A149" s="16" t="inlineStr">
        <is>
          <t>t_receipt</t>
        </is>
      </c>
      <c r="B149" s="9" t="n">
        <v>5</v>
      </c>
      <c r="C149" s="16" t="inlineStr">
        <is>
          <t>receipt_date</t>
        </is>
      </c>
      <c r="D149" s="16" t="inlineStr">
        <is>
          <t>入荷日</t>
        </is>
      </c>
      <c r="E149" s="9" t="inlineStr">
        <is>
          <t>DATE</t>
        </is>
      </c>
      <c r="F149" s="9" t="inlineStr"/>
      <c r="G149" s="9" t="inlineStr"/>
      <c r="H149" s="16" t="inlineStr"/>
      <c r="I149" s="9" t="inlineStr">
        <is>
          <t>Y</t>
        </is>
      </c>
      <c r="J149" s="16" t="inlineStr"/>
      <c r="K149" s="16" t="inlineStr"/>
    </row>
    <row r="150">
      <c r="A150" s="16" t="inlineStr">
        <is>
          <t>t_receipt</t>
        </is>
      </c>
      <c r="B150" s="9" t="n">
        <v>6</v>
      </c>
      <c r="C150" s="16" t="inlineStr">
        <is>
          <t>status</t>
        </is>
      </c>
      <c r="D150" s="16" t="inlineStr">
        <is>
          <t>ステータス</t>
        </is>
      </c>
      <c r="E150" s="9" t="inlineStr">
        <is>
          <t>VARCHAR</t>
        </is>
      </c>
      <c r="F150" s="9" t="inlineStr">
        <is>
          <t>20</t>
        </is>
      </c>
      <c r="G150" s="9" t="inlineStr"/>
      <c r="H150" s="16" t="inlineStr"/>
      <c r="I150" s="9" t="inlineStr">
        <is>
          <t>Y</t>
        </is>
      </c>
      <c r="J150" s="16" t="inlineStr">
        <is>
          <t>DRAFT</t>
        </is>
      </c>
      <c r="K150" s="16" t="inlineStr">
        <is>
          <t>DRAFT/CONFIRMED/CANCELLED</t>
        </is>
      </c>
    </row>
    <row r="151">
      <c r="A151" s="16" t="inlineStr">
        <is>
          <t>t_receipt</t>
        </is>
      </c>
      <c r="B151" s="9" t="n">
        <v>7</v>
      </c>
      <c r="C151" s="16" t="inlineStr">
        <is>
          <t>note</t>
        </is>
      </c>
      <c r="D151" s="16" t="inlineStr">
        <is>
          <t>備考</t>
        </is>
      </c>
      <c r="E151" s="9" t="inlineStr">
        <is>
          <t>TEXT</t>
        </is>
      </c>
      <c r="F151" s="9" t="inlineStr"/>
      <c r="G151" s="9" t="inlineStr"/>
      <c r="H151" s="16" t="inlineStr"/>
      <c r="I151" s="9" t="inlineStr"/>
      <c r="J151" s="16" t="inlineStr"/>
      <c r="K151" s="16" t="inlineStr"/>
    </row>
    <row r="152">
      <c r="A152" s="16" t="inlineStr">
        <is>
          <t>t_receipt</t>
        </is>
      </c>
      <c r="B152" s="9" t="n">
        <v>8</v>
      </c>
      <c r="C152" s="16" t="inlineStr">
        <is>
          <t>created_at</t>
        </is>
      </c>
      <c r="D152" s="16" t="inlineStr">
        <is>
          <t>作成日時</t>
        </is>
      </c>
      <c r="E152" s="9" t="inlineStr">
        <is>
          <t>TIMESTAMPTZ</t>
        </is>
      </c>
      <c r="F152" s="9" t="inlineStr"/>
      <c r="G152" s="9" t="inlineStr"/>
      <c r="H152" s="16" t="inlineStr"/>
      <c r="I152" s="9" t="inlineStr">
        <is>
          <t>Y</t>
        </is>
      </c>
      <c r="J152" s="16" t="inlineStr">
        <is>
          <t>現在日時</t>
        </is>
      </c>
      <c r="K152" s="16" t="inlineStr"/>
    </row>
    <row r="153">
      <c r="A153" s="16" t="inlineStr">
        <is>
          <t>t_receipt</t>
        </is>
      </c>
      <c r="B153" s="9" t="n">
        <v>9</v>
      </c>
      <c r="C153" s="16" t="inlineStr">
        <is>
          <t>created_by</t>
        </is>
      </c>
      <c r="D153" s="16" t="inlineStr">
        <is>
          <t>作成者</t>
        </is>
      </c>
      <c r="E153" s="9" t="inlineStr">
        <is>
          <t>BIGINT</t>
        </is>
      </c>
      <c r="F153" s="9" t="inlineStr"/>
      <c r="G153" s="9" t="inlineStr"/>
      <c r="H153" s="16" t="inlineStr">
        <is>
          <t>m_user.id</t>
        </is>
      </c>
      <c r="I153" s="9" t="inlineStr">
        <is>
          <t>Y</t>
        </is>
      </c>
      <c r="J153" s="16" t="inlineStr"/>
      <c r="K153" s="16" t="inlineStr"/>
    </row>
    <row r="154">
      <c r="A154" s="16" t="inlineStr">
        <is>
          <t>t_receipt</t>
        </is>
      </c>
      <c r="B154" s="9" t="n">
        <v>10</v>
      </c>
      <c r="C154" s="16" t="inlineStr">
        <is>
          <t>updated_at</t>
        </is>
      </c>
      <c r="D154" s="16" t="inlineStr">
        <is>
          <t>更新日時</t>
        </is>
      </c>
      <c r="E154" s="9" t="inlineStr">
        <is>
          <t>TIMESTAMPTZ</t>
        </is>
      </c>
      <c r="F154" s="9" t="inlineStr"/>
      <c r="G154" s="9" t="inlineStr"/>
      <c r="H154" s="16" t="inlineStr"/>
      <c r="I154" s="9" t="inlineStr">
        <is>
          <t>Y</t>
        </is>
      </c>
      <c r="J154" s="16" t="inlineStr">
        <is>
          <t>現在日時</t>
        </is>
      </c>
      <c r="K154" s="16" t="inlineStr"/>
    </row>
    <row r="155">
      <c r="A155" s="16" t="inlineStr">
        <is>
          <t>t_receipt</t>
        </is>
      </c>
      <c r="B155" s="9" t="n">
        <v>11</v>
      </c>
      <c r="C155" s="16" t="inlineStr">
        <is>
          <t>updated_by</t>
        </is>
      </c>
      <c r="D155" s="16" t="inlineStr">
        <is>
          <t>更新者</t>
        </is>
      </c>
      <c r="E155" s="9" t="inlineStr">
        <is>
          <t>BIGINT</t>
        </is>
      </c>
      <c r="F155" s="9" t="inlineStr"/>
      <c r="G155" s="9" t="inlineStr"/>
      <c r="H155" s="16" t="inlineStr">
        <is>
          <t>m_user.id</t>
        </is>
      </c>
      <c r="I155" s="9" t="inlineStr">
        <is>
          <t>Y</t>
        </is>
      </c>
      <c r="J155" s="16" t="inlineStr"/>
      <c r="K155" s="16" t="inlineStr"/>
    </row>
    <row r="156">
      <c r="A156" s="16" t="inlineStr">
        <is>
          <t>t_receipt</t>
        </is>
      </c>
      <c r="B156" s="9" t="n">
        <v>12</v>
      </c>
      <c r="C156" s="16" t="inlineStr">
        <is>
          <t>version</t>
        </is>
      </c>
      <c r="D156" s="16" t="inlineStr">
        <is>
          <t>版数</t>
        </is>
      </c>
      <c r="E156" s="9" t="inlineStr">
        <is>
          <t>INTEGER</t>
        </is>
      </c>
      <c r="F156" s="9" t="inlineStr"/>
      <c r="G156" s="9" t="inlineStr"/>
      <c r="H156" s="16" t="inlineStr"/>
      <c r="I156" s="9" t="inlineStr">
        <is>
          <t>Y</t>
        </is>
      </c>
      <c r="J156" s="16" t="inlineStr">
        <is>
          <t>1</t>
        </is>
      </c>
      <c r="K156" s="16" t="inlineStr">
        <is>
          <t>楽観ロック用</t>
        </is>
      </c>
    </row>
    <row r="157">
      <c r="A157" s="22" t="inlineStr">
        <is>
          <t>t_receipt_line</t>
        </is>
      </c>
      <c r="B157" s="23" t="inlineStr">
        <is>
          <t>【入荷明細】入荷明細（入荷明細:ロット＝多:1。分納は同一ロットに加算）</t>
        </is>
      </c>
      <c r="C157" s="24" t="n"/>
      <c r="D157" s="24" t="n"/>
      <c r="E157" s="24" t="n"/>
      <c r="F157" s="24" t="n"/>
      <c r="G157" s="24" t="n"/>
      <c r="H157" s="24" t="n"/>
      <c r="I157" s="24" t="n"/>
      <c r="J157" s="24" t="n"/>
      <c r="K157" s="25" t="n"/>
    </row>
    <row r="158">
      <c r="A158" s="16" t="inlineStr">
        <is>
          <t>t_receipt_line</t>
        </is>
      </c>
      <c r="B158" s="9" t="n">
        <v>1</v>
      </c>
      <c r="C158" s="16" t="inlineStr">
        <is>
          <t>id</t>
        </is>
      </c>
      <c r="D158" s="16" t="inlineStr">
        <is>
          <t>入荷明細ID</t>
        </is>
      </c>
      <c r="E158" s="9" t="inlineStr">
        <is>
          <t>BIGINT</t>
        </is>
      </c>
      <c r="F158" s="9" t="inlineStr"/>
      <c r="G158" s="9" t="inlineStr">
        <is>
          <t>Y</t>
        </is>
      </c>
      <c r="H158" s="16" t="inlineStr"/>
      <c r="I158" s="9" t="inlineStr">
        <is>
          <t>Y</t>
        </is>
      </c>
      <c r="J158" s="16" t="inlineStr">
        <is>
          <t>自動採番</t>
        </is>
      </c>
      <c r="K158" s="16" t="inlineStr"/>
    </row>
    <row r="159">
      <c r="A159" s="16" t="inlineStr">
        <is>
          <t>t_receipt_line</t>
        </is>
      </c>
      <c r="B159" s="9" t="n">
        <v>2</v>
      </c>
      <c r="C159" s="16" t="inlineStr">
        <is>
          <t>receipt_id</t>
        </is>
      </c>
      <c r="D159" s="16" t="inlineStr">
        <is>
          <t>入荷ID</t>
        </is>
      </c>
      <c r="E159" s="9" t="inlineStr">
        <is>
          <t>BIGINT</t>
        </is>
      </c>
      <c r="F159" s="9" t="inlineStr"/>
      <c r="G159" s="9" t="inlineStr"/>
      <c r="H159" s="16" t="inlineStr">
        <is>
          <t>t_receipt.id</t>
        </is>
      </c>
      <c r="I159" s="9" t="inlineStr">
        <is>
          <t>Y</t>
        </is>
      </c>
      <c r="J159" s="16" t="inlineStr"/>
      <c r="K159" s="16" t="inlineStr"/>
    </row>
    <row r="160">
      <c r="A160" s="16" t="inlineStr">
        <is>
          <t>t_receipt_line</t>
        </is>
      </c>
      <c r="B160" s="9" t="n">
        <v>3</v>
      </c>
      <c r="C160" s="16" t="inlineStr">
        <is>
          <t>purchase_order_line_id</t>
        </is>
      </c>
      <c r="D160" s="16" t="inlineStr">
        <is>
          <t>発注明細ID</t>
        </is>
      </c>
      <c r="E160" s="9" t="inlineStr">
        <is>
          <t>BIGINT</t>
        </is>
      </c>
      <c r="F160" s="9" t="inlineStr"/>
      <c r="G160" s="9" t="inlineStr"/>
      <c r="H160" s="16" t="inlineStr">
        <is>
          <t>t_purchase_order_line.id</t>
        </is>
      </c>
      <c r="I160" s="9" t="inlineStr"/>
      <c r="J160" s="16" t="inlineStr"/>
      <c r="K160" s="16" t="inlineStr"/>
    </row>
    <row r="161">
      <c r="A161" s="16" t="inlineStr">
        <is>
          <t>t_receipt_line</t>
        </is>
      </c>
      <c r="B161" s="9" t="n">
        <v>4</v>
      </c>
      <c r="C161" s="16" t="inlineStr">
        <is>
          <t>product_id</t>
        </is>
      </c>
      <c r="D161" s="16" t="inlineStr">
        <is>
          <t>商品ID</t>
        </is>
      </c>
      <c r="E161" s="9" t="inlineStr">
        <is>
          <t>BIGINT</t>
        </is>
      </c>
      <c r="F161" s="9" t="inlineStr"/>
      <c r="G161" s="9" t="inlineStr"/>
      <c r="H161" s="16" t="inlineStr">
        <is>
          <t>m_product.id</t>
        </is>
      </c>
      <c r="I161" s="9" t="inlineStr">
        <is>
          <t>Y</t>
        </is>
      </c>
      <c r="J161" s="16" t="inlineStr"/>
      <c r="K161" s="16" t="inlineStr"/>
    </row>
    <row r="162">
      <c r="A162" s="16" t="inlineStr">
        <is>
          <t>t_receipt_line</t>
        </is>
      </c>
      <c r="B162" s="9" t="n">
        <v>5</v>
      </c>
      <c r="C162" s="16" t="inlineStr">
        <is>
          <t>supplier_lot_no</t>
        </is>
      </c>
      <c r="D162" s="16" t="inlineStr">
        <is>
          <t>仕入先ロット番号</t>
        </is>
      </c>
      <c r="E162" s="9" t="inlineStr">
        <is>
          <t>VARCHAR</t>
        </is>
      </c>
      <c r="F162" s="9" t="inlineStr">
        <is>
          <t>50</t>
        </is>
      </c>
      <c r="G162" s="9" t="inlineStr"/>
      <c r="H162" s="16" t="inlineStr"/>
      <c r="I162" s="9" t="inlineStr">
        <is>
          <t>Y</t>
        </is>
      </c>
      <c r="J162" s="16" t="inlineStr"/>
      <c r="K162" s="16" t="inlineStr">
        <is>
          <t>下書き時に入力。確定時にロットを特定/生成</t>
        </is>
      </c>
    </row>
    <row r="163">
      <c r="A163" s="16" t="inlineStr">
        <is>
          <t>t_receipt_line</t>
        </is>
      </c>
      <c r="B163" s="9" t="n">
        <v>6</v>
      </c>
      <c r="C163" s="16" t="inlineStr">
        <is>
          <t>manufactured_on</t>
        </is>
      </c>
      <c r="D163" s="16" t="inlineStr">
        <is>
          <t>製造日</t>
        </is>
      </c>
      <c r="E163" s="9" t="inlineStr">
        <is>
          <t>DATE</t>
        </is>
      </c>
      <c r="F163" s="9" t="inlineStr"/>
      <c r="G163" s="9" t="inlineStr"/>
      <c r="H163" s="16" t="inlineStr"/>
      <c r="I163" s="9" t="inlineStr"/>
      <c r="J163" s="16" t="inlineStr"/>
      <c r="K163" s="16" t="inlineStr"/>
    </row>
    <row r="164">
      <c r="A164" s="16" t="inlineStr">
        <is>
          <t>t_receipt_line</t>
        </is>
      </c>
      <c r="B164" s="9" t="n">
        <v>7</v>
      </c>
      <c r="C164" s="16" t="inlineStr">
        <is>
          <t>expires_on</t>
        </is>
      </c>
      <c r="D164" s="16" t="inlineStr">
        <is>
          <t>使用期限</t>
        </is>
      </c>
      <c r="E164" s="9" t="inlineStr">
        <is>
          <t>DATE</t>
        </is>
      </c>
      <c r="F164" s="9" t="inlineStr"/>
      <c r="G164" s="9" t="inlineStr"/>
      <c r="H164" s="16" t="inlineStr"/>
      <c r="I164" s="9" t="inlineStr">
        <is>
          <t>Y</t>
        </is>
      </c>
      <c r="J164" s="16" t="inlineStr">
        <is>
          <t>製造日＋有効期間</t>
        </is>
      </c>
      <c r="K164" s="16" t="inlineStr">
        <is>
          <t>画面で初期表示。製造日不明時は入力必須</t>
        </is>
      </c>
    </row>
    <row r="165">
      <c r="A165" s="16" t="inlineStr">
        <is>
          <t>t_receipt_line</t>
        </is>
      </c>
      <c r="B165" s="9" t="n">
        <v>8</v>
      </c>
      <c r="C165" s="16" t="inlineStr">
        <is>
          <t>arrival_temp</t>
        </is>
      </c>
      <c r="D165" s="16" t="inlineStr">
        <is>
          <t>到着時温度（℃）</t>
        </is>
      </c>
      <c r="E165" s="9" t="inlineStr">
        <is>
          <t>NUMERIC</t>
        </is>
      </c>
      <c r="F165" s="9" t="inlineStr">
        <is>
          <t>5,1</t>
        </is>
      </c>
      <c r="G165" s="9" t="inlineStr"/>
      <c r="H165" s="16" t="inlineStr"/>
      <c r="I165" s="9" t="inlineStr"/>
      <c r="J165" s="16" t="inlineStr"/>
      <c r="K165" s="16" t="inlineStr">
        <is>
          <t>温度ロガー値（明細の温度区分ごと）</t>
        </is>
      </c>
    </row>
    <row r="166">
      <c r="A166" s="16" t="inlineStr">
        <is>
          <t>t_receipt_line</t>
        </is>
      </c>
      <c r="B166" s="9" t="n">
        <v>9</v>
      </c>
      <c r="C166" s="16" t="inlineStr">
        <is>
          <t>lot_id</t>
        </is>
      </c>
      <c r="D166" s="16" t="inlineStr">
        <is>
          <t>ロットID</t>
        </is>
      </c>
      <c r="E166" s="9" t="inlineStr">
        <is>
          <t>BIGINT</t>
        </is>
      </c>
      <c r="F166" s="9" t="inlineStr"/>
      <c r="G166" s="9" t="inlineStr"/>
      <c r="H166" s="16" t="inlineStr">
        <is>
          <t>t_lot.id</t>
        </is>
      </c>
      <c r="I166" s="9" t="inlineStr"/>
      <c r="J166" s="16" t="inlineStr"/>
      <c r="K166" s="16" t="inlineStr">
        <is>
          <t>入荷確定時に設定（確定後は必須）。分納は既存ロット</t>
        </is>
      </c>
    </row>
    <row r="167">
      <c r="A167" s="16" t="inlineStr">
        <is>
          <t>t_receipt_line</t>
        </is>
      </c>
      <c r="B167" s="9" t="n">
        <v>10</v>
      </c>
      <c r="C167" s="16" t="inlineStr">
        <is>
          <t>split_status</t>
        </is>
      </c>
      <c r="D167" s="16" t="inlineStr">
        <is>
          <t>分納判定</t>
        </is>
      </c>
      <c r="E167" s="9" t="inlineStr">
        <is>
          <t>VARCHAR</t>
        </is>
      </c>
      <c r="F167" s="9" t="inlineStr">
        <is>
          <t>20</t>
        </is>
      </c>
      <c r="G167" s="9" t="inlineStr"/>
      <c r="H167" s="16" t="inlineStr"/>
      <c r="I167" s="9" t="inlineStr"/>
      <c r="J167" s="16" t="inlineStr"/>
      <c r="K167" s="16" t="inlineStr">
        <is>
          <t>隔離入庫した分納のみ PENDING→ACCEPTED/REJECTED（P-16）。通常入荷はNULL</t>
        </is>
      </c>
    </row>
    <row r="168">
      <c r="A168" s="16" t="inlineStr">
        <is>
          <t>t_receipt_line</t>
        </is>
      </c>
      <c r="B168" s="9" t="n">
        <v>11</v>
      </c>
      <c r="C168" s="16" t="inlineStr">
        <is>
          <t>location_id</t>
        </is>
      </c>
      <c r="D168" s="16" t="inlineStr">
        <is>
          <t>入庫保管場所ID</t>
        </is>
      </c>
      <c r="E168" s="9" t="inlineStr">
        <is>
          <t>BIGINT</t>
        </is>
      </c>
      <c r="F168" s="9" t="inlineStr"/>
      <c r="G168" s="9" t="inlineStr"/>
      <c r="H168" s="16" t="inlineStr">
        <is>
          <t>m_location.id</t>
        </is>
      </c>
      <c r="I168" s="9" t="inlineStr">
        <is>
          <t>Y</t>
        </is>
      </c>
      <c r="J168" s="16" t="inlineStr"/>
      <c r="K168" s="16" t="inlineStr"/>
    </row>
    <row r="169">
      <c r="A169" s="16" t="inlineStr">
        <is>
          <t>t_receipt_line</t>
        </is>
      </c>
      <c r="B169" s="9" t="n">
        <v>12</v>
      </c>
      <c r="C169" s="16" t="inlineStr">
        <is>
          <t>quantity</t>
        </is>
      </c>
      <c r="D169" s="16" t="inlineStr">
        <is>
          <t>入荷数量</t>
        </is>
      </c>
      <c r="E169" s="9" t="inlineStr">
        <is>
          <t>INTEGER</t>
        </is>
      </c>
      <c r="F169" s="9" t="inlineStr"/>
      <c r="G169" s="9" t="inlineStr"/>
      <c r="H169" s="16" t="inlineStr"/>
      <c r="I169" s="9" t="inlineStr">
        <is>
          <t>Y</t>
        </is>
      </c>
      <c r="J169" s="16" t="inlineStr"/>
      <c r="K169" s="16" t="inlineStr">
        <is>
          <t>&gt; 0</t>
        </is>
      </c>
    </row>
    <row r="170">
      <c r="A170" s="16" t="inlineStr">
        <is>
          <t>t_receipt_line</t>
        </is>
      </c>
      <c r="B170" s="9" t="n">
        <v>13</v>
      </c>
      <c r="C170" s="16" t="inlineStr">
        <is>
          <t>unit_price</t>
        </is>
      </c>
      <c r="D170" s="16" t="inlineStr">
        <is>
          <t>仕入単価（円）</t>
        </is>
      </c>
      <c r="E170" s="9" t="inlineStr">
        <is>
          <t>NUMERIC</t>
        </is>
      </c>
      <c r="F170" s="9" t="inlineStr">
        <is>
          <t>12,2</t>
        </is>
      </c>
      <c r="G170" s="9" t="inlineStr"/>
      <c r="H170" s="16" t="inlineStr"/>
      <c r="I170" s="9" t="inlineStr">
        <is>
          <t>Y</t>
        </is>
      </c>
      <c r="J170" s="16" t="inlineStr"/>
      <c r="K170" s="16" t="inlineStr">
        <is>
          <t>税抜</t>
        </is>
      </c>
    </row>
    <row r="171">
      <c r="A171" s="16" t="inlineStr">
        <is>
          <t>t_receipt_line</t>
        </is>
      </c>
      <c r="B171" s="9" t="n">
        <v>14</v>
      </c>
      <c r="C171" s="16" t="inlineStr">
        <is>
          <t>created_at</t>
        </is>
      </c>
      <c r="D171" s="16" t="inlineStr">
        <is>
          <t>作成日時</t>
        </is>
      </c>
      <c r="E171" s="9" t="inlineStr">
        <is>
          <t>TIMESTAMPTZ</t>
        </is>
      </c>
      <c r="F171" s="9" t="inlineStr"/>
      <c r="G171" s="9" t="inlineStr"/>
      <c r="H171" s="16" t="inlineStr"/>
      <c r="I171" s="9" t="inlineStr">
        <is>
          <t>Y</t>
        </is>
      </c>
      <c r="J171" s="16" t="inlineStr">
        <is>
          <t>現在日時</t>
        </is>
      </c>
      <c r="K171" s="16" t="inlineStr"/>
    </row>
    <row r="172">
      <c r="A172" s="16" t="inlineStr">
        <is>
          <t>t_receipt_line</t>
        </is>
      </c>
      <c r="B172" s="9" t="n">
        <v>15</v>
      </c>
      <c r="C172" s="16" t="inlineStr">
        <is>
          <t>created_by</t>
        </is>
      </c>
      <c r="D172" s="16" t="inlineStr">
        <is>
          <t>作成者</t>
        </is>
      </c>
      <c r="E172" s="9" t="inlineStr">
        <is>
          <t>BIGINT</t>
        </is>
      </c>
      <c r="F172" s="9" t="inlineStr"/>
      <c r="G172" s="9" t="inlineStr"/>
      <c r="H172" s="16" t="inlineStr">
        <is>
          <t>m_user.id</t>
        </is>
      </c>
      <c r="I172" s="9" t="inlineStr">
        <is>
          <t>Y</t>
        </is>
      </c>
      <c r="J172" s="16" t="inlineStr"/>
      <c r="K172" s="16" t="inlineStr"/>
    </row>
    <row r="173">
      <c r="A173" s="16" t="inlineStr">
        <is>
          <t>t_receipt_line</t>
        </is>
      </c>
      <c r="B173" s="9" t="n">
        <v>16</v>
      </c>
      <c r="C173" s="16" t="inlineStr">
        <is>
          <t>updated_at</t>
        </is>
      </c>
      <c r="D173" s="16" t="inlineStr">
        <is>
          <t>更新日時</t>
        </is>
      </c>
      <c r="E173" s="9" t="inlineStr">
        <is>
          <t>TIMESTAMPTZ</t>
        </is>
      </c>
      <c r="F173" s="9" t="inlineStr"/>
      <c r="G173" s="9" t="inlineStr"/>
      <c r="H173" s="16" t="inlineStr"/>
      <c r="I173" s="9" t="inlineStr">
        <is>
          <t>Y</t>
        </is>
      </c>
      <c r="J173" s="16" t="inlineStr">
        <is>
          <t>現在日時</t>
        </is>
      </c>
      <c r="K173" s="16" t="inlineStr"/>
    </row>
    <row r="174">
      <c r="A174" s="16" t="inlineStr">
        <is>
          <t>t_receipt_line</t>
        </is>
      </c>
      <c r="B174" s="9" t="n">
        <v>17</v>
      </c>
      <c r="C174" s="16" t="inlineStr">
        <is>
          <t>updated_by</t>
        </is>
      </c>
      <c r="D174" s="16" t="inlineStr">
        <is>
          <t>更新者</t>
        </is>
      </c>
      <c r="E174" s="9" t="inlineStr">
        <is>
          <t>BIGINT</t>
        </is>
      </c>
      <c r="F174" s="9" t="inlineStr"/>
      <c r="G174" s="9" t="inlineStr"/>
      <c r="H174" s="16" t="inlineStr">
        <is>
          <t>m_user.id</t>
        </is>
      </c>
      <c r="I174" s="9" t="inlineStr">
        <is>
          <t>Y</t>
        </is>
      </c>
      <c r="J174" s="16" t="inlineStr"/>
      <c r="K174" s="16" t="inlineStr"/>
    </row>
    <row r="175">
      <c r="A175" s="16" t="inlineStr">
        <is>
          <t>t_receipt_line</t>
        </is>
      </c>
      <c r="B175" s="9" t="n">
        <v>18</v>
      </c>
      <c r="C175" s="16" t="inlineStr">
        <is>
          <t>version</t>
        </is>
      </c>
      <c r="D175" s="16" t="inlineStr">
        <is>
          <t>版数</t>
        </is>
      </c>
      <c r="E175" s="9" t="inlineStr">
        <is>
          <t>INTEGER</t>
        </is>
      </c>
      <c r="F175" s="9" t="inlineStr"/>
      <c r="G175" s="9" t="inlineStr"/>
      <c r="H175" s="16" t="inlineStr"/>
      <c r="I175" s="9" t="inlineStr">
        <is>
          <t>Y</t>
        </is>
      </c>
      <c r="J175" s="16" t="inlineStr">
        <is>
          <t>1</t>
        </is>
      </c>
      <c r="K175" s="16" t="inlineStr">
        <is>
          <t>楽観ロック用</t>
        </is>
      </c>
    </row>
    <row r="176">
      <c r="A176" s="22" t="inlineStr">
        <is>
          <t>t_lot</t>
        </is>
      </c>
      <c r="B176" s="23" t="inlineStr">
        <is>
          <t>【ロット】ロット（トレーサビリティの中核）</t>
        </is>
      </c>
      <c r="C176" s="24" t="n"/>
      <c r="D176" s="24" t="n"/>
      <c r="E176" s="24" t="n"/>
      <c r="F176" s="24" t="n"/>
      <c r="G176" s="24" t="n"/>
      <c r="H176" s="24" t="n"/>
      <c r="I176" s="24" t="n"/>
      <c r="J176" s="24" t="n"/>
      <c r="K176" s="25" t="n"/>
    </row>
    <row r="177">
      <c r="A177" s="16" t="inlineStr">
        <is>
          <t>t_lot</t>
        </is>
      </c>
      <c r="B177" s="9" t="n">
        <v>1</v>
      </c>
      <c r="C177" s="16" t="inlineStr">
        <is>
          <t>id</t>
        </is>
      </c>
      <c r="D177" s="16" t="inlineStr">
        <is>
          <t>ロットID</t>
        </is>
      </c>
      <c r="E177" s="9" t="inlineStr">
        <is>
          <t>BIGINT</t>
        </is>
      </c>
      <c r="F177" s="9" t="inlineStr"/>
      <c r="G177" s="9" t="inlineStr">
        <is>
          <t>Y</t>
        </is>
      </c>
      <c r="H177" s="16" t="inlineStr"/>
      <c r="I177" s="9" t="inlineStr">
        <is>
          <t>Y</t>
        </is>
      </c>
      <c r="J177" s="16" t="inlineStr">
        <is>
          <t>自動採番</t>
        </is>
      </c>
      <c r="K177" s="16" t="inlineStr"/>
    </row>
    <row r="178">
      <c r="A178" s="16" t="inlineStr">
        <is>
          <t>t_lot</t>
        </is>
      </c>
      <c r="B178" s="9" t="n">
        <v>2</v>
      </c>
      <c r="C178" s="16" t="inlineStr">
        <is>
          <t>lot_no</t>
        </is>
      </c>
      <c r="D178" s="16" t="inlineStr">
        <is>
          <t>社内ロット番号</t>
        </is>
      </c>
      <c r="E178" s="9" t="inlineStr">
        <is>
          <t>VARCHAR</t>
        </is>
      </c>
      <c r="F178" s="9" t="inlineStr">
        <is>
          <t>30</t>
        </is>
      </c>
      <c r="G178" s="9" t="inlineStr"/>
      <c r="H178" s="16" t="inlineStr"/>
      <c r="I178" s="9" t="inlineStr">
        <is>
          <t>Y</t>
        </is>
      </c>
      <c r="J178" s="16" t="inlineStr"/>
      <c r="K178" s="16" t="inlineStr">
        <is>
          <t>商品コード-YYMMDD-連番 一意</t>
        </is>
      </c>
    </row>
    <row r="179">
      <c r="A179" s="16" t="inlineStr">
        <is>
          <t>t_lot</t>
        </is>
      </c>
      <c r="B179" s="9" t="n">
        <v>3</v>
      </c>
      <c r="C179" s="16" t="inlineStr">
        <is>
          <t>product_id</t>
        </is>
      </c>
      <c r="D179" s="16" t="inlineStr">
        <is>
          <t>商品ID</t>
        </is>
      </c>
      <c r="E179" s="9" t="inlineStr">
        <is>
          <t>BIGINT</t>
        </is>
      </c>
      <c r="F179" s="9" t="inlineStr"/>
      <c r="G179" s="9" t="inlineStr"/>
      <c r="H179" s="16" t="inlineStr">
        <is>
          <t>m_product.id</t>
        </is>
      </c>
      <c r="I179" s="9" t="inlineStr">
        <is>
          <t>Y</t>
        </is>
      </c>
      <c r="J179" s="16" t="inlineStr"/>
      <c r="K179" s="16" t="inlineStr"/>
    </row>
    <row r="180">
      <c r="A180" s="16" t="inlineStr">
        <is>
          <t>t_lot</t>
        </is>
      </c>
      <c r="B180" s="9" t="n">
        <v>4</v>
      </c>
      <c r="C180" s="16" t="inlineStr">
        <is>
          <t>supplier_id</t>
        </is>
      </c>
      <c r="D180" s="16" t="inlineStr">
        <is>
          <t>仕入先ID</t>
        </is>
      </c>
      <c r="E180" s="9" t="inlineStr">
        <is>
          <t>BIGINT</t>
        </is>
      </c>
      <c r="F180" s="9" t="inlineStr"/>
      <c r="G180" s="9" t="inlineStr"/>
      <c r="H180" s="16" t="inlineStr">
        <is>
          <t>m_supplier.id</t>
        </is>
      </c>
      <c r="I180" s="9" t="inlineStr">
        <is>
          <t>Y</t>
        </is>
      </c>
      <c r="J180" s="16" t="inlineStr"/>
      <c r="K180" s="16" t="inlineStr"/>
    </row>
    <row r="181">
      <c r="A181" s="16" t="inlineStr">
        <is>
          <t>t_lot</t>
        </is>
      </c>
      <c r="B181" s="9" t="n">
        <v>5</v>
      </c>
      <c r="C181" s="16" t="inlineStr">
        <is>
          <t>supplier_lot_no</t>
        </is>
      </c>
      <c r="D181" s="16" t="inlineStr">
        <is>
          <t>仕入先ロット番号</t>
        </is>
      </c>
      <c r="E181" s="9" t="inlineStr">
        <is>
          <t>VARCHAR</t>
        </is>
      </c>
      <c r="F181" s="9" t="inlineStr">
        <is>
          <t>50</t>
        </is>
      </c>
      <c r="G181" s="9" t="inlineStr"/>
      <c r="H181" s="16" t="inlineStr"/>
      <c r="I181" s="9" t="inlineStr">
        <is>
          <t>Y</t>
        </is>
      </c>
      <c r="J181" s="16" t="inlineStr"/>
      <c r="K181" s="16" t="inlineStr">
        <is>
          <t>(仕入先,商品,仕入先ロット番号)で一意</t>
        </is>
      </c>
    </row>
    <row r="182">
      <c r="A182" s="16" t="inlineStr">
        <is>
          <t>t_lot</t>
        </is>
      </c>
      <c r="B182" s="9" t="n">
        <v>6</v>
      </c>
      <c r="C182" s="16" t="inlineStr">
        <is>
          <t>manufactured_on</t>
        </is>
      </c>
      <c r="D182" s="16" t="inlineStr">
        <is>
          <t>製造日</t>
        </is>
      </c>
      <c r="E182" s="9" t="inlineStr">
        <is>
          <t>DATE</t>
        </is>
      </c>
      <c r="F182" s="9" t="inlineStr"/>
      <c r="G182" s="9" t="inlineStr"/>
      <c r="H182" s="16" t="inlineStr"/>
      <c r="I182" s="9" t="inlineStr"/>
      <c r="J182" s="16" t="inlineStr"/>
      <c r="K182" s="16" t="inlineStr"/>
    </row>
    <row r="183">
      <c r="A183" s="16" t="inlineStr">
        <is>
          <t>t_lot</t>
        </is>
      </c>
      <c r="B183" s="9" t="n">
        <v>7</v>
      </c>
      <c r="C183" s="16" t="inlineStr">
        <is>
          <t>expires_on</t>
        </is>
      </c>
      <c r="D183" s="16" t="inlineStr">
        <is>
          <t>使用期限</t>
        </is>
      </c>
      <c r="E183" s="9" t="inlineStr">
        <is>
          <t>DATE</t>
        </is>
      </c>
      <c r="F183" s="9" t="inlineStr"/>
      <c r="G183" s="9" t="inlineStr"/>
      <c r="H183" s="16" t="inlineStr"/>
      <c r="I183" s="9" t="inlineStr">
        <is>
          <t>Y</t>
        </is>
      </c>
      <c r="J183" s="16" t="inlineStr"/>
      <c r="K183" s="16" t="inlineStr">
        <is>
          <t>入荷明細の使用期限。分納時は一致必須</t>
        </is>
      </c>
    </row>
    <row r="184">
      <c r="A184" s="16" t="inlineStr">
        <is>
          <t>t_lot</t>
        </is>
      </c>
      <c r="B184" s="9" t="n">
        <v>8</v>
      </c>
      <c r="C184" s="16" t="inlineStr">
        <is>
          <t>received_on</t>
        </is>
      </c>
      <c r="D184" s="16" t="inlineStr">
        <is>
          <t>初回入荷日</t>
        </is>
      </c>
      <c r="E184" s="9" t="inlineStr">
        <is>
          <t>DATE</t>
        </is>
      </c>
      <c r="F184" s="9" t="inlineStr"/>
      <c r="G184" s="9" t="inlineStr"/>
      <c r="H184" s="16" t="inlineStr"/>
      <c r="I184" s="9" t="inlineStr">
        <is>
          <t>Y</t>
        </is>
      </c>
      <c r="J184" s="16" t="inlineStr"/>
      <c r="K184" s="16" t="inlineStr">
        <is>
          <t>FEFO第2キー</t>
        </is>
      </c>
    </row>
    <row r="185">
      <c r="A185" s="16" t="inlineStr">
        <is>
          <t>t_lot</t>
        </is>
      </c>
      <c r="B185" s="9" t="n">
        <v>9</v>
      </c>
      <c r="C185" s="16" t="inlineStr">
        <is>
          <t>unit_cost</t>
        </is>
      </c>
      <c r="D185" s="16" t="inlineStr">
        <is>
          <t>原価単価（円）</t>
        </is>
      </c>
      <c r="E185" s="9" t="inlineStr">
        <is>
          <t>NUMERIC</t>
        </is>
      </c>
      <c r="F185" s="9" t="inlineStr">
        <is>
          <t>12,2</t>
        </is>
      </c>
      <c r="G185" s="9" t="inlineStr"/>
      <c r="H185" s="16" t="inlineStr"/>
      <c r="I185" s="9" t="inlineStr">
        <is>
          <t>Y</t>
        </is>
      </c>
      <c r="J185" s="16" t="inlineStr"/>
      <c r="K185" s="16" t="inlineStr">
        <is>
          <t>入荷の加重平均（P-01）。移行ロットは取込CSVで指定</t>
        </is>
      </c>
    </row>
    <row r="186">
      <c r="A186" s="16" t="inlineStr">
        <is>
          <t>t_lot</t>
        </is>
      </c>
      <c r="B186" s="9" t="n">
        <v>10</v>
      </c>
      <c r="C186" s="16" t="inlineStr">
        <is>
          <t>measured_particle_conc</t>
        </is>
      </c>
      <c r="D186" s="16" t="inlineStr">
        <is>
          <t>実測粒子濃度（個/mL）</t>
        </is>
      </c>
      <c r="E186" s="9" t="inlineStr">
        <is>
          <t>NUMERIC</t>
        </is>
      </c>
      <c r="F186" s="9" t="inlineStr">
        <is>
          <t>20,0</t>
        </is>
      </c>
      <c r="G186" s="9" t="inlineStr"/>
      <c r="H186" s="16" t="inlineStr"/>
      <c r="I186" s="9" t="inlineStr"/>
      <c r="J186" s="16" t="inlineStr"/>
      <c r="K186" s="16" t="inlineStr">
        <is>
          <t>COA値</t>
        </is>
      </c>
    </row>
    <row r="187">
      <c r="A187" s="16" t="inlineStr">
        <is>
          <t>t_lot</t>
        </is>
      </c>
      <c r="B187" s="9" t="n">
        <v>11</v>
      </c>
      <c r="C187" s="16" t="inlineStr">
        <is>
          <t>status</t>
        </is>
      </c>
      <c r="D187" s="16" t="inlineStr">
        <is>
          <t>ロットステータス</t>
        </is>
      </c>
      <c r="E187" s="9" t="inlineStr">
        <is>
          <t>VARCHAR</t>
        </is>
      </c>
      <c r="F187" s="9" t="inlineStr">
        <is>
          <t>20</t>
        </is>
      </c>
      <c r="G187" s="9" t="inlineStr"/>
      <c r="H187" s="16" t="inlineStr"/>
      <c r="I187" s="9" t="inlineStr">
        <is>
          <t>Y</t>
        </is>
      </c>
      <c r="J187" s="16" t="inlineStr">
        <is>
          <t>QUARANTINE</t>
        </is>
      </c>
      <c r="K187" s="16" t="inlineStr">
        <is>
          <t>状態遷移 参照</t>
        </is>
      </c>
    </row>
    <row r="188">
      <c r="A188" s="16" t="inlineStr">
        <is>
          <t>t_lot</t>
        </is>
      </c>
      <c r="B188" s="9" t="n">
        <v>12</v>
      </c>
      <c r="C188" s="16" t="inlineStr">
        <is>
          <t>status_reason</t>
        </is>
      </c>
      <c r="D188" s="16" t="inlineStr">
        <is>
          <t>最新ステータス変更理由</t>
        </is>
      </c>
      <c r="E188" s="9" t="inlineStr">
        <is>
          <t>TEXT</t>
        </is>
      </c>
      <c r="F188" s="9" t="inlineStr"/>
      <c r="G188" s="9" t="inlineStr"/>
      <c r="H188" s="16" t="inlineStr"/>
      <c r="I188" s="9" t="inlineStr"/>
      <c r="J188" s="16" t="inlineStr"/>
      <c r="K188" s="16" t="inlineStr">
        <is>
          <t>履歴は t_lot_status_history</t>
        </is>
      </c>
    </row>
    <row r="189">
      <c r="A189" s="16" t="inlineStr">
        <is>
          <t>t_lot</t>
        </is>
      </c>
      <c r="B189" s="9" t="n">
        <v>13</v>
      </c>
      <c r="C189" s="16" t="inlineStr">
        <is>
          <t>inspected_by</t>
        </is>
      </c>
      <c r="D189" s="16" t="inlineStr">
        <is>
          <t>検品者</t>
        </is>
      </c>
      <c r="E189" s="9" t="inlineStr">
        <is>
          <t>BIGINT</t>
        </is>
      </c>
      <c r="F189" s="9" t="inlineStr"/>
      <c r="G189" s="9" t="inlineStr"/>
      <c r="H189" s="16" t="inlineStr">
        <is>
          <t>m_user.id</t>
        </is>
      </c>
      <c r="I189" s="9" t="inlineStr"/>
      <c r="J189" s="16" t="inlineStr"/>
      <c r="K189" s="16" t="inlineStr"/>
    </row>
    <row r="190">
      <c r="A190" s="16" t="inlineStr">
        <is>
          <t>t_lot</t>
        </is>
      </c>
      <c r="B190" s="9" t="n">
        <v>14</v>
      </c>
      <c r="C190" s="16" t="inlineStr">
        <is>
          <t>inspected_at</t>
        </is>
      </c>
      <c r="D190" s="16" t="inlineStr">
        <is>
          <t>検品日時</t>
        </is>
      </c>
      <c r="E190" s="9" t="inlineStr">
        <is>
          <t>TIMESTAMPTZ</t>
        </is>
      </c>
      <c r="F190" s="9" t="inlineStr"/>
      <c r="G190" s="9" t="inlineStr"/>
      <c r="H190" s="16" t="inlineStr"/>
      <c r="I190" s="9" t="inlineStr"/>
      <c r="J190" s="16" t="inlineStr"/>
      <c r="K190" s="16" t="inlineStr"/>
    </row>
    <row r="191">
      <c r="A191" s="16" t="inlineStr">
        <is>
          <t>t_lot</t>
        </is>
      </c>
      <c r="B191" s="9" t="n">
        <v>15</v>
      </c>
      <c r="C191" s="16" t="inlineStr">
        <is>
          <t>created_at</t>
        </is>
      </c>
      <c r="D191" s="16" t="inlineStr">
        <is>
          <t>作成日時</t>
        </is>
      </c>
      <c r="E191" s="9" t="inlineStr">
        <is>
          <t>TIMESTAMPTZ</t>
        </is>
      </c>
      <c r="F191" s="9" t="inlineStr"/>
      <c r="G191" s="9" t="inlineStr"/>
      <c r="H191" s="16" t="inlineStr"/>
      <c r="I191" s="9" t="inlineStr">
        <is>
          <t>Y</t>
        </is>
      </c>
      <c r="J191" s="16" t="inlineStr">
        <is>
          <t>現在日時</t>
        </is>
      </c>
      <c r="K191" s="16" t="inlineStr"/>
    </row>
    <row r="192">
      <c r="A192" s="16" t="inlineStr">
        <is>
          <t>t_lot</t>
        </is>
      </c>
      <c r="B192" s="9" t="n">
        <v>16</v>
      </c>
      <c r="C192" s="16" t="inlineStr">
        <is>
          <t>created_by</t>
        </is>
      </c>
      <c r="D192" s="16" t="inlineStr">
        <is>
          <t>作成者</t>
        </is>
      </c>
      <c r="E192" s="9" t="inlineStr">
        <is>
          <t>BIGINT</t>
        </is>
      </c>
      <c r="F192" s="9" t="inlineStr"/>
      <c r="G192" s="9" t="inlineStr"/>
      <c r="H192" s="16" t="inlineStr">
        <is>
          <t>m_user.id</t>
        </is>
      </c>
      <c r="I192" s="9" t="inlineStr">
        <is>
          <t>Y</t>
        </is>
      </c>
      <c r="J192" s="16" t="inlineStr"/>
      <c r="K192" s="16" t="inlineStr"/>
    </row>
    <row r="193">
      <c r="A193" s="16" t="inlineStr">
        <is>
          <t>t_lot</t>
        </is>
      </c>
      <c r="B193" s="9" t="n">
        <v>17</v>
      </c>
      <c r="C193" s="16" t="inlineStr">
        <is>
          <t>updated_at</t>
        </is>
      </c>
      <c r="D193" s="16" t="inlineStr">
        <is>
          <t>更新日時</t>
        </is>
      </c>
      <c r="E193" s="9" t="inlineStr">
        <is>
          <t>TIMESTAMPTZ</t>
        </is>
      </c>
      <c r="F193" s="9" t="inlineStr"/>
      <c r="G193" s="9" t="inlineStr"/>
      <c r="H193" s="16" t="inlineStr"/>
      <c r="I193" s="9" t="inlineStr">
        <is>
          <t>Y</t>
        </is>
      </c>
      <c r="J193" s="16" t="inlineStr">
        <is>
          <t>現在日時</t>
        </is>
      </c>
      <c r="K193" s="16" t="inlineStr"/>
    </row>
    <row r="194">
      <c r="A194" s="16" t="inlineStr">
        <is>
          <t>t_lot</t>
        </is>
      </c>
      <c r="B194" s="9" t="n">
        <v>18</v>
      </c>
      <c r="C194" s="16" t="inlineStr">
        <is>
          <t>updated_by</t>
        </is>
      </c>
      <c r="D194" s="16" t="inlineStr">
        <is>
          <t>更新者</t>
        </is>
      </c>
      <c r="E194" s="9" t="inlineStr">
        <is>
          <t>BIGINT</t>
        </is>
      </c>
      <c r="F194" s="9" t="inlineStr"/>
      <c r="G194" s="9" t="inlineStr"/>
      <c r="H194" s="16" t="inlineStr">
        <is>
          <t>m_user.id</t>
        </is>
      </c>
      <c r="I194" s="9" t="inlineStr">
        <is>
          <t>Y</t>
        </is>
      </c>
      <c r="J194" s="16" t="inlineStr"/>
      <c r="K194" s="16" t="inlineStr"/>
    </row>
    <row r="195">
      <c r="A195" s="16" t="inlineStr">
        <is>
          <t>t_lot</t>
        </is>
      </c>
      <c r="B195" s="9" t="n">
        <v>19</v>
      </c>
      <c r="C195" s="16" t="inlineStr">
        <is>
          <t>version</t>
        </is>
      </c>
      <c r="D195" s="16" t="inlineStr">
        <is>
          <t>版数</t>
        </is>
      </c>
      <c r="E195" s="9" t="inlineStr">
        <is>
          <t>INTEGER</t>
        </is>
      </c>
      <c r="F195" s="9" t="inlineStr"/>
      <c r="G195" s="9" t="inlineStr"/>
      <c r="H195" s="16" t="inlineStr"/>
      <c r="I195" s="9" t="inlineStr">
        <is>
          <t>Y</t>
        </is>
      </c>
      <c r="J195" s="16" t="inlineStr">
        <is>
          <t>1</t>
        </is>
      </c>
      <c r="K195" s="16" t="inlineStr">
        <is>
          <t>楽観ロック用</t>
        </is>
      </c>
    </row>
    <row r="196">
      <c r="A196" s="22" t="inlineStr">
        <is>
          <t>t_lot_status_history</t>
        </is>
      </c>
      <c r="B196" s="23" t="inlineStr">
        <is>
          <t>【ロットステータス履歴】ロット判定・状態変更の経緯（追記のみ）</t>
        </is>
      </c>
      <c r="C196" s="24" t="n"/>
      <c r="D196" s="24" t="n"/>
      <c r="E196" s="24" t="n"/>
      <c r="F196" s="24" t="n"/>
      <c r="G196" s="24" t="n"/>
      <c r="H196" s="24" t="n"/>
      <c r="I196" s="24" t="n"/>
      <c r="J196" s="24" t="n"/>
      <c r="K196" s="25" t="n"/>
    </row>
    <row r="197">
      <c r="A197" s="16" t="inlineStr">
        <is>
          <t>t_lot_status_history</t>
        </is>
      </c>
      <c r="B197" s="9" t="n">
        <v>1</v>
      </c>
      <c r="C197" s="16" t="inlineStr">
        <is>
          <t>id</t>
        </is>
      </c>
      <c r="D197" s="16" t="inlineStr">
        <is>
          <t>ID</t>
        </is>
      </c>
      <c r="E197" s="9" t="inlineStr">
        <is>
          <t>BIGINT</t>
        </is>
      </c>
      <c r="F197" s="9" t="inlineStr"/>
      <c r="G197" s="9" t="inlineStr">
        <is>
          <t>Y</t>
        </is>
      </c>
      <c r="H197" s="16" t="inlineStr"/>
      <c r="I197" s="9" t="inlineStr">
        <is>
          <t>Y</t>
        </is>
      </c>
      <c r="J197" s="16" t="inlineStr">
        <is>
          <t>自動採番</t>
        </is>
      </c>
      <c r="K197" s="16" t="inlineStr"/>
    </row>
    <row r="198">
      <c r="A198" s="16" t="inlineStr">
        <is>
          <t>t_lot_status_history</t>
        </is>
      </c>
      <c r="B198" s="9" t="n">
        <v>2</v>
      </c>
      <c r="C198" s="16" t="inlineStr">
        <is>
          <t>lot_id</t>
        </is>
      </c>
      <c r="D198" s="16" t="inlineStr">
        <is>
          <t>ロットID</t>
        </is>
      </c>
      <c r="E198" s="9" t="inlineStr">
        <is>
          <t>BIGINT</t>
        </is>
      </c>
      <c r="F198" s="9" t="inlineStr"/>
      <c r="G198" s="9" t="inlineStr"/>
      <c r="H198" s="16" t="inlineStr">
        <is>
          <t>t_lot.id</t>
        </is>
      </c>
      <c r="I198" s="9" t="inlineStr">
        <is>
          <t>Y</t>
        </is>
      </c>
      <c r="J198" s="16" t="inlineStr"/>
      <c r="K198" s="16" t="inlineStr"/>
    </row>
    <row r="199">
      <c r="A199" s="16" t="inlineStr">
        <is>
          <t>t_lot_status_history</t>
        </is>
      </c>
      <c r="B199" s="9" t="n">
        <v>3</v>
      </c>
      <c r="C199" s="16" t="inlineStr">
        <is>
          <t>from_status</t>
        </is>
      </c>
      <c r="D199" s="16" t="inlineStr">
        <is>
          <t>変更前ステータス</t>
        </is>
      </c>
      <c r="E199" s="9" t="inlineStr">
        <is>
          <t>VARCHAR</t>
        </is>
      </c>
      <c r="F199" s="9" t="inlineStr">
        <is>
          <t>20</t>
        </is>
      </c>
      <c r="G199" s="9" t="inlineStr"/>
      <c r="H199" s="16" t="inlineStr"/>
      <c r="I199" s="9" t="inlineStr"/>
      <c r="J199" s="16" t="inlineStr"/>
      <c r="K199" s="16" t="inlineStr">
        <is>
          <t>新規生成時はNULL</t>
        </is>
      </c>
    </row>
    <row r="200">
      <c r="A200" s="16" t="inlineStr">
        <is>
          <t>t_lot_status_history</t>
        </is>
      </c>
      <c r="B200" s="9" t="n">
        <v>4</v>
      </c>
      <c r="C200" s="16" t="inlineStr">
        <is>
          <t>to_status</t>
        </is>
      </c>
      <c r="D200" s="16" t="inlineStr">
        <is>
          <t>変更後ステータス</t>
        </is>
      </c>
      <c r="E200" s="9" t="inlineStr">
        <is>
          <t>VARCHAR</t>
        </is>
      </c>
      <c r="F200" s="9" t="inlineStr">
        <is>
          <t>20</t>
        </is>
      </c>
      <c r="G200" s="9" t="inlineStr"/>
      <c r="H200" s="16" t="inlineStr"/>
      <c r="I200" s="9" t="inlineStr">
        <is>
          <t>Y</t>
        </is>
      </c>
      <c r="J200" s="16" t="inlineStr"/>
      <c r="K200" s="16" t="inlineStr"/>
    </row>
    <row r="201">
      <c r="A201" s="16" t="inlineStr">
        <is>
          <t>t_lot_status_history</t>
        </is>
      </c>
      <c r="B201" s="9" t="n">
        <v>5</v>
      </c>
      <c r="C201" s="16" t="inlineStr">
        <is>
          <t>reason</t>
        </is>
      </c>
      <c r="D201" s="16" t="inlineStr">
        <is>
          <t>理由</t>
        </is>
      </c>
      <c r="E201" s="9" t="inlineStr">
        <is>
          <t>TEXT</t>
        </is>
      </c>
      <c r="F201" s="9" t="inlineStr"/>
      <c r="G201" s="9" t="inlineStr"/>
      <c r="H201" s="16" t="inlineStr"/>
      <c r="I201" s="9" t="inlineStr"/>
      <c r="J201" s="16" t="inlineStr"/>
      <c r="K201" s="16" t="inlineStr"/>
    </row>
    <row r="202">
      <c r="A202" s="16" t="inlineStr">
        <is>
          <t>t_lot_status_history</t>
        </is>
      </c>
      <c r="B202" s="9" t="n">
        <v>6</v>
      </c>
      <c r="C202" s="16" t="inlineStr">
        <is>
          <t>temperature_log_id</t>
        </is>
      </c>
      <c r="D202" s="16" t="inlineStr">
        <is>
          <t>関連温度記録ID</t>
        </is>
      </c>
      <c r="E202" s="9" t="inlineStr">
        <is>
          <t>BIGINT</t>
        </is>
      </c>
      <c r="F202" s="9" t="inlineStr"/>
      <c r="G202" s="9" t="inlineStr"/>
      <c r="H202" s="16" t="inlineStr">
        <is>
          <t>t_temperature_log.id</t>
        </is>
      </c>
      <c r="I202" s="9" t="inlineStr"/>
      <c r="J202" s="16" t="inlineStr"/>
      <c r="K202" s="16" t="inlineStr">
        <is>
          <t>温度逸脱による保留時</t>
        </is>
      </c>
    </row>
    <row r="203">
      <c r="A203" s="16" t="inlineStr">
        <is>
          <t>t_lot_status_history</t>
        </is>
      </c>
      <c r="B203" s="9" t="n">
        <v>7</v>
      </c>
      <c r="C203" s="16" t="inlineStr">
        <is>
          <t>recall_id</t>
        </is>
      </c>
      <c r="D203" s="16" t="inlineStr">
        <is>
          <t>関連回収案件ID</t>
        </is>
      </c>
      <c r="E203" s="9" t="inlineStr">
        <is>
          <t>BIGINT</t>
        </is>
      </c>
      <c r="F203" s="9" t="inlineStr"/>
      <c r="G203" s="9" t="inlineStr"/>
      <c r="H203" s="16" t="inlineStr">
        <is>
          <t>t_recall.id</t>
        </is>
      </c>
      <c r="I203" s="9" t="inlineStr"/>
      <c r="J203" s="16" t="inlineStr"/>
      <c r="K203" s="16" t="inlineStr">
        <is>
          <t>回収による変更時</t>
        </is>
      </c>
    </row>
    <row r="204">
      <c r="A204" s="16" t="inlineStr">
        <is>
          <t>t_lot_status_history</t>
        </is>
      </c>
      <c r="B204" s="9" t="n">
        <v>8</v>
      </c>
      <c r="C204" s="16" t="inlineStr">
        <is>
          <t>changed_at</t>
        </is>
      </c>
      <c r="D204" s="16" t="inlineStr">
        <is>
          <t>変更日時</t>
        </is>
      </c>
      <c r="E204" s="9" t="inlineStr">
        <is>
          <t>TIMESTAMPTZ</t>
        </is>
      </c>
      <c r="F204" s="9" t="inlineStr"/>
      <c r="G204" s="9" t="inlineStr"/>
      <c r="H204" s="16" t="inlineStr"/>
      <c r="I204" s="9" t="inlineStr">
        <is>
          <t>Y</t>
        </is>
      </c>
      <c r="J204" s="16" t="inlineStr">
        <is>
          <t>現在日時</t>
        </is>
      </c>
      <c r="K204" s="16" t="inlineStr"/>
    </row>
    <row r="205">
      <c r="A205" s="16" t="inlineStr">
        <is>
          <t>t_lot_status_history</t>
        </is>
      </c>
      <c r="B205" s="9" t="n">
        <v>9</v>
      </c>
      <c r="C205" s="16" t="inlineStr">
        <is>
          <t>created_at</t>
        </is>
      </c>
      <c r="D205" s="16" t="inlineStr">
        <is>
          <t>作成日時</t>
        </is>
      </c>
      <c r="E205" s="9" t="inlineStr">
        <is>
          <t>TIMESTAMPTZ</t>
        </is>
      </c>
      <c r="F205" s="9" t="inlineStr"/>
      <c r="G205" s="9" t="inlineStr"/>
      <c r="H205" s="16" t="inlineStr"/>
      <c r="I205" s="9" t="inlineStr">
        <is>
          <t>Y</t>
        </is>
      </c>
      <c r="J205" s="16" t="inlineStr">
        <is>
          <t>現在日時</t>
        </is>
      </c>
      <c r="K205" s="16" t="inlineStr"/>
    </row>
    <row r="206">
      <c r="A206" s="16" t="inlineStr">
        <is>
          <t>t_lot_status_history</t>
        </is>
      </c>
      <c r="B206" s="9" t="n">
        <v>10</v>
      </c>
      <c r="C206" s="16" t="inlineStr">
        <is>
          <t>created_by</t>
        </is>
      </c>
      <c r="D206" s="16" t="inlineStr">
        <is>
          <t>作成者</t>
        </is>
      </c>
      <c r="E206" s="9" t="inlineStr">
        <is>
          <t>BIGINT</t>
        </is>
      </c>
      <c r="F206" s="9" t="inlineStr"/>
      <c r="G206" s="9" t="inlineStr"/>
      <c r="H206" s="16" t="inlineStr">
        <is>
          <t>m_user.id</t>
        </is>
      </c>
      <c r="I206" s="9" t="inlineStr">
        <is>
          <t>Y</t>
        </is>
      </c>
      <c r="J206" s="16" t="inlineStr"/>
      <c r="K206" s="16" t="inlineStr"/>
    </row>
    <row r="207">
      <c r="A207" s="22" t="inlineStr">
        <is>
          <t>t_inventory</t>
        </is>
      </c>
      <c r="B207" s="23" t="inlineStr">
        <is>
          <t>【在庫】ロット×保管場所の現在庫（移動履歴の集計結果）</t>
        </is>
      </c>
      <c r="C207" s="24" t="n"/>
      <c r="D207" s="24" t="n"/>
      <c r="E207" s="24" t="n"/>
      <c r="F207" s="24" t="n"/>
      <c r="G207" s="24" t="n"/>
      <c r="H207" s="24" t="n"/>
      <c r="I207" s="24" t="n"/>
      <c r="J207" s="24" t="n"/>
      <c r="K207" s="25" t="n"/>
    </row>
    <row r="208">
      <c r="A208" s="16" t="inlineStr">
        <is>
          <t>t_inventory</t>
        </is>
      </c>
      <c r="B208" s="9" t="n">
        <v>1</v>
      </c>
      <c r="C208" s="16" t="inlineStr">
        <is>
          <t>id</t>
        </is>
      </c>
      <c r="D208" s="16" t="inlineStr">
        <is>
          <t>在庫ID</t>
        </is>
      </c>
      <c r="E208" s="9" t="inlineStr">
        <is>
          <t>BIGINT</t>
        </is>
      </c>
      <c r="F208" s="9" t="inlineStr"/>
      <c r="G208" s="9" t="inlineStr">
        <is>
          <t>Y</t>
        </is>
      </c>
      <c r="H208" s="16" t="inlineStr"/>
      <c r="I208" s="9" t="inlineStr">
        <is>
          <t>Y</t>
        </is>
      </c>
      <c r="J208" s="16" t="inlineStr">
        <is>
          <t>自動採番</t>
        </is>
      </c>
      <c r="K208" s="16" t="inlineStr"/>
    </row>
    <row r="209">
      <c r="A209" s="16" t="inlineStr">
        <is>
          <t>t_inventory</t>
        </is>
      </c>
      <c r="B209" s="9" t="n">
        <v>2</v>
      </c>
      <c r="C209" s="16" t="inlineStr">
        <is>
          <t>lot_id</t>
        </is>
      </c>
      <c r="D209" s="16" t="inlineStr">
        <is>
          <t>ロットID</t>
        </is>
      </c>
      <c r="E209" s="9" t="inlineStr">
        <is>
          <t>BIGINT</t>
        </is>
      </c>
      <c r="F209" s="9" t="inlineStr"/>
      <c r="G209" s="9" t="inlineStr"/>
      <c r="H209" s="16" t="inlineStr">
        <is>
          <t>t_lot.id</t>
        </is>
      </c>
      <c r="I209" s="9" t="inlineStr">
        <is>
          <t>Y</t>
        </is>
      </c>
      <c r="J209" s="16" t="inlineStr"/>
      <c r="K209" s="16" t="inlineStr">
        <is>
          <t>(ロット,保管場所)で一意</t>
        </is>
      </c>
    </row>
    <row r="210">
      <c r="A210" s="16" t="inlineStr">
        <is>
          <t>t_inventory</t>
        </is>
      </c>
      <c r="B210" s="9" t="n">
        <v>3</v>
      </c>
      <c r="C210" s="16" t="inlineStr">
        <is>
          <t>location_id</t>
        </is>
      </c>
      <c r="D210" s="16" t="inlineStr">
        <is>
          <t>保管場所ID</t>
        </is>
      </c>
      <c r="E210" s="9" t="inlineStr">
        <is>
          <t>BIGINT</t>
        </is>
      </c>
      <c r="F210" s="9" t="inlineStr"/>
      <c r="G210" s="9" t="inlineStr"/>
      <c r="H210" s="16" t="inlineStr">
        <is>
          <t>m_location.id</t>
        </is>
      </c>
      <c r="I210" s="9" t="inlineStr">
        <is>
          <t>Y</t>
        </is>
      </c>
      <c r="J210" s="16" t="inlineStr"/>
      <c r="K210" s="16" t="inlineStr"/>
    </row>
    <row r="211">
      <c r="A211" s="16" t="inlineStr">
        <is>
          <t>t_inventory</t>
        </is>
      </c>
      <c r="B211" s="9" t="n">
        <v>4</v>
      </c>
      <c r="C211" s="16" t="inlineStr">
        <is>
          <t>on_hand_qty</t>
        </is>
      </c>
      <c r="D211" s="16" t="inlineStr">
        <is>
          <t>現在庫数</t>
        </is>
      </c>
      <c r="E211" s="9" t="inlineStr">
        <is>
          <t>INTEGER</t>
        </is>
      </c>
      <c r="F211" s="9" t="inlineStr"/>
      <c r="G211" s="9" t="inlineStr"/>
      <c r="H211" s="16" t="inlineStr"/>
      <c r="I211" s="9" t="inlineStr">
        <is>
          <t>Y</t>
        </is>
      </c>
      <c r="J211" s="16" t="inlineStr">
        <is>
          <t>0</t>
        </is>
      </c>
      <c r="K211" s="16" t="inlineStr">
        <is>
          <t>&gt;= 0。在庫移動履歴の合計と一致</t>
        </is>
      </c>
    </row>
    <row r="212">
      <c r="A212" s="16" t="inlineStr">
        <is>
          <t>t_inventory</t>
        </is>
      </c>
      <c r="B212" s="9" t="n">
        <v>5</v>
      </c>
      <c r="C212" s="16" t="inlineStr">
        <is>
          <t>allocated_qty</t>
        </is>
      </c>
      <c r="D212" s="16" t="inlineStr">
        <is>
          <t>引当済数</t>
        </is>
      </c>
      <c r="E212" s="9" t="inlineStr">
        <is>
          <t>INTEGER</t>
        </is>
      </c>
      <c r="F212" s="9" t="inlineStr"/>
      <c r="G212" s="9" t="inlineStr"/>
      <c r="H212" s="16" t="inlineStr"/>
      <c r="I212" s="9" t="inlineStr">
        <is>
          <t>Y</t>
        </is>
      </c>
      <c r="J212" s="16" t="inlineStr">
        <is>
          <t>0</t>
        </is>
      </c>
      <c r="K212" s="16" t="inlineStr">
        <is>
          <t>&lt;= 現在庫数</t>
        </is>
      </c>
    </row>
    <row r="213">
      <c r="A213" s="16" t="inlineStr">
        <is>
          <t>t_inventory</t>
        </is>
      </c>
      <c r="B213" s="9" t="n">
        <v>6</v>
      </c>
      <c r="C213" s="16" t="inlineStr">
        <is>
          <t>created_at</t>
        </is>
      </c>
      <c r="D213" s="16" t="inlineStr">
        <is>
          <t>作成日時</t>
        </is>
      </c>
      <c r="E213" s="9" t="inlineStr">
        <is>
          <t>TIMESTAMPTZ</t>
        </is>
      </c>
      <c r="F213" s="9" t="inlineStr"/>
      <c r="G213" s="9" t="inlineStr"/>
      <c r="H213" s="16" t="inlineStr"/>
      <c r="I213" s="9" t="inlineStr">
        <is>
          <t>Y</t>
        </is>
      </c>
      <c r="J213" s="16" t="inlineStr">
        <is>
          <t>現在日時</t>
        </is>
      </c>
      <c r="K213" s="16" t="inlineStr"/>
    </row>
    <row r="214">
      <c r="A214" s="16" t="inlineStr">
        <is>
          <t>t_inventory</t>
        </is>
      </c>
      <c r="B214" s="9" t="n">
        <v>7</v>
      </c>
      <c r="C214" s="16" t="inlineStr">
        <is>
          <t>created_by</t>
        </is>
      </c>
      <c r="D214" s="16" t="inlineStr">
        <is>
          <t>作成者</t>
        </is>
      </c>
      <c r="E214" s="9" t="inlineStr">
        <is>
          <t>BIGINT</t>
        </is>
      </c>
      <c r="F214" s="9" t="inlineStr"/>
      <c r="G214" s="9" t="inlineStr"/>
      <c r="H214" s="16" t="inlineStr">
        <is>
          <t>m_user.id</t>
        </is>
      </c>
      <c r="I214" s="9" t="inlineStr">
        <is>
          <t>Y</t>
        </is>
      </c>
      <c r="J214" s="16" t="inlineStr"/>
      <c r="K214" s="16" t="inlineStr"/>
    </row>
    <row r="215">
      <c r="A215" s="16" t="inlineStr">
        <is>
          <t>t_inventory</t>
        </is>
      </c>
      <c r="B215" s="9" t="n">
        <v>8</v>
      </c>
      <c r="C215" s="16" t="inlineStr">
        <is>
          <t>updated_at</t>
        </is>
      </c>
      <c r="D215" s="16" t="inlineStr">
        <is>
          <t>更新日時</t>
        </is>
      </c>
      <c r="E215" s="9" t="inlineStr">
        <is>
          <t>TIMESTAMPTZ</t>
        </is>
      </c>
      <c r="F215" s="9" t="inlineStr"/>
      <c r="G215" s="9" t="inlineStr"/>
      <c r="H215" s="16" t="inlineStr"/>
      <c r="I215" s="9" t="inlineStr">
        <is>
          <t>Y</t>
        </is>
      </c>
      <c r="J215" s="16" t="inlineStr">
        <is>
          <t>現在日時</t>
        </is>
      </c>
      <c r="K215" s="16" t="inlineStr"/>
    </row>
    <row r="216">
      <c r="A216" s="16" t="inlineStr">
        <is>
          <t>t_inventory</t>
        </is>
      </c>
      <c r="B216" s="9" t="n">
        <v>9</v>
      </c>
      <c r="C216" s="16" t="inlineStr">
        <is>
          <t>updated_by</t>
        </is>
      </c>
      <c r="D216" s="16" t="inlineStr">
        <is>
          <t>更新者</t>
        </is>
      </c>
      <c r="E216" s="9" t="inlineStr">
        <is>
          <t>BIGINT</t>
        </is>
      </c>
      <c r="F216" s="9" t="inlineStr"/>
      <c r="G216" s="9" t="inlineStr"/>
      <c r="H216" s="16" t="inlineStr">
        <is>
          <t>m_user.id</t>
        </is>
      </c>
      <c r="I216" s="9" t="inlineStr">
        <is>
          <t>Y</t>
        </is>
      </c>
      <c r="J216" s="16" t="inlineStr"/>
      <c r="K216" s="16" t="inlineStr"/>
    </row>
    <row r="217">
      <c r="A217" s="16" t="inlineStr">
        <is>
          <t>t_inventory</t>
        </is>
      </c>
      <c r="B217" s="9" t="n">
        <v>10</v>
      </c>
      <c r="C217" s="16" t="inlineStr">
        <is>
          <t>version</t>
        </is>
      </c>
      <c r="D217" s="16" t="inlineStr">
        <is>
          <t>版数</t>
        </is>
      </c>
      <c r="E217" s="9" t="inlineStr">
        <is>
          <t>INTEGER</t>
        </is>
      </c>
      <c r="F217" s="9" t="inlineStr"/>
      <c r="G217" s="9" t="inlineStr"/>
      <c r="H217" s="16" t="inlineStr"/>
      <c r="I217" s="9" t="inlineStr">
        <is>
          <t>Y</t>
        </is>
      </c>
      <c r="J217" s="16" t="inlineStr">
        <is>
          <t>1</t>
        </is>
      </c>
      <c r="K217" s="16" t="inlineStr">
        <is>
          <t>楽観ロック用</t>
        </is>
      </c>
    </row>
    <row r="218">
      <c r="A218" s="22" t="inlineStr">
        <is>
          <t>t_stock_movement</t>
        </is>
      </c>
      <c r="B218" s="23" t="inlineStr">
        <is>
          <t>【在庫移動履歴】在庫の全増減の記録（追記のみ）</t>
        </is>
      </c>
      <c r="C218" s="24" t="n"/>
      <c r="D218" s="24" t="n"/>
      <c r="E218" s="24" t="n"/>
      <c r="F218" s="24" t="n"/>
      <c r="G218" s="24" t="n"/>
      <c r="H218" s="24" t="n"/>
      <c r="I218" s="24" t="n"/>
      <c r="J218" s="24" t="n"/>
      <c r="K218" s="25" t="n"/>
    </row>
    <row r="219">
      <c r="A219" s="16" t="inlineStr">
        <is>
          <t>t_stock_movement</t>
        </is>
      </c>
      <c r="B219" s="9" t="n">
        <v>1</v>
      </c>
      <c r="C219" s="16" t="inlineStr">
        <is>
          <t>id</t>
        </is>
      </c>
      <c r="D219" s="16" t="inlineStr">
        <is>
          <t>移動履歴ID</t>
        </is>
      </c>
      <c r="E219" s="9" t="inlineStr">
        <is>
          <t>BIGINT</t>
        </is>
      </c>
      <c r="F219" s="9" t="inlineStr"/>
      <c r="G219" s="9" t="inlineStr">
        <is>
          <t>Y</t>
        </is>
      </c>
      <c r="H219" s="16" t="inlineStr"/>
      <c r="I219" s="9" t="inlineStr">
        <is>
          <t>Y</t>
        </is>
      </c>
      <c r="J219" s="16" t="inlineStr">
        <is>
          <t>自動採番</t>
        </is>
      </c>
      <c r="K219" s="16" t="inlineStr"/>
    </row>
    <row r="220">
      <c r="A220" s="16" t="inlineStr">
        <is>
          <t>t_stock_movement</t>
        </is>
      </c>
      <c r="B220" s="9" t="n">
        <v>2</v>
      </c>
      <c r="C220" s="16" t="inlineStr">
        <is>
          <t>moved_at</t>
        </is>
      </c>
      <c r="D220" s="16" t="inlineStr">
        <is>
          <t>発生日時</t>
        </is>
      </c>
      <c r="E220" s="9" t="inlineStr">
        <is>
          <t>TIMESTAMPTZ</t>
        </is>
      </c>
      <c r="F220" s="9" t="inlineStr"/>
      <c r="G220" s="9" t="inlineStr"/>
      <c r="H220" s="16" t="inlineStr"/>
      <c r="I220" s="9" t="inlineStr">
        <is>
          <t>Y</t>
        </is>
      </c>
      <c r="J220" s="16" t="inlineStr"/>
      <c r="K220" s="16" t="inlineStr"/>
    </row>
    <row r="221">
      <c r="A221" s="16" t="inlineStr">
        <is>
          <t>t_stock_movement</t>
        </is>
      </c>
      <c r="B221" s="9" t="n">
        <v>3</v>
      </c>
      <c r="C221" s="16" t="inlineStr">
        <is>
          <t>movement_type</t>
        </is>
      </c>
      <c r="D221" s="16" t="inlineStr">
        <is>
          <t>移動区分</t>
        </is>
      </c>
      <c r="E221" s="9" t="inlineStr">
        <is>
          <t>VARCHAR</t>
        </is>
      </c>
      <c r="F221" s="9" t="inlineStr">
        <is>
          <t>20</t>
        </is>
      </c>
      <c r="G221" s="9" t="inlineStr"/>
      <c r="H221" s="16" t="inlineStr"/>
      <c r="I221" s="9" t="inlineStr">
        <is>
          <t>Y</t>
        </is>
      </c>
      <c r="J221" s="16" t="inlineStr"/>
      <c r="K221" s="16" t="inlineStr">
        <is>
          <t>RECEIPT/SHIPMENT/TRANSFER_IN/TRANSFER_OUT/ADJUST/DISPOSE/RETURN/SUPPLIER_RETURN/CANCEL</t>
        </is>
      </c>
    </row>
    <row r="222">
      <c r="A222" s="16" t="inlineStr">
        <is>
          <t>t_stock_movement</t>
        </is>
      </c>
      <c r="B222" s="9" t="n">
        <v>4</v>
      </c>
      <c r="C222" s="16" t="inlineStr">
        <is>
          <t>lot_id</t>
        </is>
      </c>
      <c r="D222" s="16" t="inlineStr">
        <is>
          <t>ロットID</t>
        </is>
      </c>
      <c r="E222" s="9" t="inlineStr">
        <is>
          <t>BIGINT</t>
        </is>
      </c>
      <c r="F222" s="9" t="inlineStr"/>
      <c r="G222" s="9" t="inlineStr"/>
      <c r="H222" s="16" t="inlineStr">
        <is>
          <t>t_lot.id</t>
        </is>
      </c>
      <c r="I222" s="9" t="inlineStr">
        <is>
          <t>Y</t>
        </is>
      </c>
      <c r="J222" s="16" t="inlineStr"/>
      <c r="K222" s="16" t="inlineStr"/>
    </row>
    <row r="223">
      <c r="A223" s="16" t="inlineStr">
        <is>
          <t>t_stock_movement</t>
        </is>
      </c>
      <c r="B223" s="9" t="n">
        <v>5</v>
      </c>
      <c r="C223" s="16" t="inlineStr">
        <is>
          <t>location_id</t>
        </is>
      </c>
      <c r="D223" s="16" t="inlineStr">
        <is>
          <t>保管場所ID</t>
        </is>
      </c>
      <c r="E223" s="9" t="inlineStr">
        <is>
          <t>BIGINT</t>
        </is>
      </c>
      <c r="F223" s="9" t="inlineStr"/>
      <c r="G223" s="9" t="inlineStr"/>
      <c r="H223" s="16" t="inlineStr">
        <is>
          <t>m_location.id</t>
        </is>
      </c>
      <c r="I223" s="9" t="inlineStr">
        <is>
          <t>Y</t>
        </is>
      </c>
      <c r="J223" s="16" t="inlineStr"/>
      <c r="K223" s="16" t="inlineStr"/>
    </row>
    <row r="224">
      <c r="A224" s="16" t="inlineStr">
        <is>
          <t>t_stock_movement</t>
        </is>
      </c>
      <c r="B224" s="9" t="n">
        <v>6</v>
      </c>
      <c r="C224" s="16" t="inlineStr">
        <is>
          <t>quantity</t>
        </is>
      </c>
      <c r="D224" s="16" t="inlineStr">
        <is>
          <t>数量（符号付）</t>
        </is>
      </c>
      <c r="E224" s="9" t="inlineStr">
        <is>
          <t>INTEGER</t>
        </is>
      </c>
      <c r="F224" s="9" t="inlineStr"/>
      <c r="G224" s="9" t="inlineStr"/>
      <c r="H224" s="16" t="inlineStr"/>
      <c r="I224" s="9" t="inlineStr">
        <is>
          <t>Y</t>
        </is>
      </c>
      <c r="J224" s="16" t="inlineStr"/>
      <c r="K224" s="16" t="inlineStr">
        <is>
          <t>入庫＋／出庫−</t>
        </is>
      </c>
    </row>
    <row r="225">
      <c r="A225" s="16" t="inlineStr">
        <is>
          <t>t_stock_movement</t>
        </is>
      </c>
      <c r="B225" s="9" t="n">
        <v>7</v>
      </c>
      <c r="C225" s="16" t="inlineStr">
        <is>
          <t>ref_type</t>
        </is>
      </c>
      <c r="D225" s="16" t="inlineStr">
        <is>
          <t>参照伝票種別</t>
        </is>
      </c>
      <c r="E225" s="9" t="inlineStr">
        <is>
          <t>VARCHAR</t>
        </is>
      </c>
      <c r="F225" s="9" t="inlineStr">
        <is>
          <t>30</t>
        </is>
      </c>
      <c r="G225" s="9" t="inlineStr"/>
      <c r="H225" s="16" t="inlineStr"/>
      <c r="I225" s="9" t="inlineStr"/>
      <c r="J225" s="16" t="inlineStr"/>
      <c r="K225" s="16" t="inlineStr">
        <is>
          <t>receipt_line/shipment_line/return 等</t>
        </is>
      </c>
    </row>
    <row r="226">
      <c r="A226" s="16" t="inlineStr">
        <is>
          <t>t_stock_movement</t>
        </is>
      </c>
      <c r="B226" s="9" t="n">
        <v>8</v>
      </c>
      <c r="C226" s="16" t="inlineStr">
        <is>
          <t>ref_id</t>
        </is>
      </c>
      <c r="D226" s="16" t="inlineStr">
        <is>
          <t>参照伝票ID</t>
        </is>
      </c>
      <c r="E226" s="9" t="inlineStr">
        <is>
          <t>BIGINT</t>
        </is>
      </c>
      <c r="F226" s="9" t="inlineStr"/>
      <c r="G226" s="9" t="inlineStr"/>
      <c r="H226" s="16" t="inlineStr"/>
      <c r="I226" s="9" t="inlineStr"/>
      <c r="J226" s="16" t="inlineStr"/>
      <c r="K226" s="16" t="inlineStr"/>
    </row>
    <row r="227">
      <c r="A227" s="16" t="inlineStr">
        <is>
          <t>t_stock_movement</t>
        </is>
      </c>
      <c r="B227" s="9" t="n">
        <v>9</v>
      </c>
      <c r="C227" s="16" t="inlineStr">
        <is>
          <t>reason</t>
        </is>
      </c>
      <c r="D227" s="16" t="inlineStr">
        <is>
          <t>理由</t>
        </is>
      </c>
      <c r="E227" s="9" t="inlineStr">
        <is>
          <t>TEXT</t>
        </is>
      </c>
      <c r="F227" s="9" t="inlineStr"/>
      <c r="G227" s="9" t="inlineStr"/>
      <c r="H227" s="16" t="inlineStr"/>
      <c r="I227" s="9" t="inlineStr"/>
      <c r="J227" s="16" t="inlineStr"/>
      <c r="K227" s="16" t="inlineStr">
        <is>
          <t>ADJUST/DISPOSE時必須</t>
        </is>
      </c>
    </row>
    <row r="228">
      <c r="A228" s="16" t="inlineStr">
        <is>
          <t>t_stock_movement</t>
        </is>
      </c>
      <c r="B228" s="9" t="n">
        <v>10</v>
      </c>
      <c r="C228" s="16" t="inlineStr">
        <is>
          <t>created_at</t>
        </is>
      </c>
      <c r="D228" s="16" t="inlineStr">
        <is>
          <t>作成日時</t>
        </is>
      </c>
      <c r="E228" s="9" t="inlineStr">
        <is>
          <t>TIMESTAMPTZ</t>
        </is>
      </c>
      <c r="F228" s="9" t="inlineStr"/>
      <c r="G228" s="9" t="inlineStr"/>
      <c r="H228" s="16" t="inlineStr"/>
      <c r="I228" s="9" t="inlineStr">
        <is>
          <t>Y</t>
        </is>
      </c>
      <c r="J228" s="16" t="inlineStr">
        <is>
          <t>現在日時</t>
        </is>
      </c>
      <c r="K228" s="16" t="inlineStr"/>
    </row>
    <row r="229">
      <c r="A229" s="16" t="inlineStr">
        <is>
          <t>t_stock_movement</t>
        </is>
      </c>
      <c r="B229" s="9" t="n">
        <v>11</v>
      </c>
      <c r="C229" s="16" t="inlineStr">
        <is>
          <t>created_by</t>
        </is>
      </c>
      <c r="D229" s="16" t="inlineStr">
        <is>
          <t>作成者</t>
        </is>
      </c>
      <c r="E229" s="9" t="inlineStr">
        <is>
          <t>BIGINT</t>
        </is>
      </c>
      <c r="F229" s="9" t="inlineStr"/>
      <c r="G229" s="9" t="inlineStr"/>
      <c r="H229" s="16" t="inlineStr">
        <is>
          <t>m_user.id</t>
        </is>
      </c>
      <c r="I229" s="9" t="inlineStr">
        <is>
          <t>Y</t>
        </is>
      </c>
      <c r="J229" s="16" t="inlineStr"/>
      <c r="K229" s="16" t="inlineStr"/>
    </row>
    <row r="230">
      <c r="A230" s="22" t="inlineStr">
        <is>
          <t>t_sales_order</t>
        </is>
      </c>
      <c r="B230" s="23" t="inlineStr">
        <is>
          <t>【受注】受注ヘッダ</t>
        </is>
      </c>
      <c r="C230" s="24" t="n"/>
      <c r="D230" s="24" t="n"/>
      <c r="E230" s="24" t="n"/>
      <c r="F230" s="24" t="n"/>
      <c r="G230" s="24" t="n"/>
      <c r="H230" s="24" t="n"/>
      <c r="I230" s="24" t="n"/>
      <c r="J230" s="24" t="n"/>
      <c r="K230" s="25" t="n"/>
    </row>
    <row r="231">
      <c r="A231" s="16" t="inlineStr">
        <is>
          <t>t_sales_order</t>
        </is>
      </c>
      <c r="B231" s="9" t="n">
        <v>1</v>
      </c>
      <c r="C231" s="16" t="inlineStr">
        <is>
          <t>id</t>
        </is>
      </c>
      <c r="D231" s="16" t="inlineStr">
        <is>
          <t>受注ID</t>
        </is>
      </c>
      <c r="E231" s="9" t="inlineStr">
        <is>
          <t>BIGINT</t>
        </is>
      </c>
      <c r="F231" s="9" t="inlineStr"/>
      <c r="G231" s="9" t="inlineStr">
        <is>
          <t>Y</t>
        </is>
      </c>
      <c r="H231" s="16" t="inlineStr"/>
      <c r="I231" s="9" t="inlineStr">
        <is>
          <t>Y</t>
        </is>
      </c>
      <c r="J231" s="16" t="inlineStr">
        <is>
          <t>自動採番</t>
        </is>
      </c>
      <c r="K231" s="16" t="inlineStr"/>
    </row>
    <row r="232">
      <c r="A232" s="16" t="inlineStr">
        <is>
          <t>t_sales_order</t>
        </is>
      </c>
      <c r="B232" s="9" t="n">
        <v>2</v>
      </c>
      <c r="C232" s="16" t="inlineStr">
        <is>
          <t>so_no</t>
        </is>
      </c>
      <c r="D232" s="16" t="inlineStr">
        <is>
          <t>受注番号</t>
        </is>
      </c>
      <c r="E232" s="9" t="inlineStr">
        <is>
          <t>VARCHAR</t>
        </is>
      </c>
      <c r="F232" s="9" t="inlineStr">
        <is>
          <t>20</t>
        </is>
      </c>
      <c r="G232" s="9" t="inlineStr"/>
      <c r="H232" s="16" t="inlineStr"/>
      <c r="I232" s="9" t="inlineStr">
        <is>
          <t>Y</t>
        </is>
      </c>
      <c r="J232" s="16" t="inlineStr"/>
      <c r="K232" s="16" t="inlineStr">
        <is>
          <t>SO-YYYYMM-NNNN 一意</t>
        </is>
      </c>
    </row>
    <row r="233">
      <c r="A233" s="16" t="inlineStr">
        <is>
          <t>t_sales_order</t>
        </is>
      </c>
      <c r="B233" s="9" t="n">
        <v>3</v>
      </c>
      <c r="C233" s="16" t="inlineStr">
        <is>
          <t>customer_id</t>
        </is>
      </c>
      <c r="D233" s="16" t="inlineStr">
        <is>
          <t>顧客ID</t>
        </is>
      </c>
      <c r="E233" s="9" t="inlineStr">
        <is>
          <t>BIGINT</t>
        </is>
      </c>
      <c r="F233" s="9" t="inlineStr"/>
      <c r="G233" s="9" t="inlineStr"/>
      <c r="H233" s="16" t="inlineStr">
        <is>
          <t>m_customer.id</t>
        </is>
      </c>
      <c r="I233" s="9" t="inlineStr">
        <is>
          <t>Y</t>
        </is>
      </c>
      <c r="J233" s="16" t="inlineStr"/>
      <c r="K233" s="16" t="inlineStr"/>
    </row>
    <row r="234">
      <c r="A234" s="16" t="inlineStr">
        <is>
          <t>t_sales_order</t>
        </is>
      </c>
      <c r="B234" s="9" t="n">
        <v>4</v>
      </c>
      <c r="C234" s="16" t="inlineStr">
        <is>
          <t>ship_to_id</t>
        </is>
      </c>
      <c r="D234" s="16" t="inlineStr">
        <is>
          <t>納品先ID</t>
        </is>
      </c>
      <c r="E234" s="9" t="inlineStr">
        <is>
          <t>BIGINT</t>
        </is>
      </c>
      <c r="F234" s="9" t="inlineStr"/>
      <c r="G234" s="9" t="inlineStr"/>
      <c r="H234" s="16" t="inlineStr">
        <is>
          <t>m_ship_to.id</t>
        </is>
      </c>
      <c r="I234" s="9" t="inlineStr">
        <is>
          <t>Y</t>
        </is>
      </c>
      <c r="J234" s="16" t="inlineStr"/>
      <c r="K234" s="16" t="inlineStr">
        <is>
          <t>顧客に属する納品先のみ</t>
        </is>
      </c>
    </row>
    <row r="235">
      <c r="A235" s="16" t="inlineStr">
        <is>
          <t>t_sales_order</t>
        </is>
      </c>
      <c r="B235" s="9" t="n">
        <v>5</v>
      </c>
      <c r="C235" s="16" t="inlineStr">
        <is>
          <t>order_date</t>
        </is>
      </c>
      <c r="D235" s="16" t="inlineStr">
        <is>
          <t>受注日</t>
        </is>
      </c>
      <c r="E235" s="9" t="inlineStr">
        <is>
          <t>DATE</t>
        </is>
      </c>
      <c r="F235" s="9" t="inlineStr"/>
      <c r="G235" s="9" t="inlineStr"/>
      <c r="H235" s="16" t="inlineStr"/>
      <c r="I235" s="9" t="inlineStr">
        <is>
          <t>Y</t>
        </is>
      </c>
      <c r="J235" s="16" t="inlineStr"/>
      <c r="K235" s="16" t="inlineStr"/>
    </row>
    <row r="236">
      <c r="A236" s="16" t="inlineStr">
        <is>
          <t>t_sales_order</t>
        </is>
      </c>
      <c r="B236" s="9" t="n">
        <v>6</v>
      </c>
      <c r="C236" s="16" t="inlineStr">
        <is>
          <t>requested_date</t>
        </is>
      </c>
      <c r="D236" s="16" t="inlineStr">
        <is>
          <t>希望納期</t>
        </is>
      </c>
      <c r="E236" s="9" t="inlineStr">
        <is>
          <t>DATE</t>
        </is>
      </c>
      <c r="F236" s="9" t="inlineStr"/>
      <c r="G236" s="9" t="inlineStr"/>
      <c r="H236" s="16" t="inlineStr"/>
      <c r="I236" s="9" t="inlineStr"/>
      <c r="J236" s="16" t="inlineStr"/>
      <c r="K236" s="16" t="inlineStr"/>
    </row>
    <row r="237">
      <c r="A237" s="16" t="inlineStr">
        <is>
          <t>t_sales_order</t>
        </is>
      </c>
      <c r="B237" s="9" t="n">
        <v>7</v>
      </c>
      <c r="C237" s="16" t="inlineStr">
        <is>
          <t>sales_user_id</t>
        </is>
      </c>
      <c r="D237" s="16" t="inlineStr">
        <is>
          <t>営業担当</t>
        </is>
      </c>
      <c r="E237" s="9" t="inlineStr">
        <is>
          <t>BIGINT</t>
        </is>
      </c>
      <c r="F237" s="9" t="inlineStr"/>
      <c r="G237" s="9" t="inlineStr"/>
      <c r="H237" s="16" t="inlineStr">
        <is>
          <t>m_user.id</t>
        </is>
      </c>
      <c r="I237" s="9" t="inlineStr">
        <is>
          <t>Y</t>
        </is>
      </c>
      <c r="J237" s="16" t="inlineStr"/>
      <c r="K237" s="16" t="inlineStr"/>
    </row>
    <row r="238">
      <c r="A238" s="16" t="inlineStr">
        <is>
          <t>t_sales_order</t>
        </is>
      </c>
      <c r="B238" s="9" t="n">
        <v>8</v>
      </c>
      <c r="C238" s="16" t="inlineStr">
        <is>
          <t>credit_approved_by</t>
        </is>
      </c>
      <c r="D238" s="16" t="inlineStr">
        <is>
          <t>与信超過承認者</t>
        </is>
      </c>
      <c r="E238" s="9" t="inlineStr">
        <is>
          <t>BIGINT</t>
        </is>
      </c>
      <c r="F238" s="9" t="inlineStr"/>
      <c r="G238" s="9" t="inlineStr"/>
      <c r="H238" s="16" t="inlineStr">
        <is>
          <t>m_user.id</t>
        </is>
      </c>
      <c r="I238" s="9" t="inlineStr"/>
      <c r="J238" s="16" t="inlineStr"/>
      <c r="K238" s="16" t="inlineStr">
        <is>
          <t>BR-11 超過時のADMIN承認</t>
        </is>
      </c>
    </row>
    <row r="239">
      <c r="A239" s="16" t="inlineStr">
        <is>
          <t>t_sales_order</t>
        </is>
      </c>
      <c r="B239" s="9" t="n">
        <v>9</v>
      </c>
      <c r="C239" s="16" t="inlineStr">
        <is>
          <t>credit_approved_at</t>
        </is>
      </c>
      <c r="D239" s="16" t="inlineStr">
        <is>
          <t>与信超過承認日時</t>
        </is>
      </c>
      <c r="E239" s="9" t="inlineStr">
        <is>
          <t>TIMESTAMPTZ</t>
        </is>
      </c>
      <c r="F239" s="9" t="inlineStr"/>
      <c r="G239" s="9" t="inlineStr"/>
      <c r="H239" s="16" t="inlineStr"/>
      <c r="I239" s="9" t="inlineStr"/>
      <c r="J239" s="16" t="inlineStr"/>
      <c r="K239" s="16" t="inlineStr"/>
    </row>
    <row r="240">
      <c r="A240" s="16" t="inlineStr">
        <is>
          <t>t_sales_order</t>
        </is>
      </c>
      <c r="B240" s="9" t="n">
        <v>10</v>
      </c>
      <c r="C240" s="16" t="inlineStr">
        <is>
          <t>status</t>
        </is>
      </c>
      <c r="D240" s="16" t="inlineStr">
        <is>
          <t>ステータス</t>
        </is>
      </c>
      <c r="E240" s="9" t="inlineStr">
        <is>
          <t>VARCHAR</t>
        </is>
      </c>
      <c r="F240" s="9" t="inlineStr">
        <is>
          <t>20</t>
        </is>
      </c>
      <c r="G240" s="9" t="inlineStr"/>
      <c r="H240" s="16" t="inlineStr"/>
      <c r="I240" s="9" t="inlineStr">
        <is>
          <t>Y</t>
        </is>
      </c>
      <c r="J240" s="16" t="inlineStr">
        <is>
          <t>OPEN</t>
        </is>
      </c>
      <c r="K240" s="16" t="inlineStr">
        <is>
          <t>CREDIT_PENDING/OPEN/PARTIAL/SHIPPED/CLOSED/CANCELLED</t>
        </is>
      </c>
    </row>
    <row r="241">
      <c r="A241" s="16" t="inlineStr">
        <is>
          <t>t_sales_order</t>
        </is>
      </c>
      <c r="B241" s="9" t="n">
        <v>11</v>
      </c>
      <c r="C241" s="16" t="inlineStr">
        <is>
          <t>note</t>
        </is>
      </c>
      <c r="D241" s="16" t="inlineStr">
        <is>
          <t>備考</t>
        </is>
      </c>
      <c r="E241" s="9" t="inlineStr">
        <is>
          <t>TEXT</t>
        </is>
      </c>
      <c r="F241" s="9" t="inlineStr"/>
      <c r="G241" s="9" t="inlineStr"/>
      <c r="H241" s="16" t="inlineStr"/>
      <c r="I241" s="9" t="inlineStr"/>
      <c r="J241" s="16" t="inlineStr"/>
      <c r="K241" s="16" t="inlineStr"/>
    </row>
    <row r="242">
      <c r="A242" s="16" t="inlineStr">
        <is>
          <t>t_sales_order</t>
        </is>
      </c>
      <c r="B242" s="9" t="n">
        <v>12</v>
      </c>
      <c r="C242" s="16" t="inlineStr">
        <is>
          <t>created_at</t>
        </is>
      </c>
      <c r="D242" s="16" t="inlineStr">
        <is>
          <t>作成日時</t>
        </is>
      </c>
      <c r="E242" s="9" t="inlineStr">
        <is>
          <t>TIMESTAMPTZ</t>
        </is>
      </c>
      <c r="F242" s="9" t="inlineStr"/>
      <c r="G242" s="9" t="inlineStr"/>
      <c r="H242" s="16" t="inlineStr"/>
      <c r="I242" s="9" t="inlineStr">
        <is>
          <t>Y</t>
        </is>
      </c>
      <c r="J242" s="16" t="inlineStr">
        <is>
          <t>現在日時</t>
        </is>
      </c>
      <c r="K242" s="16" t="inlineStr"/>
    </row>
    <row r="243">
      <c r="A243" s="16" t="inlineStr">
        <is>
          <t>t_sales_order</t>
        </is>
      </c>
      <c r="B243" s="9" t="n">
        <v>13</v>
      </c>
      <c r="C243" s="16" t="inlineStr">
        <is>
          <t>created_by</t>
        </is>
      </c>
      <c r="D243" s="16" t="inlineStr">
        <is>
          <t>作成者</t>
        </is>
      </c>
      <c r="E243" s="9" t="inlineStr">
        <is>
          <t>BIGINT</t>
        </is>
      </c>
      <c r="F243" s="9" t="inlineStr"/>
      <c r="G243" s="9" t="inlineStr"/>
      <c r="H243" s="16" t="inlineStr">
        <is>
          <t>m_user.id</t>
        </is>
      </c>
      <c r="I243" s="9" t="inlineStr">
        <is>
          <t>Y</t>
        </is>
      </c>
      <c r="J243" s="16" t="inlineStr"/>
      <c r="K243" s="16" t="inlineStr"/>
    </row>
    <row r="244">
      <c r="A244" s="16" t="inlineStr">
        <is>
          <t>t_sales_order</t>
        </is>
      </c>
      <c r="B244" s="9" t="n">
        <v>14</v>
      </c>
      <c r="C244" s="16" t="inlineStr">
        <is>
          <t>updated_at</t>
        </is>
      </c>
      <c r="D244" s="16" t="inlineStr">
        <is>
          <t>更新日時</t>
        </is>
      </c>
      <c r="E244" s="9" t="inlineStr">
        <is>
          <t>TIMESTAMPTZ</t>
        </is>
      </c>
      <c r="F244" s="9" t="inlineStr"/>
      <c r="G244" s="9" t="inlineStr"/>
      <c r="H244" s="16" t="inlineStr"/>
      <c r="I244" s="9" t="inlineStr">
        <is>
          <t>Y</t>
        </is>
      </c>
      <c r="J244" s="16" t="inlineStr">
        <is>
          <t>現在日時</t>
        </is>
      </c>
      <c r="K244" s="16" t="inlineStr"/>
    </row>
    <row r="245">
      <c r="A245" s="16" t="inlineStr">
        <is>
          <t>t_sales_order</t>
        </is>
      </c>
      <c r="B245" s="9" t="n">
        <v>15</v>
      </c>
      <c r="C245" s="16" t="inlineStr">
        <is>
          <t>updated_by</t>
        </is>
      </c>
      <c r="D245" s="16" t="inlineStr">
        <is>
          <t>更新者</t>
        </is>
      </c>
      <c r="E245" s="9" t="inlineStr">
        <is>
          <t>BIGINT</t>
        </is>
      </c>
      <c r="F245" s="9" t="inlineStr"/>
      <c r="G245" s="9" t="inlineStr"/>
      <c r="H245" s="16" t="inlineStr">
        <is>
          <t>m_user.id</t>
        </is>
      </c>
      <c r="I245" s="9" t="inlineStr">
        <is>
          <t>Y</t>
        </is>
      </c>
      <c r="J245" s="16" t="inlineStr"/>
      <c r="K245" s="16" t="inlineStr"/>
    </row>
    <row r="246">
      <c r="A246" s="16" t="inlineStr">
        <is>
          <t>t_sales_order</t>
        </is>
      </c>
      <c r="B246" s="9" t="n">
        <v>16</v>
      </c>
      <c r="C246" s="16" t="inlineStr">
        <is>
          <t>version</t>
        </is>
      </c>
      <c r="D246" s="16" t="inlineStr">
        <is>
          <t>版数</t>
        </is>
      </c>
      <c r="E246" s="9" t="inlineStr">
        <is>
          <t>INTEGER</t>
        </is>
      </c>
      <c r="F246" s="9" t="inlineStr"/>
      <c r="G246" s="9" t="inlineStr"/>
      <c r="H246" s="16" t="inlineStr"/>
      <c r="I246" s="9" t="inlineStr">
        <is>
          <t>Y</t>
        </is>
      </c>
      <c r="J246" s="16" t="inlineStr">
        <is>
          <t>1</t>
        </is>
      </c>
      <c r="K246" s="16" t="inlineStr">
        <is>
          <t>楽観ロック用</t>
        </is>
      </c>
    </row>
    <row r="247">
      <c r="A247" s="22" t="inlineStr">
        <is>
          <t>t_sales_order_line</t>
        </is>
      </c>
      <c r="B247" s="23" t="inlineStr">
        <is>
          <t>【受注明細】受注明細</t>
        </is>
      </c>
      <c r="C247" s="24" t="n"/>
      <c r="D247" s="24" t="n"/>
      <c r="E247" s="24" t="n"/>
      <c r="F247" s="24" t="n"/>
      <c r="G247" s="24" t="n"/>
      <c r="H247" s="24" t="n"/>
      <c r="I247" s="24" t="n"/>
      <c r="J247" s="24" t="n"/>
      <c r="K247" s="25" t="n"/>
    </row>
    <row r="248">
      <c r="A248" s="16" t="inlineStr">
        <is>
          <t>t_sales_order_line</t>
        </is>
      </c>
      <c r="B248" s="9" t="n">
        <v>1</v>
      </c>
      <c r="C248" s="16" t="inlineStr">
        <is>
          <t>id</t>
        </is>
      </c>
      <c r="D248" s="16" t="inlineStr">
        <is>
          <t>受注明細ID</t>
        </is>
      </c>
      <c r="E248" s="9" t="inlineStr">
        <is>
          <t>BIGINT</t>
        </is>
      </c>
      <c r="F248" s="9" t="inlineStr"/>
      <c r="G248" s="9" t="inlineStr">
        <is>
          <t>Y</t>
        </is>
      </c>
      <c r="H248" s="16" t="inlineStr"/>
      <c r="I248" s="9" t="inlineStr">
        <is>
          <t>Y</t>
        </is>
      </c>
      <c r="J248" s="16" t="inlineStr">
        <is>
          <t>自動採番</t>
        </is>
      </c>
      <c r="K248" s="16" t="inlineStr"/>
    </row>
    <row r="249">
      <c r="A249" s="16" t="inlineStr">
        <is>
          <t>t_sales_order_line</t>
        </is>
      </c>
      <c r="B249" s="9" t="n">
        <v>2</v>
      </c>
      <c r="C249" s="16" t="inlineStr">
        <is>
          <t>sales_order_id</t>
        </is>
      </c>
      <c r="D249" s="16" t="inlineStr">
        <is>
          <t>受注ID</t>
        </is>
      </c>
      <c r="E249" s="9" t="inlineStr">
        <is>
          <t>BIGINT</t>
        </is>
      </c>
      <c r="F249" s="9" t="inlineStr"/>
      <c r="G249" s="9" t="inlineStr"/>
      <c r="H249" s="16" t="inlineStr">
        <is>
          <t>t_sales_order.id</t>
        </is>
      </c>
      <c r="I249" s="9" t="inlineStr">
        <is>
          <t>Y</t>
        </is>
      </c>
      <c r="J249" s="16" t="inlineStr"/>
      <c r="K249" s="16" t="inlineStr"/>
    </row>
    <row r="250">
      <c r="A250" s="16" t="inlineStr">
        <is>
          <t>t_sales_order_line</t>
        </is>
      </c>
      <c r="B250" s="9" t="n">
        <v>3</v>
      </c>
      <c r="C250" s="16" t="inlineStr">
        <is>
          <t>line_no</t>
        </is>
      </c>
      <c r="D250" s="16" t="inlineStr">
        <is>
          <t>行番号</t>
        </is>
      </c>
      <c r="E250" s="9" t="inlineStr">
        <is>
          <t>INTEGER</t>
        </is>
      </c>
      <c r="F250" s="9" t="inlineStr"/>
      <c r="G250" s="9" t="inlineStr"/>
      <c r="H250" s="16" t="inlineStr"/>
      <c r="I250" s="9" t="inlineStr">
        <is>
          <t>Y</t>
        </is>
      </c>
      <c r="J250" s="16" t="inlineStr"/>
      <c r="K250" s="16" t="inlineStr"/>
    </row>
    <row r="251">
      <c r="A251" s="16" t="inlineStr">
        <is>
          <t>t_sales_order_line</t>
        </is>
      </c>
      <c r="B251" s="9" t="n">
        <v>4</v>
      </c>
      <c r="C251" s="16" t="inlineStr">
        <is>
          <t>product_id</t>
        </is>
      </c>
      <c r="D251" s="16" t="inlineStr">
        <is>
          <t>商品ID</t>
        </is>
      </c>
      <c r="E251" s="9" t="inlineStr">
        <is>
          <t>BIGINT</t>
        </is>
      </c>
      <c r="F251" s="9" t="inlineStr"/>
      <c r="G251" s="9" t="inlineStr"/>
      <c r="H251" s="16" t="inlineStr">
        <is>
          <t>m_product.id</t>
        </is>
      </c>
      <c r="I251" s="9" t="inlineStr">
        <is>
          <t>Y</t>
        </is>
      </c>
      <c r="J251" s="16" t="inlineStr"/>
      <c r="K251" s="16" t="inlineStr"/>
    </row>
    <row r="252">
      <c r="A252" s="16" t="inlineStr">
        <is>
          <t>t_sales_order_line</t>
        </is>
      </c>
      <c r="B252" s="9" t="n">
        <v>5</v>
      </c>
      <c r="C252" s="16" t="inlineStr">
        <is>
          <t>quantity</t>
        </is>
      </c>
      <c r="D252" s="16" t="inlineStr">
        <is>
          <t>受注数量</t>
        </is>
      </c>
      <c r="E252" s="9" t="inlineStr">
        <is>
          <t>INTEGER</t>
        </is>
      </c>
      <c r="F252" s="9" t="inlineStr"/>
      <c r="G252" s="9" t="inlineStr"/>
      <c r="H252" s="16" t="inlineStr"/>
      <c r="I252" s="9" t="inlineStr">
        <is>
          <t>Y</t>
        </is>
      </c>
      <c r="J252" s="16" t="inlineStr"/>
      <c r="K252" s="16" t="inlineStr">
        <is>
          <t>&gt; 0</t>
        </is>
      </c>
    </row>
    <row r="253">
      <c r="A253" s="16" t="inlineStr">
        <is>
          <t>t_sales_order_line</t>
        </is>
      </c>
      <c r="B253" s="9" t="n">
        <v>6</v>
      </c>
      <c r="C253" s="16" t="inlineStr">
        <is>
          <t>unit_price</t>
        </is>
      </c>
      <c r="D253" s="16" t="inlineStr">
        <is>
          <t>販売単価（円）</t>
        </is>
      </c>
      <c r="E253" s="9" t="inlineStr">
        <is>
          <t>NUMERIC</t>
        </is>
      </c>
      <c r="F253" s="9" t="inlineStr">
        <is>
          <t>12,2</t>
        </is>
      </c>
      <c r="G253" s="9" t="inlineStr"/>
      <c r="H253" s="16" t="inlineStr"/>
      <c r="I253" s="9" t="inlineStr">
        <is>
          <t>Y</t>
        </is>
      </c>
      <c r="J253" s="16" t="inlineStr"/>
      <c r="K253" s="16" t="inlineStr">
        <is>
          <t>税抜</t>
        </is>
      </c>
    </row>
    <row r="254">
      <c r="A254" s="16" t="inlineStr">
        <is>
          <t>t_sales_order_line</t>
        </is>
      </c>
      <c r="B254" s="9" t="n">
        <v>7</v>
      </c>
      <c r="C254" s="16" t="inlineStr">
        <is>
          <t>shipped_qty</t>
        </is>
      </c>
      <c r="D254" s="16" t="inlineStr">
        <is>
          <t>出荷済数量</t>
        </is>
      </c>
      <c r="E254" s="9" t="inlineStr">
        <is>
          <t>INTEGER</t>
        </is>
      </c>
      <c r="F254" s="9" t="inlineStr"/>
      <c r="G254" s="9" t="inlineStr"/>
      <c r="H254" s="16" t="inlineStr"/>
      <c r="I254" s="9" t="inlineStr">
        <is>
          <t>Y</t>
        </is>
      </c>
      <c r="J254" s="16" t="inlineStr">
        <is>
          <t>0</t>
        </is>
      </c>
      <c r="K254" s="16" t="inlineStr"/>
    </row>
    <row r="255">
      <c r="A255" s="16" t="inlineStr">
        <is>
          <t>t_sales_order_line</t>
        </is>
      </c>
      <c r="B255" s="9" t="n">
        <v>8</v>
      </c>
      <c r="C255" s="16" t="inlineStr">
        <is>
          <t>created_at</t>
        </is>
      </c>
      <c r="D255" s="16" t="inlineStr">
        <is>
          <t>作成日時</t>
        </is>
      </c>
      <c r="E255" s="9" t="inlineStr">
        <is>
          <t>TIMESTAMPTZ</t>
        </is>
      </c>
      <c r="F255" s="9" t="inlineStr"/>
      <c r="G255" s="9" t="inlineStr"/>
      <c r="H255" s="16" t="inlineStr"/>
      <c r="I255" s="9" t="inlineStr">
        <is>
          <t>Y</t>
        </is>
      </c>
      <c r="J255" s="16" t="inlineStr">
        <is>
          <t>現在日時</t>
        </is>
      </c>
      <c r="K255" s="16" t="inlineStr"/>
    </row>
    <row r="256">
      <c r="A256" s="16" t="inlineStr">
        <is>
          <t>t_sales_order_line</t>
        </is>
      </c>
      <c r="B256" s="9" t="n">
        <v>9</v>
      </c>
      <c r="C256" s="16" t="inlineStr">
        <is>
          <t>created_by</t>
        </is>
      </c>
      <c r="D256" s="16" t="inlineStr">
        <is>
          <t>作成者</t>
        </is>
      </c>
      <c r="E256" s="9" t="inlineStr">
        <is>
          <t>BIGINT</t>
        </is>
      </c>
      <c r="F256" s="9" t="inlineStr"/>
      <c r="G256" s="9" t="inlineStr"/>
      <c r="H256" s="16" t="inlineStr">
        <is>
          <t>m_user.id</t>
        </is>
      </c>
      <c r="I256" s="9" t="inlineStr">
        <is>
          <t>Y</t>
        </is>
      </c>
      <c r="J256" s="16" t="inlineStr"/>
      <c r="K256" s="16" t="inlineStr"/>
    </row>
    <row r="257">
      <c r="A257" s="16" t="inlineStr">
        <is>
          <t>t_sales_order_line</t>
        </is>
      </c>
      <c r="B257" s="9" t="n">
        <v>10</v>
      </c>
      <c r="C257" s="16" t="inlineStr">
        <is>
          <t>updated_at</t>
        </is>
      </c>
      <c r="D257" s="16" t="inlineStr">
        <is>
          <t>更新日時</t>
        </is>
      </c>
      <c r="E257" s="9" t="inlineStr">
        <is>
          <t>TIMESTAMPTZ</t>
        </is>
      </c>
      <c r="F257" s="9" t="inlineStr"/>
      <c r="G257" s="9" t="inlineStr"/>
      <c r="H257" s="16" t="inlineStr"/>
      <c r="I257" s="9" t="inlineStr">
        <is>
          <t>Y</t>
        </is>
      </c>
      <c r="J257" s="16" t="inlineStr">
        <is>
          <t>現在日時</t>
        </is>
      </c>
      <c r="K257" s="16" t="inlineStr"/>
    </row>
    <row r="258">
      <c r="A258" s="16" t="inlineStr">
        <is>
          <t>t_sales_order_line</t>
        </is>
      </c>
      <c r="B258" s="9" t="n">
        <v>11</v>
      </c>
      <c r="C258" s="16" t="inlineStr">
        <is>
          <t>updated_by</t>
        </is>
      </c>
      <c r="D258" s="16" t="inlineStr">
        <is>
          <t>更新者</t>
        </is>
      </c>
      <c r="E258" s="9" t="inlineStr">
        <is>
          <t>BIGINT</t>
        </is>
      </c>
      <c r="F258" s="9" t="inlineStr"/>
      <c r="G258" s="9" t="inlineStr"/>
      <c r="H258" s="16" t="inlineStr">
        <is>
          <t>m_user.id</t>
        </is>
      </c>
      <c r="I258" s="9" t="inlineStr">
        <is>
          <t>Y</t>
        </is>
      </c>
      <c r="J258" s="16" t="inlineStr"/>
      <c r="K258" s="16" t="inlineStr"/>
    </row>
    <row r="259">
      <c r="A259" s="16" t="inlineStr">
        <is>
          <t>t_sales_order_line</t>
        </is>
      </c>
      <c r="B259" s="9" t="n">
        <v>12</v>
      </c>
      <c r="C259" s="16" t="inlineStr">
        <is>
          <t>version</t>
        </is>
      </c>
      <c r="D259" s="16" t="inlineStr">
        <is>
          <t>版数</t>
        </is>
      </c>
      <c r="E259" s="9" t="inlineStr">
        <is>
          <t>INTEGER</t>
        </is>
      </c>
      <c r="F259" s="9" t="inlineStr"/>
      <c r="G259" s="9" t="inlineStr"/>
      <c r="H259" s="16" t="inlineStr"/>
      <c r="I259" s="9" t="inlineStr">
        <is>
          <t>Y</t>
        </is>
      </c>
      <c r="J259" s="16" t="inlineStr">
        <is>
          <t>1</t>
        </is>
      </c>
      <c r="K259" s="16" t="inlineStr">
        <is>
          <t>楽観ロック用</t>
        </is>
      </c>
    </row>
    <row r="260">
      <c r="A260" s="22" t="inlineStr">
        <is>
          <t>t_shipment</t>
        </is>
      </c>
      <c r="B260" s="23" t="inlineStr">
        <is>
          <t>【出荷】出荷ヘッダ</t>
        </is>
      </c>
      <c r="C260" s="24" t="n"/>
      <c r="D260" s="24" t="n"/>
      <c r="E260" s="24" t="n"/>
      <c r="F260" s="24" t="n"/>
      <c r="G260" s="24" t="n"/>
      <c r="H260" s="24" t="n"/>
      <c r="I260" s="24" t="n"/>
      <c r="J260" s="24" t="n"/>
      <c r="K260" s="25" t="n"/>
    </row>
    <row r="261">
      <c r="A261" s="16" t="inlineStr">
        <is>
          <t>t_shipment</t>
        </is>
      </c>
      <c r="B261" s="9" t="n">
        <v>1</v>
      </c>
      <c r="C261" s="16" t="inlineStr">
        <is>
          <t>id</t>
        </is>
      </c>
      <c r="D261" s="16" t="inlineStr">
        <is>
          <t>出荷ID</t>
        </is>
      </c>
      <c r="E261" s="9" t="inlineStr">
        <is>
          <t>BIGINT</t>
        </is>
      </c>
      <c r="F261" s="9" t="inlineStr"/>
      <c r="G261" s="9" t="inlineStr">
        <is>
          <t>Y</t>
        </is>
      </c>
      <c r="H261" s="16" t="inlineStr"/>
      <c r="I261" s="9" t="inlineStr">
        <is>
          <t>Y</t>
        </is>
      </c>
      <c r="J261" s="16" t="inlineStr">
        <is>
          <t>自動採番</t>
        </is>
      </c>
      <c r="K261" s="16" t="inlineStr"/>
    </row>
    <row r="262">
      <c r="A262" s="16" t="inlineStr">
        <is>
          <t>t_shipment</t>
        </is>
      </c>
      <c r="B262" s="9" t="n">
        <v>2</v>
      </c>
      <c r="C262" s="16" t="inlineStr">
        <is>
          <t>shipment_no</t>
        </is>
      </c>
      <c r="D262" s="16" t="inlineStr">
        <is>
          <t>出荷番号</t>
        </is>
      </c>
      <c r="E262" s="9" t="inlineStr">
        <is>
          <t>VARCHAR</t>
        </is>
      </c>
      <c r="F262" s="9" t="inlineStr">
        <is>
          <t>20</t>
        </is>
      </c>
      <c r="G262" s="9" t="inlineStr"/>
      <c r="H262" s="16" t="inlineStr"/>
      <c r="I262" s="9" t="inlineStr">
        <is>
          <t>Y</t>
        </is>
      </c>
      <c r="J262" s="16" t="inlineStr"/>
      <c r="K262" s="16" t="inlineStr">
        <is>
          <t>SH-YYYYMM-NNNN 一意（納品書番号）</t>
        </is>
      </c>
    </row>
    <row r="263">
      <c r="A263" s="16" t="inlineStr">
        <is>
          <t>t_shipment</t>
        </is>
      </c>
      <c r="B263" s="9" t="n">
        <v>3</v>
      </c>
      <c r="C263" s="16" t="inlineStr">
        <is>
          <t>sales_order_id</t>
        </is>
      </c>
      <c r="D263" s="16" t="inlineStr">
        <is>
          <t>受注ID</t>
        </is>
      </c>
      <c r="E263" s="9" t="inlineStr">
        <is>
          <t>BIGINT</t>
        </is>
      </c>
      <c r="F263" s="9" t="inlineStr"/>
      <c r="G263" s="9" t="inlineStr"/>
      <c r="H263" s="16" t="inlineStr">
        <is>
          <t>t_sales_order.id</t>
        </is>
      </c>
      <c r="I263" s="9" t="inlineStr">
        <is>
          <t>Y</t>
        </is>
      </c>
      <c r="J263" s="16" t="inlineStr"/>
      <c r="K263" s="16" t="inlineStr"/>
    </row>
    <row r="264">
      <c r="A264" s="16" t="inlineStr">
        <is>
          <t>t_shipment</t>
        </is>
      </c>
      <c r="B264" s="9" t="n">
        <v>4</v>
      </c>
      <c r="C264" s="16" t="inlineStr">
        <is>
          <t>customer_id</t>
        </is>
      </c>
      <c r="D264" s="16" t="inlineStr">
        <is>
          <t>顧客ID</t>
        </is>
      </c>
      <c r="E264" s="9" t="inlineStr">
        <is>
          <t>BIGINT</t>
        </is>
      </c>
      <c r="F264" s="9" t="inlineStr"/>
      <c r="G264" s="9" t="inlineStr"/>
      <c r="H264" s="16" t="inlineStr">
        <is>
          <t>m_customer.id</t>
        </is>
      </c>
      <c r="I264" s="9" t="inlineStr">
        <is>
          <t>Y</t>
        </is>
      </c>
      <c r="J264" s="16" t="inlineStr"/>
      <c r="K264" s="16" t="inlineStr">
        <is>
          <t>受注から複写（追跡高速化）</t>
        </is>
      </c>
    </row>
    <row r="265">
      <c r="A265" s="16" t="inlineStr">
        <is>
          <t>t_shipment</t>
        </is>
      </c>
      <c r="B265" s="9" t="n">
        <v>5</v>
      </c>
      <c r="C265" s="16" t="inlineStr">
        <is>
          <t>ship_to_id</t>
        </is>
      </c>
      <c r="D265" s="16" t="inlineStr">
        <is>
          <t>納品先ID</t>
        </is>
      </c>
      <c r="E265" s="9" t="inlineStr">
        <is>
          <t>BIGINT</t>
        </is>
      </c>
      <c r="F265" s="9" t="inlineStr"/>
      <c r="G265" s="9" t="inlineStr"/>
      <c r="H265" s="16" t="inlineStr">
        <is>
          <t>m_ship_to.id</t>
        </is>
      </c>
      <c r="I265" s="9" t="inlineStr">
        <is>
          <t>Y</t>
        </is>
      </c>
      <c r="J265" s="16" t="inlineStr"/>
      <c r="K265" s="16" t="inlineStr">
        <is>
          <t>受注から複写</t>
        </is>
      </c>
    </row>
    <row r="266">
      <c r="A266" s="16" t="inlineStr">
        <is>
          <t>t_shipment</t>
        </is>
      </c>
      <c r="B266" s="9" t="n">
        <v>6</v>
      </c>
      <c r="C266" s="16" t="inlineStr">
        <is>
          <t>shipped_on</t>
        </is>
      </c>
      <c r="D266" s="16" t="inlineStr">
        <is>
          <t>出荷日</t>
        </is>
      </c>
      <c r="E266" s="9" t="inlineStr">
        <is>
          <t>DATE</t>
        </is>
      </c>
      <c r="F266" s="9" t="inlineStr"/>
      <c r="G266" s="9" t="inlineStr"/>
      <c r="H266" s="16" t="inlineStr"/>
      <c r="I266" s="9" t="inlineStr">
        <is>
          <t>Y</t>
        </is>
      </c>
      <c r="J266" s="16" t="inlineStr"/>
      <c r="K266" s="16" t="inlineStr"/>
    </row>
    <row r="267">
      <c r="A267" s="16" t="inlineStr">
        <is>
          <t>t_shipment</t>
        </is>
      </c>
      <c r="B267" s="9" t="n">
        <v>7</v>
      </c>
      <c r="C267" s="16" t="inlineStr">
        <is>
          <t>carrier</t>
        </is>
      </c>
      <c r="D267" s="16" t="inlineStr">
        <is>
          <t>配送業者</t>
        </is>
      </c>
      <c r="E267" s="9" t="inlineStr">
        <is>
          <t>VARCHAR</t>
        </is>
      </c>
      <c r="F267" s="9" t="inlineStr">
        <is>
          <t>50</t>
        </is>
      </c>
      <c r="G267" s="9" t="inlineStr"/>
      <c r="H267" s="16" t="inlineStr"/>
      <c r="I267" s="9" t="inlineStr"/>
      <c r="J267" s="16" t="inlineStr"/>
      <c r="K267" s="16" t="inlineStr">
        <is>
          <t>クール便区分含む</t>
        </is>
      </c>
    </row>
    <row r="268">
      <c r="A268" s="16" t="inlineStr">
        <is>
          <t>t_shipment</t>
        </is>
      </c>
      <c r="B268" s="9" t="n">
        <v>8</v>
      </c>
      <c r="C268" s="16" t="inlineStr">
        <is>
          <t>tracking_no</t>
        </is>
      </c>
      <c r="D268" s="16" t="inlineStr">
        <is>
          <t>送り状番号</t>
        </is>
      </c>
      <c r="E268" s="9" t="inlineStr">
        <is>
          <t>VARCHAR</t>
        </is>
      </c>
      <c r="F268" s="9" t="inlineStr">
        <is>
          <t>50</t>
        </is>
      </c>
      <c r="G268" s="9" t="inlineStr"/>
      <c r="H268" s="16" t="inlineStr"/>
      <c r="I268" s="9" t="inlineStr"/>
      <c r="J268" s="16" t="inlineStr"/>
      <c r="K268" s="16" t="inlineStr"/>
    </row>
    <row r="269">
      <c r="A269" s="16" t="inlineStr">
        <is>
          <t>t_shipment</t>
        </is>
      </c>
      <c r="B269" s="9" t="n">
        <v>9</v>
      </c>
      <c r="C269" s="16" t="inlineStr">
        <is>
          <t>status</t>
        </is>
      </c>
      <c r="D269" s="16" t="inlineStr">
        <is>
          <t>ステータス</t>
        </is>
      </c>
      <c r="E269" s="9" t="inlineStr">
        <is>
          <t>VARCHAR</t>
        </is>
      </c>
      <c r="F269" s="9" t="inlineStr">
        <is>
          <t>20</t>
        </is>
      </c>
      <c r="G269" s="9" t="inlineStr"/>
      <c r="H269" s="16" t="inlineStr"/>
      <c r="I269" s="9" t="inlineStr">
        <is>
          <t>Y</t>
        </is>
      </c>
      <c r="J269" s="16" t="inlineStr">
        <is>
          <t>ALLOCATED</t>
        </is>
      </c>
      <c r="K269" s="16" t="inlineStr">
        <is>
          <t>状態遷移 参照</t>
        </is>
      </c>
    </row>
    <row r="270">
      <c r="A270" s="16" t="inlineStr">
        <is>
          <t>t_shipment</t>
        </is>
      </c>
      <c r="B270" s="9" t="n">
        <v>10</v>
      </c>
      <c r="C270" s="16" t="inlineStr">
        <is>
          <t>created_at</t>
        </is>
      </c>
      <c r="D270" s="16" t="inlineStr">
        <is>
          <t>作成日時</t>
        </is>
      </c>
      <c r="E270" s="9" t="inlineStr">
        <is>
          <t>TIMESTAMPTZ</t>
        </is>
      </c>
      <c r="F270" s="9" t="inlineStr"/>
      <c r="G270" s="9" t="inlineStr"/>
      <c r="H270" s="16" t="inlineStr"/>
      <c r="I270" s="9" t="inlineStr">
        <is>
          <t>Y</t>
        </is>
      </c>
      <c r="J270" s="16" t="inlineStr">
        <is>
          <t>現在日時</t>
        </is>
      </c>
      <c r="K270" s="16" t="inlineStr"/>
    </row>
    <row r="271">
      <c r="A271" s="16" t="inlineStr">
        <is>
          <t>t_shipment</t>
        </is>
      </c>
      <c r="B271" s="9" t="n">
        <v>11</v>
      </c>
      <c r="C271" s="16" t="inlineStr">
        <is>
          <t>created_by</t>
        </is>
      </c>
      <c r="D271" s="16" t="inlineStr">
        <is>
          <t>作成者</t>
        </is>
      </c>
      <c r="E271" s="9" t="inlineStr">
        <is>
          <t>BIGINT</t>
        </is>
      </c>
      <c r="F271" s="9" t="inlineStr"/>
      <c r="G271" s="9" t="inlineStr"/>
      <c r="H271" s="16" t="inlineStr">
        <is>
          <t>m_user.id</t>
        </is>
      </c>
      <c r="I271" s="9" t="inlineStr">
        <is>
          <t>Y</t>
        </is>
      </c>
      <c r="J271" s="16" t="inlineStr"/>
      <c r="K271" s="16" t="inlineStr"/>
    </row>
    <row r="272">
      <c r="A272" s="16" t="inlineStr">
        <is>
          <t>t_shipment</t>
        </is>
      </c>
      <c r="B272" s="9" t="n">
        <v>12</v>
      </c>
      <c r="C272" s="16" t="inlineStr">
        <is>
          <t>updated_at</t>
        </is>
      </c>
      <c r="D272" s="16" t="inlineStr">
        <is>
          <t>更新日時</t>
        </is>
      </c>
      <c r="E272" s="9" t="inlineStr">
        <is>
          <t>TIMESTAMPTZ</t>
        </is>
      </c>
      <c r="F272" s="9" t="inlineStr"/>
      <c r="G272" s="9" t="inlineStr"/>
      <c r="H272" s="16" t="inlineStr"/>
      <c r="I272" s="9" t="inlineStr">
        <is>
          <t>Y</t>
        </is>
      </c>
      <c r="J272" s="16" t="inlineStr">
        <is>
          <t>現在日時</t>
        </is>
      </c>
      <c r="K272" s="16" t="inlineStr"/>
    </row>
    <row r="273">
      <c r="A273" s="16" t="inlineStr">
        <is>
          <t>t_shipment</t>
        </is>
      </c>
      <c r="B273" s="9" t="n">
        <v>13</v>
      </c>
      <c r="C273" s="16" t="inlineStr">
        <is>
          <t>updated_by</t>
        </is>
      </c>
      <c r="D273" s="16" t="inlineStr">
        <is>
          <t>更新者</t>
        </is>
      </c>
      <c r="E273" s="9" t="inlineStr">
        <is>
          <t>BIGINT</t>
        </is>
      </c>
      <c r="F273" s="9" t="inlineStr"/>
      <c r="G273" s="9" t="inlineStr"/>
      <c r="H273" s="16" t="inlineStr">
        <is>
          <t>m_user.id</t>
        </is>
      </c>
      <c r="I273" s="9" t="inlineStr">
        <is>
          <t>Y</t>
        </is>
      </c>
      <c r="J273" s="16" t="inlineStr"/>
      <c r="K273" s="16" t="inlineStr"/>
    </row>
    <row r="274">
      <c r="A274" s="16" t="inlineStr">
        <is>
          <t>t_shipment</t>
        </is>
      </c>
      <c r="B274" s="9" t="n">
        <v>14</v>
      </c>
      <c r="C274" s="16" t="inlineStr">
        <is>
          <t>version</t>
        </is>
      </c>
      <c r="D274" s="16" t="inlineStr">
        <is>
          <t>版数</t>
        </is>
      </c>
      <c r="E274" s="9" t="inlineStr">
        <is>
          <t>INTEGER</t>
        </is>
      </c>
      <c r="F274" s="9" t="inlineStr"/>
      <c r="G274" s="9" t="inlineStr"/>
      <c r="H274" s="16" t="inlineStr"/>
      <c r="I274" s="9" t="inlineStr">
        <is>
          <t>Y</t>
        </is>
      </c>
      <c r="J274" s="16" t="inlineStr">
        <is>
          <t>1</t>
        </is>
      </c>
      <c r="K274" s="16" t="inlineStr">
        <is>
          <t>楽観ロック用</t>
        </is>
      </c>
    </row>
    <row r="275">
      <c r="A275" s="22" t="inlineStr">
        <is>
          <t>t_shipment_line</t>
        </is>
      </c>
      <c r="B275" s="23" t="inlineStr">
        <is>
          <t>【出荷明細】出荷明細（ロット紐付け必須）</t>
        </is>
      </c>
      <c r="C275" s="24" t="n"/>
      <c r="D275" s="24" t="n"/>
      <c r="E275" s="24" t="n"/>
      <c r="F275" s="24" t="n"/>
      <c r="G275" s="24" t="n"/>
      <c r="H275" s="24" t="n"/>
      <c r="I275" s="24" t="n"/>
      <c r="J275" s="24" t="n"/>
      <c r="K275" s="25" t="n"/>
    </row>
    <row r="276">
      <c r="A276" s="16" t="inlineStr">
        <is>
          <t>t_shipment_line</t>
        </is>
      </c>
      <c r="B276" s="9" t="n">
        <v>1</v>
      </c>
      <c r="C276" s="16" t="inlineStr">
        <is>
          <t>id</t>
        </is>
      </c>
      <c r="D276" s="16" t="inlineStr">
        <is>
          <t>出荷明細ID</t>
        </is>
      </c>
      <c r="E276" s="9" t="inlineStr">
        <is>
          <t>BIGINT</t>
        </is>
      </c>
      <c r="F276" s="9" t="inlineStr"/>
      <c r="G276" s="9" t="inlineStr">
        <is>
          <t>Y</t>
        </is>
      </c>
      <c r="H276" s="16" t="inlineStr"/>
      <c r="I276" s="9" t="inlineStr">
        <is>
          <t>Y</t>
        </is>
      </c>
      <c r="J276" s="16" t="inlineStr">
        <is>
          <t>自動採番</t>
        </is>
      </c>
      <c r="K276" s="16" t="inlineStr"/>
    </row>
    <row r="277">
      <c r="A277" s="16" t="inlineStr">
        <is>
          <t>t_shipment_line</t>
        </is>
      </c>
      <c r="B277" s="9" t="n">
        <v>2</v>
      </c>
      <c r="C277" s="16" t="inlineStr">
        <is>
          <t>shipment_id</t>
        </is>
      </c>
      <c r="D277" s="16" t="inlineStr">
        <is>
          <t>出荷ID</t>
        </is>
      </c>
      <c r="E277" s="9" t="inlineStr">
        <is>
          <t>BIGINT</t>
        </is>
      </c>
      <c r="F277" s="9" t="inlineStr"/>
      <c r="G277" s="9" t="inlineStr"/>
      <c r="H277" s="16" t="inlineStr">
        <is>
          <t>t_shipment.id</t>
        </is>
      </c>
      <c r="I277" s="9" t="inlineStr">
        <is>
          <t>Y</t>
        </is>
      </c>
      <c r="J277" s="16" t="inlineStr"/>
      <c r="K277" s="16" t="inlineStr"/>
    </row>
    <row r="278">
      <c r="A278" s="16" t="inlineStr">
        <is>
          <t>t_shipment_line</t>
        </is>
      </c>
      <c r="B278" s="9" t="n">
        <v>3</v>
      </c>
      <c r="C278" s="16" t="inlineStr">
        <is>
          <t>sales_order_line_id</t>
        </is>
      </c>
      <c r="D278" s="16" t="inlineStr">
        <is>
          <t>受注明細ID</t>
        </is>
      </c>
      <c r="E278" s="9" t="inlineStr">
        <is>
          <t>BIGINT</t>
        </is>
      </c>
      <c r="F278" s="9" t="inlineStr"/>
      <c r="G278" s="9" t="inlineStr"/>
      <c r="H278" s="16" t="inlineStr">
        <is>
          <t>t_sales_order_line.id</t>
        </is>
      </c>
      <c r="I278" s="9" t="inlineStr">
        <is>
          <t>Y</t>
        </is>
      </c>
      <c r="J278" s="16" t="inlineStr"/>
      <c r="K278" s="16" t="inlineStr"/>
    </row>
    <row r="279">
      <c r="A279" s="16" t="inlineStr">
        <is>
          <t>t_shipment_line</t>
        </is>
      </c>
      <c r="B279" s="9" t="n">
        <v>4</v>
      </c>
      <c r="C279" s="16" t="inlineStr">
        <is>
          <t>product_id</t>
        </is>
      </c>
      <c r="D279" s="16" t="inlineStr">
        <is>
          <t>商品ID</t>
        </is>
      </c>
      <c r="E279" s="9" t="inlineStr">
        <is>
          <t>BIGINT</t>
        </is>
      </c>
      <c r="F279" s="9" t="inlineStr"/>
      <c r="G279" s="9" t="inlineStr"/>
      <c r="H279" s="16" t="inlineStr">
        <is>
          <t>m_product.id</t>
        </is>
      </c>
      <c r="I279" s="9" t="inlineStr">
        <is>
          <t>Y</t>
        </is>
      </c>
      <c r="J279" s="16" t="inlineStr"/>
      <c r="K279" s="16" t="inlineStr">
        <is>
          <t>ロットの商品と一致</t>
        </is>
      </c>
    </row>
    <row r="280">
      <c r="A280" s="26" t="inlineStr">
        <is>
          <t>t_shipment_line</t>
        </is>
      </c>
      <c r="B280" s="27" t="n">
        <v>5</v>
      </c>
      <c r="C280" s="26" t="inlineStr">
        <is>
          <t>lot_id</t>
        </is>
      </c>
      <c r="D280" s="26" t="inlineStr">
        <is>
          <t>ロットID</t>
        </is>
      </c>
      <c r="E280" s="27" t="inlineStr">
        <is>
          <t>BIGINT</t>
        </is>
      </c>
      <c r="F280" s="27" t="inlineStr"/>
      <c r="G280" s="27" t="inlineStr"/>
      <c r="H280" s="26" t="inlineStr">
        <is>
          <t>t_lot.id</t>
        </is>
      </c>
      <c r="I280" s="27" t="inlineStr">
        <is>
          <t>Y</t>
        </is>
      </c>
      <c r="J280" s="26" t="inlineStr"/>
      <c r="K280" s="26" t="inlineStr">
        <is>
          <t>★トレーサビリティの要。NULL不可</t>
        </is>
      </c>
    </row>
    <row r="281">
      <c r="A281" s="16" t="inlineStr">
        <is>
          <t>t_shipment_line</t>
        </is>
      </c>
      <c r="B281" s="9" t="n">
        <v>6</v>
      </c>
      <c r="C281" s="16" t="inlineStr">
        <is>
          <t>location_id</t>
        </is>
      </c>
      <c r="D281" s="16" t="inlineStr">
        <is>
          <t>出庫保管場所ID</t>
        </is>
      </c>
      <c r="E281" s="9" t="inlineStr">
        <is>
          <t>BIGINT</t>
        </is>
      </c>
      <c r="F281" s="9" t="inlineStr"/>
      <c r="G281" s="9" t="inlineStr"/>
      <c r="H281" s="16" t="inlineStr">
        <is>
          <t>m_location.id</t>
        </is>
      </c>
      <c r="I281" s="9" t="inlineStr">
        <is>
          <t>Y</t>
        </is>
      </c>
      <c r="J281" s="16" t="inlineStr"/>
      <c r="K281" s="16" t="inlineStr"/>
    </row>
    <row r="282">
      <c r="A282" s="16" t="inlineStr">
        <is>
          <t>t_shipment_line</t>
        </is>
      </c>
      <c r="B282" s="9" t="n">
        <v>7</v>
      </c>
      <c r="C282" s="16" t="inlineStr">
        <is>
          <t>quantity</t>
        </is>
      </c>
      <c r="D282" s="16" t="inlineStr">
        <is>
          <t>出荷数量</t>
        </is>
      </c>
      <c r="E282" s="9" t="inlineStr">
        <is>
          <t>INTEGER</t>
        </is>
      </c>
      <c r="F282" s="9" t="inlineStr"/>
      <c r="G282" s="9" t="inlineStr"/>
      <c r="H282" s="16" t="inlineStr"/>
      <c r="I282" s="9" t="inlineStr">
        <is>
          <t>Y</t>
        </is>
      </c>
      <c r="J282" s="16" t="inlineStr"/>
      <c r="K282" s="16" t="inlineStr">
        <is>
          <t>&gt; 0</t>
        </is>
      </c>
    </row>
    <row r="283">
      <c r="A283" s="16" t="inlineStr">
        <is>
          <t>t_shipment_line</t>
        </is>
      </c>
      <c r="B283" s="9" t="n">
        <v>8</v>
      </c>
      <c r="C283" s="16" t="inlineStr">
        <is>
          <t>unit_price</t>
        </is>
      </c>
      <c r="D283" s="16" t="inlineStr">
        <is>
          <t>販売単価（円）</t>
        </is>
      </c>
      <c r="E283" s="9" t="inlineStr">
        <is>
          <t>NUMERIC</t>
        </is>
      </c>
      <c r="F283" s="9" t="inlineStr">
        <is>
          <t>12,2</t>
        </is>
      </c>
      <c r="G283" s="9" t="inlineStr"/>
      <c r="H283" s="16" t="inlineStr"/>
      <c r="I283" s="9" t="inlineStr">
        <is>
          <t>Y</t>
        </is>
      </c>
      <c r="J283" s="16" t="inlineStr"/>
      <c r="K283" s="16" t="inlineStr">
        <is>
          <t>受注明細から複写</t>
        </is>
      </c>
    </row>
    <row r="284">
      <c r="A284" s="16" t="inlineStr">
        <is>
          <t>t_shipment_line</t>
        </is>
      </c>
      <c r="B284" s="9" t="n">
        <v>9</v>
      </c>
      <c r="C284" s="16" t="inlineStr">
        <is>
          <t>unit_cost</t>
        </is>
      </c>
      <c r="D284" s="16" t="inlineStr">
        <is>
          <t>原価単価（円）</t>
        </is>
      </c>
      <c r="E284" s="9" t="inlineStr">
        <is>
          <t>NUMERIC</t>
        </is>
      </c>
      <c r="F284" s="9" t="inlineStr">
        <is>
          <t>12,2</t>
        </is>
      </c>
      <c r="G284" s="9" t="inlineStr"/>
      <c r="H284" s="16" t="inlineStr"/>
      <c r="I284" s="9" t="inlineStr"/>
      <c r="J284" s="16" t="inlineStr"/>
      <c r="K284" s="16" t="inlineStr">
        <is>
          <t>出荷確定時に t_lot.unit_cost を設定（粗利計算用）</t>
        </is>
      </c>
    </row>
    <row r="285">
      <c r="A285" s="16" t="inlineStr">
        <is>
          <t>t_shipment_line</t>
        </is>
      </c>
      <c r="B285" s="9" t="n">
        <v>10</v>
      </c>
      <c r="C285" s="16" t="inlineStr">
        <is>
          <t>status</t>
        </is>
      </c>
      <c r="D285" s="16" t="inlineStr">
        <is>
          <t>明細ステータス</t>
        </is>
      </c>
      <c r="E285" s="9" t="inlineStr">
        <is>
          <t>VARCHAR</t>
        </is>
      </c>
      <c r="F285" s="9" t="inlineStr">
        <is>
          <t>20</t>
        </is>
      </c>
      <c r="G285" s="9" t="inlineStr"/>
      <c r="H285" s="16" t="inlineStr"/>
      <c r="I285" s="9" t="inlineStr">
        <is>
          <t>Y</t>
        </is>
      </c>
      <c r="J285" s="16" t="inlineStr">
        <is>
          <t>ALLOCATED</t>
        </is>
      </c>
      <c r="K285" s="16" t="inlineStr">
        <is>
          <t>ALLOCATED/SHIPPED/CANCELLED（ロット単位の引当解除に対応）</t>
        </is>
      </c>
    </row>
    <row r="286">
      <c r="A286" s="16" t="inlineStr">
        <is>
          <t>t_shipment_line</t>
        </is>
      </c>
      <c r="B286" s="9" t="n">
        <v>11</v>
      </c>
      <c r="C286" s="16" t="inlineStr">
        <is>
          <t>created_at</t>
        </is>
      </c>
      <c r="D286" s="16" t="inlineStr">
        <is>
          <t>作成日時</t>
        </is>
      </c>
      <c r="E286" s="9" t="inlineStr">
        <is>
          <t>TIMESTAMPTZ</t>
        </is>
      </c>
      <c r="F286" s="9" t="inlineStr"/>
      <c r="G286" s="9" t="inlineStr"/>
      <c r="H286" s="16" t="inlineStr"/>
      <c r="I286" s="9" t="inlineStr">
        <is>
          <t>Y</t>
        </is>
      </c>
      <c r="J286" s="16" t="inlineStr">
        <is>
          <t>現在日時</t>
        </is>
      </c>
      <c r="K286" s="16" t="inlineStr"/>
    </row>
    <row r="287">
      <c r="A287" s="16" t="inlineStr">
        <is>
          <t>t_shipment_line</t>
        </is>
      </c>
      <c r="B287" s="9" t="n">
        <v>12</v>
      </c>
      <c r="C287" s="16" t="inlineStr">
        <is>
          <t>created_by</t>
        </is>
      </c>
      <c r="D287" s="16" t="inlineStr">
        <is>
          <t>作成者</t>
        </is>
      </c>
      <c r="E287" s="9" t="inlineStr">
        <is>
          <t>BIGINT</t>
        </is>
      </c>
      <c r="F287" s="9" t="inlineStr"/>
      <c r="G287" s="9" t="inlineStr"/>
      <c r="H287" s="16" t="inlineStr">
        <is>
          <t>m_user.id</t>
        </is>
      </c>
      <c r="I287" s="9" t="inlineStr">
        <is>
          <t>Y</t>
        </is>
      </c>
      <c r="J287" s="16" t="inlineStr"/>
      <c r="K287" s="16" t="inlineStr"/>
    </row>
    <row r="288">
      <c r="A288" s="16" t="inlineStr">
        <is>
          <t>t_shipment_line</t>
        </is>
      </c>
      <c r="B288" s="9" t="n">
        <v>13</v>
      </c>
      <c r="C288" s="16" t="inlineStr">
        <is>
          <t>updated_at</t>
        </is>
      </c>
      <c r="D288" s="16" t="inlineStr">
        <is>
          <t>更新日時</t>
        </is>
      </c>
      <c r="E288" s="9" t="inlineStr">
        <is>
          <t>TIMESTAMPTZ</t>
        </is>
      </c>
      <c r="F288" s="9" t="inlineStr"/>
      <c r="G288" s="9" t="inlineStr"/>
      <c r="H288" s="16" t="inlineStr"/>
      <c r="I288" s="9" t="inlineStr">
        <is>
          <t>Y</t>
        </is>
      </c>
      <c r="J288" s="16" t="inlineStr">
        <is>
          <t>現在日時</t>
        </is>
      </c>
      <c r="K288" s="16" t="inlineStr"/>
    </row>
    <row r="289">
      <c r="A289" s="16" t="inlineStr">
        <is>
          <t>t_shipment_line</t>
        </is>
      </c>
      <c r="B289" s="9" t="n">
        <v>14</v>
      </c>
      <c r="C289" s="16" t="inlineStr">
        <is>
          <t>updated_by</t>
        </is>
      </c>
      <c r="D289" s="16" t="inlineStr">
        <is>
          <t>更新者</t>
        </is>
      </c>
      <c r="E289" s="9" t="inlineStr">
        <is>
          <t>BIGINT</t>
        </is>
      </c>
      <c r="F289" s="9" t="inlineStr"/>
      <c r="G289" s="9" t="inlineStr"/>
      <c r="H289" s="16" t="inlineStr">
        <is>
          <t>m_user.id</t>
        </is>
      </c>
      <c r="I289" s="9" t="inlineStr">
        <is>
          <t>Y</t>
        </is>
      </c>
      <c r="J289" s="16" t="inlineStr"/>
      <c r="K289" s="16" t="inlineStr"/>
    </row>
    <row r="290">
      <c r="A290" s="16" t="inlineStr">
        <is>
          <t>t_shipment_line</t>
        </is>
      </c>
      <c r="B290" s="9" t="n">
        <v>15</v>
      </c>
      <c r="C290" s="16" t="inlineStr">
        <is>
          <t>version</t>
        </is>
      </c>
      <c r="D290" s="16" t="inlineStr">
        <is>
          <t>版数</t>
        </is>
      </c>
      <c r="E290" s="9" t="inlineStr">
        <is>
          <t>INTEGER</t>
        </is>
      </c>
      <c r="F290" s="9" t="inlineStr"/>
      <c r="G290" s="9" t="inlineStr"/>
      <c r="H290" s="16" t="inlineStr"/>
      <c r="I290" s="9" t="inlineStr">
        <is>
          <t>Y</t>
        </is>
      </c>
      <c r="J290" s="16" t="inlineStr">
        <is>
          <t>1</t>
        </is>
      </c>
      <c r="K290" s="16" t="inlineStr">
        <is>
          <t>楽観ロック用</t>
        </is>
      </c>
    </row>
    <row r="291">
      <c r="A291" s="22" t="inlineStr">
        <is>
          <t>t_return</t>
        </is>
      </c>
      <c r="B291" s="23" t="inlineStr">
        <is>
          <t>【返品】返品（元出荷明細に紐付け）</t>
        </is>
      </c>
      <c r="C291" s="24" t="n"/>
      <c r="D291" s="24" t="n"/>
      <c r="E291" s="24" t="n"/>
      <c r="F291" s="24" t="n"/>
      <c r="G291" s="24" t="n"/>
      <c r="H291" s="24" t="n"/>
      <c r="I291" s="24" t="n"/>
      <c r="J291" s="24" t="n"/>
      <c r="K291" s="25" t="n"/>
    </row>
    <row r="292">
      <c r="A292" s="16" t="inlineStr">
        <is>
          <t>t_return</t>
        </is>
      </c>
      <c r="B292" s="9" t="n">
        <v>1</v>
      </c>
      <c r="C292" s="16" t="inlineStr">
        <is>
          <t>id</t>
        </is>
      </c>
      <c r="D292" s="16" t="inlineStr">
        <is>
          <t>返品ID</t>
        </is>
      </c>
      <c r="E292" s="9" t="inlineStr">
        <is>
          <t>BIGINT</t>
        </is>
      </c>
      <c r="F292" s="9" t="inlineStr"/>
      <c r="G292" s="9" t="inlineStr">
        <is>
          <t>Y</t>
        </is>
      </c>
      <c r="H292" s="16" t="inlineStr"/>
      <c r="I292" s="9" t="inlineStr">
        <is>
          <t>Y</t>
        </is>
      </c>
      <c r="J292" s="16" t="inlineStr">
        <is>
          <t>自動採番</t>
        </is>
      </c>
      <c r="K292" s="16" t="inlineStr"/>
    </row>
    <row r="293">
      <c r="A293" s="16" t="inlineStr">
        <is>
          <t>t_return</t>
        </is>
      </c>
      <c r="B293" s="9" t="n">
        <v>2</v>
      </c>
      <c r="C293" s="16" t="inlineStr">
        <is>
          <t>return_no</t>
        </is>
      </c>
      <c r="D293" s="16" t="inlineStr">
        <is>
          <t>返品番号</t>
        </is>
      </c>
      <c r="E293" s="9" t="inlineStr">
        <is>
          <t>VARCHAR</t>
        </is>
      </c>
      <c r="F293" s="9" t="inlineStr">
        <is>
          <t>20</t>
        </is>
      </c>
      <c r="G293" s="9" t="inlineStr"/>
      <c r="H293" s="16" t="inlineStr"/>
      <c r="I293" s="9" t="inlineStr">
        <is>
          <t>Y</t>
        </is>
      </c>
      <c r="J293" s="16" t="inlineStr"/>
      <c r="K293" s="16" t="inlineStr">
        <is>
          <t>RT-YYYYMM-NNNN 一意</t>
        </is>
      </c>
    </row>
    <row r="294">
      <c r="A294" s="16" t="inlineStr">
        <is>
          <t>t_return</t>
        </is>
      </c>
      <c r="B294" s="9" t="n">
        <v>3</v>
      </c>
      <c r="C294" s="16" t="inlineStr">
        <is>
          <t>shipment_line_id</t>
        </is>
      </c>
      <c r="D294" s="16" t="inlineStr">
        <is>
          <t>元出荷明細ID</t>
        </is>
      </c>
      <c r="E294" s="9" t="inlineStr">
        <is>
          <t>BIGINT</t>
        </is>
      </c>
      <c r="F294" s="9" t="inlineStr"/>
      <c r="G294" s="9" t="inlineStr"/>
      <c r="H294" s="16" t="inlineStr">
        <is>
          <t>t_shipment_line.id</t>
        </is>
      </c>
      <c r="I294" s="9" t="inlineStr">
        <is>
          <t>Y</t>
        </is>
      </c>
      <c r="J294" s="16" t="inlineStr"/>
      <c r="K294" s="16" t="inlineStr">
        <is>
          <t>これによりロット・顧客が確定</t>
        </is>
      </c>
    </row>
    <row r="295">
      <c r="A295" s="16" t="inlineStr">
        <is>
          <t>t_return</t>
        </is>
      </c>
      <c r="B295" s="9" t="n">
        <v>4</v>
      </c>
      <c r="C295" s="16" t="inlineStr">
        <is>
          <t>recall_target_id</t>
        </is>
      </c>
      <c r="D295" s="16" t="inlineStr">
        <is>
          <t>回収対象ID</t>
        </is>
      </c>
      <c r="E295" s="9" t="inlineStr">
        <is>
          <t>BIGINT</t>
        </is>
      </c>
      <c r="F295" s="9" t="inlineStr"/>
      <c r="G295" s="9" t="inlineStr"/>
      <c r="H295" s="16" t="inlineStr">
        <is>
          <t>t_recall_target.id</t>
        </is>
      </c>
      <c r="I295" s="9" t="inlineStr"/>
      <c r="J295" s="16" t="inlineStr"/>
      <c r="K295" s="16" t="inlineStr">
        <is>
          <t>回収品の受入時に設定</t>
        </is>
      </c>
    </row>
    <row r="296">
      <c r="A296" s="16" t="inlineStr">
        <is>
          <t>t_return</t>
        </is>
      </c>
      <c r="B296" s="9" t="n">
        <v>5</v>
      </c>
      <c r="C296" s="16" t="inlineStr">
        <is>
          <t>returned_on</t>
        </is>
      </c>
      <c r="D296" s="16" t="inlineStr">
        <is>
          <t>返品日</t>
        </is>
      </c>
      <c r="E296" s="9" t="inlineStr">
        <is>
          <t>DATE</t>
        </is>
      </c>
      <c r="F296" s="9" t="inlineStr"/>
      <c r="G296" s="9" t="inlineStr"/>
      <c r="H296" s="16" t="inlineStr"/>
      <c r="I296" s="9" t="inlineStr">
        <is>
          <t>Y</t>
        </is>
      </c>
      <c r="J296" s="16" t="inlineStr"/>
      <c r="K296" s="16" t="inlineStr"/>
    </row>
    <row r="297">
      <c r="A297" s="16" t="inlineStr">
        <is>
          <t>t_return</t>
        </is>
      </c>
      <c r="B297" s="9" t="n">
        <v>6</v>
      </c>
      <c r="C297" s="16" t="inlineStr">
        <is>
          <t>quantity</t>
        </is>
      </c>
      <c r="D297" s="16" t="inlineStr">
        <is>
          <t>返品数量</t>
        </is>
      </c>
      <c r="E297" s="9" t="inlineStr">
        <is>
          <t>INTEGER</t>
        </is>
      </c>
      <c r="F297" s="9" t="inlineStr"/>
      <c r="G297" s="9" t="inlineStr"/>
      <c r="H297" s="16" t="inlineStr"/>
      <c r="I297" s="9" t="inlineStr">
        <is>
          <t>Y</t>
        </is>
      </c>
      <c r="J297" s="16" t="inlineStr"/>
      <c r="K297" s="16" t="inlineStr">
        <is>
          <t>&lt;= 元出荷数量−既返品数量</t>
        </is>
      </c>
    </row>
    <row r="298">
      <c r="A298" s="16" t="inlineStr">
        <is>
          <t>t_return</t>
        </is>
      </c>
      <c r="B298" s="9" t="n">
        <v>7</v>
      </c>
      <c r="C298" s="16" t="inlineStr">
        <is>
          <t>reason</t>
        </is>
      </c>
      <c r="D298" s="16" t="inlineStr">
        <is>
          <t>返品理由</t>
        </is>
      </c>
      <c r="E298" s="9" t="inlineStr">
        <is>
          <t>TEXT</t>
        </is>
      </c>
      <c r="F298" s="9" t="inlineStr"/>
      <c r="G298" s="9" t="inlineStr"/>
      <c r="H298" s="16" t="inlineStr"/>
      <c r="I298" s="9" t="inlineStr">
        <is>
          <t>Y</t>
        </is>
      </c>
      <c r="J298" s="16" t="inlineStr"/>
      <c r="K298" s="16" t="inlineStr"/>
    </row>
    <row r="299">
      <c r="A299" s="16" t="inlineStr">
        <is>
          <t>t_return</t>
        </is>
      </c>
      <c r="B299" s="9" t="n">
        <v>8</v>
      </c>
      <c r="C299" s="16" t="inlineStr">
        <is>
          <t>disposition</t>
        </is>
      </c>
      <c r="D299" s="16" t="inlineStr">
        <is>
          <t>処置</t>
        </is>
      </c>
      <c r="E299" s="9" t="inlineStr">
        <is>
          <t>VARCHAR</t>
        </is>
      </c>
      <c r="F299" s="9" t="inlineStr">
        <is>
          <t>20</t>
        </is>
      </c>
      <c r="G299" s="9" t="inlineStr"/>
      <c r="H299" s="16" t="inlineStr"/>
      <c r="I299" s="9" t="inlineStr"/>
      <c r="J299" s="16" t="inlineStr"/>
      <c r="K299" s="16" t="inlineStr">
        <is>
          <t>RESTOCK/DISPOSE（QA判定後に設定）</t>
        </is>
      </c>
    </row>
    <row r="300">
      <c r="A300" s="16" t="inlineStr">
        <is>
          <t>t_return</t>
        </is>
      </c>
      <c r="B300" s="9" t="n">
        <v>9</v>
      </c>
      <c r="C300" s="16" t="inlineStr">
        <is>
          <t>location_id</t>
        </is>
      </c>
      <c r="D300" s="16" t="inlineStr">
        <is>
          <t>受入保管場所ID</t>
        </is>
      </c>
      <c r="E300" s="9" t="inlineStr">
        <is>
          <t>BIGINT</t>
        </is>
      </c>
      <c r="F300" s="9" t="inlineStr"/>
      <c r="G300" s="9" t="inlineStr"/>
      <c r="H300" s="16" t="inlineStr">
        <is>
          <t>m_location.id</t>
        </is>
      </c>
      <c r="I300" s="9" t="inlineStr">
        <is>
          <t>Y</t>
        </is>
      </c>
      <c r="J300" s="16" t="inlineStr"/>
      <c r="K300" s="16" t="inlineStr">
        <is>
          <t>is_quarantine=true の場所</t>
        </is>
      </c>
    </row>
    <row r="301">
      <c r="A301" s="16" t="inlineStr">
        <is>
          <t>t_return</t>
        </is>
      </c>
      <c r="B301" s="9" t="n">
        <v>10</v>
      </c>
      <c r="C301" s="16" t="inlineStr">
        <is>
          <t>restock_location_id</t>
        </is>
      </c>
      <c r="D301" s="16" t="inlineStr">
        <is>
          <t>戻し保管場所ID</t>
        </is>
      </c>
      <c r="E301" s="9" t="inlineStr">
        <is>
          <t>BIGINT</t>
        </is>
      </c>
      <c r="F301" s="9" t="inlineStr"/>
      <c r="G301" s="9" t="inlineStr"/>
      <c r="H301" s="16" t="inlineStr">
        <is>
          <t>m_location.id</t>
        </is>
      </c>
      <c r="I301" s="9" t="inlineStr"/>
      <c r="J301" s="16" t="inlineStr"/>
      <c r="K301" s="16" t="inlineStr">
        <is>
          <t>RESTOCK時必須</t>
        </is>
      </c>
    </row>
    <row r="302">
      <c r="A302" s="16" t="inlineStr">
        <is>
          <t>t_return</t>
        </is>
      </c>
      <c r="B302" s="9" t="n">
        <v>11</v>
      </c>
      <c r="C302" s="16" t="inlineStr">
        <is>
          <t>status</t>
        </is>
      </c>
      <c r="D302" s="16" t="inlineStr">
        <is>
          <t>ステータス</t>
        </is>
      </c>
      <c r="E302" s="9" t="inlineStr">
        <is>
          <t>VARCHAR</t>
        </is>
      </c>
      <c r="F302" s="9" t="inlineStr">
        <is>
          <t>20</t>
        </is>
      </c>
      <c r="G302" s="9" t="inlineStr"/>
      <c r="H302" s="16" t="inlineStr"/>
      <c r="I302" s="9" t="inlineStr">
        <is>
          <t>Y</t>
        </is>
      </c>
      <c r="J302" s="16" t="inlineStr">
        <is>
          <t>RECEIVED</t>
        </is>
      </c>
      <c r="K302" s="16" t="inlineStr">
        <is>
          <t>RECEIVED/CLOSED</t>
        </is>
      </c>
    </row>
    <row r="303">
      <c r="A303" s="16" t="inlineStr">
        <is>
          <t>t_return</t>
        </is>
      </c>
      <c r="B303" s="9" t="n">
        <v>12</v>
      </c>
      <c r="C303" s="16" t="inlineStr">
        <is>
          <t>created_at</t>
        </is>
      </c>
      <c r="D303" s="16" t="inlineStr">
        <is>
          <t>作成日時</t>
        </is>
      </c>
      <c r="E303" s="9" t="inlineStr">
        <is>
          <t>TIMESTAMPTZ</t>
        </is>
      </c>
      <c r="F303" s="9" t="inlineStr"/>
      <c r="G303" s="9" t="inlineStr"/>
      <c r="H303" s="16" t="inlineStr"/>
      <c r="I303" s="9" t="inlineStr">
        <is>
          <t>Y</t>
        </is>
      </c>
      <c r="J303" s="16" t="inlineStr">
        <is>
          <t>現在日時</t>
        </is>
      </c>
      <c r="K303" s="16" t="inlineStr"/>
    </row>
    <row r="304">
      <c r="A304" s="16" t="inlineStr">
        <is>
          <t>t_return</t>
        </is>
      </c>
      <c r="B304" s="9" t="n">
        <v>13</v>
      </c>
      <c r="C304" s="16" t="inlineStr">
        <is>
          <t>created_by</t>
        </is>
      </c>
      <c r="D304" s="16" t="inlineStr">
        <is>
          <t>作成者</t>
        </is>
      </c>
      <c r="E304" s="9" t="inlineStr">
        <is>
          <t>BIGINT</t>
        </is>
      </c>
      <c r="F304" s="9" t="inlineStr"/>
      <c r="G304" s="9" t="inlineStr"/>
      <c r="H304" s="16" t="inlineStr">
        <is>
          <t>m_user.id</t>
        </is>
      </c>
      <c r="I304" s="9" t="inlineStr">
        <is>
          <t>Y</t>
        </is>
      </c>
      <c r="J304" s="16" t="inlineStr"/>
      <c r="K304" s="16" t="inlineStr"/>
    </row>
    <row r="305">
      <c r="A305" s="16" t="inlineStr">
        <is>
          <t>t_return</t>
        </is>
      </c>
      <c r="B305" s="9" t="n">
        <v>14</v>
      </c>
      <c r="C305" s="16" t="inlineStr">
        <is>
          <t>updated_at</t>
        </is>
      </c>
      <c r="D305" s="16" t="inlineStr">
        <is>
          <t>更新日時</t>
        </is>
      </c>
      <c r="E305" s="9" t="inlineStr">
        <is>
          <t>TIMESTAMPTZ</t>
        </is>
      </c>
      <c r="F305" s="9" t="inlineStr"/>
      <c r="G305" s="9" t="inlineStr"/>
      <c r="H305" s="16" t="inlineStr"/>
      <c r="I305" s="9" t="inlineStr">
        <is>
          <t>Y</t>
        </is>
      </c>
      <c r="J305" s="16" t="inlineStr">
        <is>
          <t>現在日時</t>
        </is>
      </c>
      <c r="K305" s="16" t="inlineStr"/>
    </row>
    <row r="306">
      <c r="A306" s="16" t="inlineStr">
        <is>
          <t>t_return</t>
        </is>
      </c>
      <c r="B306" s="9" t="n">
        <v>15</v>
      </c>
      <c r="C306" s="16" t="inlineStr">
        <is>
          <t>updated_by</t>
        </is>
      </c>
      <c r="D306" s="16" t="inlineStr">
        <is>
          <t>更新者</t>
        </is>
      </c>
      <c r="E306" s="9" t="inlineStr">
        <is>
          <t>BIGINT</t>
        </is>
      </c>
      <c r="F306" s="9" t="inlineStr"/>
      <c r="G306" s="9" t="inlineStr"/>
      <c r="H306" s="16" t="inlineStr">
        <is>
          <t>m_user.id</t>
        </is>
      </c>
      <c r="I306" s="9" t="inlineStr">
        <is>
          <t>Y</t>
        </is>
      </c>
      <c r="J306" s="16" t="inlineStr"/>
      <c r="K306" s="16" t="inlineStr"/>
    </row>
    <row r="307">
      <c r="A307" s="16" t="inlineStr">
        <is>
          <t>t_return</t>
        </is>
      </c>
      <c r="B307" s="9" t="n">
        <v>16</v>
      </c>
      <c r="C307" s="16" t="inlineStr">
        <is>
          <t>version</t>
        </is>
      </c>
      <c r="D307" s="16" t="inlineStr">
        <is>
          <t>版数</t>
        </is>
      </c>
      <c r="E307" s="9" t="inlineStr">
        <is>
          <t>INTEGER</t>
        </is>
      </c>
      <c r="F307" s="9" t="inlineStr"/>
      <c r="G307" s="9" t="inlineStr"/>
      <c r="H307" s="16" t="inlineStr"/>
      <c r="I307" s="9" t="inlineStr">
        <is>
          <t>Y</t>
        </is>
      </c>
      <c r="J307" s="16" t="inlineStr">
        <is>
          <t>1</t>
        </is>
      </c>
      <c r="K307" s="16" t="inlineStr">
        <is>
          <t>楽観ロック用</t>
        </is>
      </c>
    </row>
    <row r="308">
      <c r="A308" s="22" t="inlineStr">
        <is>
          <t>t_recall</t>
        </is>
      </c>
      <c r="B308" s="23" t="inlineStr">
        <is>
          <t>【回収案件】回収（リコール）案件</t>
        </is>
      </c>
      <c r="C308" s="24" t="n"/>
      <c r="D308" s="24" t="n"/>
      <c r="E308" s="24" t="n"/>
      <c r="F308" s="24" t="n"/>
      <c r="G308" s="24" t="n"/>
      <c r="H308" s="24" t="n"/>
      <c r="I308" s="24" t="n"/>
      <c r="J308" s="24" t="n"/>
      <c r="K308" s="25" t="n"/>
    </row>
    <row r="309">
      <c r="A309" s="16" t="inlineStr">
        <is>
          <t>t_recall</t>
        </is>
      </c>
      <c r="B309" s="9" t="n">
        <v>1</v>
      </c>
      <c r="C309" s="16" t="inlineStr">
        <is>
          <t>id</t>
        </is>
      </c>
      <c r="D309" s="16" t="inlineStr">
        <is>
          <t>回収案件ID</t>
        </is>
      </c>
      <c r="E309" s="9" t="inlineStr">
        <is>
          <t>BIGINT</t>
        </is>
      </c>
      <c r="F309" s="9" t="inlineStr"/>
      <c r="G309" s="9" t="inlineStr">
        <is>
          <t>Y</t>
        </is>
      </c>
      <c r="H309" s="16" t="inlineStr"/>
      <c r="I309" s="9" t="inlineStr">
        <is>
          <t>Y</t>
        </is>
      </c>
      <c r="J309" s="16" t="inlineStr">
        <is>
          <t>自動採番</t>
        </is>
      </c>
      <c r="K309" s="16" t="inlineStr"/>
    </row>
    <row r="310">
      <c r="A310" s="16" t="inlineStr">
        <is>
          <t>t_recall</t>
        </is>
      </c>
      <c r="B310" s="9" t="n">
        <v>2</v>
      </c>
      <c r="C310" s="16" t="inlineStr">
        <is>
          <t>recall_no</t>
        </is>
      </c>
      <c r="D310" s="16" t="inlineStr">
        <is>
          <t>回収番号</t>
        </is>
      </c>
      <c r="E310" s="9" t="inlineStr">
        <is>
          <t>VARCHAR</t>
        </is>
      </c>
      <c r="F310" s="9" t="inlineStr">
        <is>
          <t>20</t>
        </is>
      </c>
      <c r="G310" s="9" t="inlineStr"/>
      <c r="H310" s="16" t="inlineStr"/>
      <c r="I310" s="9" t="inlineStr">
        <is>
          <t>Y</t>
        </is>
      </c>
      <c r="J310" s="16" t="inlineStr"/>
      <c r="K310" s="16" t="inlineStr">
        <is>
          <t>RCL-YYYY-NNN 一意</t>
        </is>
      </c>
    </row>
    <row r="311">
      <c r="A311" s="16" t="inlineStr">
        <is>
          <t>t_recall</t>
        </is>
      </c>
      <c r="B311" s="9" t="n">
        <v>3</v>
      </c>
      <c r="C311" s="16" t="inlineStr">
        <is>
          <t>title</t>
        </is>
      </c>
      <c r="D311" s="16" t="inlineStr">
        <is>
          <t>件名</t>
        </is>
      </c>
      <c r="E311" s="9" t="inlineStr">
        <is>
          <t>VARCHAR</t>
        </is>
      </c>
      <c r="F311" s="9" t="inlineStr">
        <is>
          <t>100</t>
        </is>
      </c>
      <c r="G311" s="9" t="inlineStr"/>
      <c r="H311" s="16" t="inlineStr"/>
      <c r="I311" s="9" t="inlineStr">
        <is>
          <t>Y</t>
        </is>
      </c>
      <c r="J311" s="16" t="inlineStr"/>
      <c r="K311" s="16" t="inlineStr"/>
    </row>
    <row r="312">
      <c r="A312" s="16" t="inlineStr">
        <is>
          <t>t_recall</t>
        </is>
      </c>
      <c r="B312" s="9" t="n">
        <v>4</v>
      </c>
      <c r="C312" s="16" t="inlineStr">
        <is>
          <t>reason</t>
        </is>
      </c>
      <c r="D312" s="16" t="inlineStr">
        <is>
          <t>回収理由</t>
        </is>
      </c>
      <c r="E312" s="9" t="inlineStr">
        <is>
          <t>TEXT</t>
        </is>
      </c>
      <c r="F312" s="9" t="inlineStr"/>
      <c r="G312" s="9" t="inlineStr"/>
      <c r="H312" s="16" t="inlineStr"/>
      <c r="I312" s="9" t="inlineStr">
        <is>
          <t>Y</t>
        </is>
      </c>
      <c r="J312" s="16" t="inlineStr"/>
      <c r="K312" s="16" t="inlineStr"/>
    </row>
    <row r="313">
      <c r="A313" s="16" t="inlineStr">
        <is>
          <t>t_recall</t>
        </is>
      </c>
      <c r="B313" s="9" t="n">
        <v>5</v>
      </c>
      <c r="C313" s="16" t="inlineStr">
        <is>
          <t>severity</t>
        </is>
      </c>
      <c r="D313" s="16" t="inlineStr">
        <is>
          <t>重大度</t>
        </is>
      </c>
      <c r="E313" s="9" t="inlineStr">
        <is>
          <t>VARCHAR</t>
        </is>
      </c>
      <c r="F313" s="9" t="inlineStr">
        <is>
          <t>10</t>
        </is>
      </c>
      <c r="G313" s="9" t="inlineStr"/>
      <c r="H313" s="16" t="inlineStr"/>
      <c r="I313" s="9" t="inlineStr">
        <is>
          <t>Y</t>
        </is>
      </c>
      <c r="J313" s="16" t="inlineStr"/>
      <c r="K313" s="16" t="inlineStr">
        <is>
          <t>クラスI/II/III（行政区分に準拠）</t>
        </is>
      </c>
    </row>
    <row r="314">
      <c r="A314" s="16" t="inlineStr">
        <is>
          <t>t_recall</t>
        </is>
      </c>
      <c r="B314" s="9" t="n">
        <v>6</v>
      </c>
      <c r="C314" s="16" t="inlineStr">
        <is>
          <t>started_on</t>
        </is>
      </c>
      <c r="D314" s="16" t="inlineStr">
        <is>
          <t>開始日</t>
        </is>
      </c>
      <c r="E314" s="9" t="inlineStr">
        <is>
          <t>DATE</t>
        </is>
      </c>
      <c r="F314" s="9" t="inlineStr"/>
      <c r="G314" s="9" t="inlineStr"/>
      <c r="H314" s="16" t="inlineStr"/>
      <c r="I314" s="9" t="inlineStr">
        <is>
          <t>Y</t>
        </is>
      </c>
      <c r="J314" s="16" t="inlineStr"/>
      <c r="K314" s="16" t="inlineStr"/>
    </row>
    <row r="315">
      <c r="A315" s="16" t="inlineStr">
        <is>
          <t>t_recall</t>
        </is>
      </c>
      <c r="B315" s="9" t="n">
        <v>7</v>
      </c>
      <c r="C315" s="16" t="inlineStr">
        <is>
          <t>closed_on</t>
        </is>
      </c>
      <c r="D315" s="16" t="inlineStr">
        <is>
          <t>完了日</t>
        </is>
      </c>
      <c r="E315" s="9" t="inlineStr">
        <is>
          <t>DATE</t>
        </is>
      </c>
      <c r="F315" s="9" t="inlineStr"/>
      <c r="G315" s="9" t="inlineStr"/>
      <c r="H315" s="16" t="inlineStr"/>
      <c r="I315" s="9" t="inlineStr"/>
      <c r="J315" s="16" t="inlineStr"/>
      <c r="K315" s="16" t="inlineStr"/>
    </row>
    <row r="316">
      <c r="A316" s="16" t="inlineStr">
        <is>
          <t>t_recall</t>
        </is>
      </c>
      <c r="B316" s="9" t="n">
        <v>8</v>
      </c>
      <c r="C316" s="16" t="inlineStr">
        <is>
          <t>status</t>
        </is>
      </c>
      <c r="D316" s="16" t="inlineStr">
        <is>
          <t>ステータス</t>
        </is>
      </c>
      <c r="E316" s="9" t="inlineStr">
        <is>
          <t>VARCHAR</t>
        </is>
      </c>
      <c r="F316" s="9" t="inlineStr">
        <is>
          <t>20</t>
        </is>
      </c>
      <c r="G316" s="9" t="inlineStr"/>
      <c r="H316" s="16" t="inlineStr"/>
      <c r="I316" s="9" t="inlineStr">
        <is>
          <t>Y</t>
        </is>
      </c>
      <c r="J316" s="16" t="inlineStr">
        <is>
          <t>OPEN</t>
        </is>
      </c>
      <c r="K316" s="16" t="inlineStr">
        <is>
          <t>OPEN/IN_PROGRESS/CLOSED</t>
        </is>
      </c>
    </row>
    <row r="317">
      <c r="A317" s="16" t="inlineStr">
        <is>
          <t>t_recall</t>
        </is>
      </c>
      <c r="B317" s="9" t="n">
        <v>9</v>
      </c>
      <c r="C317" s="16" t="inlineStr">
        <is>
          <t>created_at</t>
        </is>
      </c>
      <c r="D317" s="16" t="inlineStr">
        <is>
          <t>作成日時</t>
        </is>
      </c>
      <c r="E317" s="9" t="inlineStr">
        <is>
          <t>TIMESTAMPTZ</t>
        </is>
      </c>
      <c r="F317" s="9" t="inlineStr"/>
      <c r="G317" s="9" t="inlineStr"/>
      <c r="H317" s="16" t="inlineStr"/>
      <c r="I317" s="9" t="inlineStr">
        <is>
          <t>Y</t>
        </is>
      </c>
      <c r="J317" s="16" t="inlineStr">
        <is>
          <t>現在日時</t>
        </is>
      </c>
      <c r="K317" s="16" t="inlineStr"/>
    </row>
    <row r="318">
      <c r="A318" s="16" t="inlineStr">
        <is>
          <t>t_recall</t>
        </is>
      </c>
      <c r="B318" s="9" t="n">
        <v>10</v>
      </c>
      <c r="C318" s="16" t="inlineStr">
        <is>
          <t>created_by</t>
        </is>
      </c>
      <c r="D318" s="16" t="inlineStr">
        <is>
          <t>作成者</t>
        </is>
      </c>
      <c r="E318" s="9" t="inlineStr">
        <is>
          <t>BIGINT</t>
        </is>
      </c>
      <c r="F318" s="9" t="inlineStr"/>
      <c r="G318" s="9" t="inlineStr"/>
      <c r="H318" s="16" t="inlineStr">
        <is>
          <t>m_user.id</t>
        </is>
      </c>
      <c r="I318" s="9" t="inlineStr">
        <is>
          <t>Y</t>
        </is>
      </c>
      <c r="J318" s="16" t="inlineStr"/>
      <c r="K318" s="16" t="inlineStr"/>
    </row>
    <row r="319">
      <c r="A319" s="16" t="inlineStr">
        <is>
          <t>t_recall</t>
        </is>
      </c>
      <c r="B319" s="9" t="n">
        <v>11</v>
      </c>
      <c r="C319" s="16" t="inlineStr">
        <is>
          <t>updated_at</t>
        </is>
      </c>
      <c r="D319" s="16" t="inlineStr">
        <is>
          <t>更新日時</t>
        </is>
      </c>
      <c r="E319" s="9" t="inlineStr">
        <is>
          <t>TIMESTAMPTZ</t>
        </is>
      </c>
      <c r="F319" s="9" t="inlineStr"/>
      <c r="G319" s="9" t="inlineStr"/>
      <c r="H319" s="16" t="inlineStr"/>
      <c r="I319" s="9" t="inlineStr">
        <is>
          <t>Y</t>
        </is>
      </c>
      <c r="J319" s="16" t="inlineStr">
        <is>
          <t>現在日時</t>
        </is>
      </c>
      <c r="K319" s="16" t="inlineStr"/>
    </row>
    <row r="320">
      <c r="A320" s="16" t="inlineStr">
        <is>
          <t>t_recall</t>
        </is>
      </c>
      <c r="B320" s="9" t="n">
        <v>12</v>
      </c>
      <c r="C320" s="16" t="inlineStr">
        <is>
          <t>updated_by</t>
        </is>
      </c>
      <c r="D320" s="16" t="inlineStr">
        <is>
          <t>更新者</t>
        </is>
      </c>
      <c r="E320" s="9" t="inlineStr">
        <is>
          <t>BIGINT</t>
        </is>
      </c>
      <c r="F320" s="9" t="inlineStr"/>
      <c r="G320" s="9" t="inlineStr"/>
      <c r="H320" s="16" t="inlineStr">
        <is>
          <t>m_user.id</t>
        </is>
      </c>
      <c r="I320" s="9" t="inlineStr">
        <is>
          <t>Y</t>
        </is>
      </c>
      <c r="J320" s="16" t="inlineStr"/>
      <c r="K320" s="16" t="inlineStr"/>
    </row>
    <row r="321">
      <c r="A321" s="16" t="inlineStr">
        <is>
          <t>t_recall</t>
        </is>
      </c>
      <c r="B321" s="9" t="n">
        <v>13</v>
      </c>
      <c r="C321" s="16" t="inlineStr">
        <is>
          <t>version</t>
        </is>
      </c>
      <c r="D321" s="16" t="inlineStr">
        <is>
          <t>版数</t>
        </is>
      </c>
      <c r="E321" s="9" t="inlineStr">
        <is>
          <t>INTEGER</t>
        </is>
      </c>
      <c r="F321" s="9" t="inlineStr"/>
      <c r="G321" s="9" t="inlineStr"/>
      <c r="H321" s="16" t="inlineStr"/>
      <c r="I321" s="9" t="inlineStr">
        <is>
          <t>Y</t>
        </is>
      </c>
      <c r="J321" s="16" t="inlineStr">
        <is>
          <t>1</t>
        </is>
      </c>
      <c r="K321" s="16" t="inlineStr">
        <is>
          <t>楽観ロック用</t>
        </is>
      </c>
    </row>
    <row r="322">
      <c r="A322" s="22" t="inlineStr">
        <is>
          <t>t_recall_lot</t>
        </is>
      </c>
      <c r="B322" s="23" t="inlineStr">
        <is>
          <t>【回収対象ロット】回収案件×ロット</t>
        </is>
      </c>
      <c r="C322" s="24" t="n"/>
      <c r="D322" s="24" t="n"/>
      <c r="E322" s="24" t="n"/>
      <c r="F322" s="24" t="n"/>
      <c r="G322" s="24" t="n"/>
      <c r="H322" s="24" t="n"/>
      <c r="I322" s="24" t="n"/>
      <c r="J322" s="24" t="n"/>
      <c r="K322" s="25" t="n"/>
    </row>
    <row r="323">
      <c r="A323" s="16" t="inlineStr">
        <is>
          <t>t_recall_lot</t>
        </is>
      </c>
      <c r="B323" s="9" t="n">
        <v>1</v>
      </c>
      <c r="C323" s="16" t="inlineStr">
        <is>
          <t>id</t>
        </is>
      </c>
      <c r="D323" s="16" t="inlineStr">
        <is>
          <t>ID</t>
        </is>
      </c>
      <c r="E323" s="9" t="inlineStr">
        <is>
          <t>BIGINT</t>
        </is>
      </c>
      <c r="F323" s="9" t="inlineStr"/>
      <c r="G323" s="9" t="inlineStr">
        <is>
          <t>Y</t>
        </is>
      </c>
      <c r="H323" s="16" t="inlineStr"/>
      <c r="I323" s="9" t="inlineStr">
        <is>
          <t>Y</t>
        </is>
      </c>
      <c r="J323" s="16" t="inlineStr">
        <is>
          <t>自動採番</t>
        </is>
      </c>
      <c r="K323" s="16" t="inlineStr"/>
    </row>
    <row r="324">
      <c r="A324" s="16" t="inlineStr">
        <is>
          <t>t_recall_lot</t>
        </is>
      </c>
      <c r="B324" s="9" t="n">
        <v>2</v>
      </c>
      <c r="C324" s="16" t="inlineStr">
        <is>
          <t>recall_id</t>
        </is>
      </c>
      <c r="D324" s="16" t="inlineStr">
        <is>
          <t>回収案件ID</t>
        </is>
      </c>
      <c r="E324" s="9" t="inlineStr">
        <is>
          <t>BIGINT</t>
        </is>
      </c>
      <c r="F324" s="9" t="inlineStr"/>
      <c r="G324" s="9" t="inlineStr"/>
      <c r="H324" s="16" t="inlineStr">
        <is>
          <t>t_recall.id</t>
        </is>
      </c>
      <c r="I324" s="9" t="inlineStr">
        <is>
          <t>Y</t>
        </is>
      </c>
      <c r="J324" s="16" t="inlineStr"/>
      <c r="K324" s="16" t="inlineStr">
        <is>
          <t>(回収案件,ロット)で一意</t>
        </is>
      </c>
    </row>
    <row r="325">
      <c r="A325" s="16" t="inlineStr">
        <is>
          <t>t_recall_lot</t>
        </is>
      </c>
      <c r="B325" s="9" t="n">
        <v>3</v>
      </c>
      <c r="C325" s="16" t="inlineStr">
        <is>
          <t>lot_id</t>
        </is>
      </c>
      <c r="D325" s="16" t="inlineStr">
        <is>
          <t>ロットID</t>
        </is>
      </c>
      <c r="E325" s="9" t="inlineStr">
        <is>
          <t>BIGINT</t>
        </is>
      </c>
      <c r="F325" s="9" t="inlineStr"/>
      <c r="G325" s="9" t="inlineStr"/>
      <c r="H325" s="16" t="inlineStr">
        <is>
          <t>t_lot.id</t>
        </is>
      </c>
      <c r="I325" s="9" t="inlineStr">
        <is>
          <t>Y</t>
        </is>
      </c>
      <c r="J325" s="16" t="inlineStr"/>
      <c r="K325" s="16" t="inlineStr"/>
    </row>
    <row r="326">
      <c r="A326" s="16" t="inlineStr">
        <is>
          <t>t_recall_lot</t>
        </is>
      </c>
      <c r="B326" s="9" t="n">
        <v>4</v>
      </c>
      <c r="C326" s="16" t="inlineStr">
        <is>
          <t>created_at</t>
        </is>
      </c>
      <c r="D326" s="16" t="inlineStr">
        <is>
          <t>作成日時</t>
        </is>
      </c>
      <c r="E326" s="9" t="inlineStr">
        <is>
          <t>TIMESTAMPTZ</t>
        </is>
      </c>
      <c r="F326" s="9" t="inlineStr"/>
      <c r="G326" s="9" t="inlineStr"/>
      <c r="H326" s="16" t="inlineStr"/>
      <c r="I326" s="9" t="inlineStr">
        <is>
          <t>Y</t>
        </is>
      </c>
      <c r="J326" s="16" t="inlineStr">
        <is>
          <t>現在日時</t>
        </is>
      </c>
      <c r="K326" s="16" t="inlineStr"/>
    </row>
    <row r="327">
      <c r="A327" s="16" t="inlineStr">
        <is>
          <t>t_recall_lot</t>
        </is>
      </c>
      <c r="B327" s="9" t="n">
        <v>5</v>
      </c>
      <c r="C327" s="16" t="inlineStr">
        <is>
          <t>created_by</t>
        </is>
      </c>
      <c r="D327" s="16" t="inlineStr">
        <is>
          <t>作成者</t>
        </is>
      </c>
      <c r="E327" s="9" t="inlineStr">
        <is>
          <t>BIGINT</t>
        </is>
      </c>
      <c r="F327" s="9" t="inlineStr"/>
      <c r="G327" s="9" t="inlineStr"/>
      <c r="H327" s="16" t="inlineStr">
        <is>
          <t>m_user.id</t>
        </is>
      </c>
      <c r="I327" s="9" t="inlineStr">
        <is>
          <t>Y</t>
        </is>
      </c>
      <c r="J327" s="16" t="inlineStr"/>
      <c r="K327" s="16" t="inlineStr"/>
    </row>
    <row r="328">
      <c r="A328" s="16" t="inlineStr">
        <is>
          <t>t_recall_lot</t>
        </is>
      </c>
      <c r="B328" s="9" t="n">
        <v>6</v>
      </c>
      <c r="C328" s="16" t="inlineStr">
        <is>
          <t>updated_at</t>
        </is>
      </c>
      <c r="D328" s="16" t="inlineStr">
        <is>
          <t>更新日時</t>
        </is>
      </c>
      <c r="E328" s="9" t="inlineStr">
        <is>
          <t>TIMESTAMPTZ</t>
        </is>
      </c>
      <c r="F328" s="9" t="inlineStr"/>
      <c r="G328" s="9" t="inlineStr"/>
      <c r="H328" s="16" t="inlineStr"/>
      <c r="I328" s="9" t="inlineStr">
        <is>
          <t>Y</t>
        </is>
      </c>
      <c r="J328" s="16" t="inlineStr">
        <is>
          <t>現在日時</t>
        </is>
      </c>
      <c r="K328" s="16" t="inlineStr"/>
    </row>
    <row r="329">
      <c r="A329" s="16" t="inlineStr">
        <is>
          <t>t_recall_lot</t>
        </is>
      </c>
      <c r="B329" s="9" t="n">
        <v>7</v>
      </c>
      <c r="C329" s="16" t="inlineStr">
        <is>
          <t>updated_by</t>
        </is>
      </c>
      <c r="D329" s="16" t="inlineStr">
        <is>
          <t>更新者</t>
        </is>
      </c>
      <c r="E329" s="9" t="inlineStr">
        <is>
          <t>BIGINT</t>
        </is>
      </c>
      <c r="F329" s="9" t="inlineStr"/>
      <c r="G329" s="9" t="inlineStr"/>
      <c r="H329" s="16" t="inlineStr">
        <is>
          <t>m_user.id</t>
        </is>
      </c>
      <c r="I329" s="9" t="inlineStr">
        <is>
          <t>Y</t>
        </is>
      </c>
      <c r="J329" s="16" t="inlineStr"/>
      <c r="K329" s="16" t="inlineStr"/>
    </row>
    <row r="330">
      <c r="A330" s="16" t="inlineStr">
        <is>
          <t>t_recall_lot</t>
        </is>
      </c>
      <c r="B330" s="9" t="n">
        <v>8</v>
      </c>
      <c r="C330" s="16" t="inlineStr">
        <is>
          <t>version</t>
        </is>
      </c>
      <c r="D330" s="16" t="inlineStr">
        <is>
          <t>版数</t>
        </is>
      </c>
      <c r="E330" s="9" t="inlineStr">
        <is>
          <t>INTEGER</t>
        </is>
      </c>
      <c r="F330" s="9" t="inlineStr"/>
      <c r="G330" s="9" t="inlineStr"/>
      <c r="H330" s="16" t="inlineStr"/>
      <c r="I330" s="9" t="inlineStr">
        <is>
          <t>Y</t>
        </is>
      </c>
      <c r="J330" s="16" t="inlineStr">
        <is>
          <t>1</t>
        </is>
      </c>
      <c r="K330" s="16" t="inlineStr">
        <is>
          <t>楽観ロック用</t>
        </is>
      </c>
    </row>
    <row r="331">
      <c r="A331" s="22" t="inlineStr">
        <is>
          <t>t_recall_target</t>
        </is>
      </c>
      <c r="B331" s="23" t="inlineStr">
        <is>
          <t>【回収対象顧客】回収案件×顧客の連絡・回収状況</t>
        </is>
      </c>
      <c r="C331" s="24" t="n"/>
      <c r="D331" s="24" t="n"/>
      <c r="E331" s="24" t="n"/>
      <c r="F331" s="24" t="n"/>
      <c r="G331" s="24" t="n"/>
      <c r="H331" s="24" t="n"/>
      <c r="I331" s="24" t="n"/>
      <c r="J331" s="24" t="n"/>
      <c r="K331" s="25" t="n"/>
    </row>
    <row r="332">
      <c r="A332" s="16" t="inlineStr">
        <is>
          <t>t_recall_target</t>
        </is>
      </c>
      <c r="B332" s="9" t="n">
        <v>1</v>
      </c>
      <c r="C332" s="16" t="inlineStr">
        <is>
          <t>id</t>
        </is>
      </c>
      <c r="D332" s="16" t="inlineStr">
        <is>
          <t>ID</t>
        </is>
      </c>
      <c r="E332" s="9" t="inlineStr">
        <is>
          <t>BIGINT</t>
        </is>
      </c>
      <c r="F332" s="9" t="inlineStr"/>
      <c r="G332" s="9" t="inlineStr">
        <is>
          <t>Y</t>
        </is>
      </c>
      <c r="H332" s="16" t="inlineStr"/>
      <c r="I332" s="9" t="inlineStr">
        <is>
          <t>Y</t>
        </is>
      </c>
      <c r="J332" s="16" t="inlineStr">
        <is>
          <t>自動採番</t>
        </is>
      </c>
      <c r="K332" s="16" t="inlineStr"/>
    </row>
    <row r="333">
      <c r="A333" s="16" t="inlineStr">
        <is>
          <t>t_recall_target</t>
        </is>
      </c>
      <c r="B333" s="9" t="n">
        <v>2</v>
      </c>
      <c r="C333" s="16" t="inlineStr">
        <is>
          <t>recall_id</t>
        </is>
      </c>
      <c r="D333" s="16" t="inlineStr">
        <is>
          <t>回収案件ID</t>
        </is>
      </c>
      <c r="E333" s="9" t="inlineStr">
        <is>
          <t>BIGINT</t>
        </is>
      </c>
      <c r="F333" s="9" t="inlineStr"/>
      <c r="G333" s="9" t="inlineStr"/>
      <c r="H333" s="16" t="inlineStr">
        <is>
          <t>t_recall.id</t>
        </is>
      </c>
      <c r="I333" s="9" t="inlineStr">
        <is>
          <t>Y</t>
        </is>
      </c>
      <c r="J333" s="16" t="inlineStr"/>
      <c r="K333" s="16" t="inlineStr"/>
    </row>
    <row r="334">
      <c r="A334" s="16" t="inlineStr">
        <is>
          <t>t_recall_target</t>
        </is>
      </c>
      <c r="B334" s="9" t="n">
        <v>3</v>
      </c>
      <c r="C334" s="16" t="inlineStr">
        <is>
          <t>customer_id</t>
        </is>
      </c>
      <c r="D334" s="16" t="inlineStr">
        <is>
          <t>顧客ID</t>
        </is>
      </c>
      <c r="E334" s="9" t="inlineStr">
        <is>
          <t>BIGINT</t>
        </is>
      </c>
      <c r="F334" s="9" t="inlineStr"/>
      <c r="G334" s="9" t="inlineStr"/>
      <c r="H334" s="16" t="inlineStr">
        <is>
          <t>m_customer.id</t>
        </is>
      </c>
      <c r="I334" s="9" t="inlineStr">
        <is>
          <t>Y</t>
        </is>
      </c>
      <c r="J334" s="16" t="inlineStr"/>
      <c r="K334" s="16" t="inlineStr">
        <is>
          <t>出荷から自動抽出</t>
        </is>
      </c>
    </row>
    <row r="335">
      <c r="A335" s="16" t="inlineStr">
        <is>
          <t>t_recall_target</t>
        </is>
      </c>
      <c r="B335" s="9" t="n">
        <v>4</v>
      </c>
      <c r="C335" s="16" t="inlineStr">
        <is>
          <t>ship_to_id</t>
        </is>
      </c>
      <c r="D335" s="16" t="inlineStr">
        <is>
          <t>納品先ID</t>
        </is>
      </c>
      <c r="E335" s="9" t="inlineStr">
        <is>
          <t>BIGINT</t>
        </is>
      </c>
      <c r="F335" s="9" t="inlineStr"/>
      <c r="G335" s="9" t="inlineStr"/>
      <c r="H335" s="16" t="inlineStr">
        <is>
          <t>m_ship_to.id</t>
        </is>
      </c>
      <c r="I335" s="9" t="inlineStr">
        <is>
          <t>Y</t>
        </is>
      </c>
      <c r="J335" s="16" t="inlineStr"/>
      <c r="K335" s="16" t="inlineStr">
        <is>
          <t>現品の所在。連絡先は納品先担当者</t>
        </is>
      </c>
    </row>
    <row r="336">
      <c r="A336" s="16" t="inlineStr">
        <is>
          <t>t_recall_target</t>
        </is>
      </c>
      <c r="B336" s="9" t="n">
        <v>5</v>
      </c>
      <c r="C336" s="16" t="inlineStr">
        <is>
          <t>lot_id</t>
        </is>
      </c>
      <c r="D336" s="16" t="inlineStr">
        <is>
          <t>ロットID</t>
        </is>
      </c>
      <c r="E336" s="9" t="inlineStr">
        <is>
          <t>BIGINT</t>
        </is>
      </c>
      <c r="F336" s="9" t="inlineStr"/>
      <c r="G336" s="9" t="inlineStr"/>
      <c r="H336" s="16" t="inlineStr">
        <is>
          <t>t_lot.id</t>
        </is>
      </c>
      <c r="I336" s="9" t="inlineStr">
        <is>
          <t>Y</t>
        </is>
      </c>
      <c r="J336" s="16" t="inlineStr"/>
      <c r="K336" s="16" t="inlineStr">
        <is>
          <t>(回収案件,納品先,ロット)で一意</t>
        </is>
      </c>
    </row>
    <row r="337">
      <c r="A337" s="16" t="inlineStr">
        <is>
          <t>t_recall_target</t>
        </is>
      </c>
      <c r="B337" s="9" t="n">
        <v>6</v>
      </c>
      <c r="C337" s="16" t="inlineStr">
        <is>
          <t>shipped_qty</t>
        </is>
      </c>
      <c r="D337" s="16" t="inlineStr">
        <is>
          <t>出荷正味数量</t>
        </is>
      </c>
      <c r="E337" s="9" t="inlineStr">
        <is>
          <t>INTEGER</t>
        </is>
      </c>
      <c r="F337" s="9" t="inlineStr"/>
      <c r="G337" s="9" t="inlineStr"/>
      <c r="H337" s="16" t="inlineStr"/>
      <c r="I337" s="9" t="inlineStr">
        <is>
          <t>Y</t>
        </is>
      </c>
      <c r="J337" s="16" t="inlineStr"/>
      <c r="K337" s="16" t="inlineStr">
        <is>
          <t>出荷−通常返品。返品・出荷取消時に SQL-03 で再計算</t>
        </is>
      </c>
    </row>
    <row r="338">
      <c r="A338" s="16" t="inlineStr">
        <is>
          <t>t_recall_target</t>
        </is>
      </c>
      <c r="B338" s="9" t="n">
        <v>7</v>
      </c>
      <c r="C338" s="16" t="inlineStr">
        <is>
          <t>contacted_on</t>
        </is>
      </c>
      <c r="D338" s="16" t="inlineStr">
        <is>
          <t>連絡日</t>
        </is>
      </c>
      <c r="E338" s="9" t="inlineStr">
        <is>
          <t>DATE</t>
        </is>
      </c>
      <c r="F338" s="9" t="inlineStr"/>
      <c r="G338" s="9" t="inlineStr"/>
      <c r="H338" s="16" t="inlineStr"/>
      <c r="I338" s="9" t="inlineStr"/>
      <c r="J338" s="16" t="inlineStr"/>
      <c r="K338" s="16" t="inlineStr"/>
    </row>
    <row r="339">
      <c r="A339" s="16" t="inlineStr">
        <is>
          <t>t_recall_target</t>
        </is>
      </c>
      <c r="B339" s="9" t="n">
        <v>8</v>
      </c>
      <c r="C339" s="16" t="inlineStr">
        <is>
          <t>contact_method</t>
        </is>
      </c>
      <c r="D339" s="16" t="inlineStr">
        <is>
          <t>連絡方法</t>
        </is>
      </c>
      <c r="E339" s="9" t="inlineStr">
        <is>
          <t>VARCHAR</t>
        </is>
      </c>
      <c r="F339" s="9" t="inlineStr">
        <is>
          <t>20</t>
        </is>
      </c>
      <c r="G339" s="9" t="inlineStr"/>
      <c r="H339" s="16" t="inlineStr"/>
      <c r="I339" s="9" t="inlineStr"/>
      <c r="J339" s="16" t="inlineStr"/>
      <c r="K339" s="16" t="inlineStr">
        <is>
          <t>電話/メール/訪問</t>
        </is>
      </c>
    </row>
    <row r="340">
      <c r="A340" s="16" t="inlineStr">
        <is>
          <t>t_recall_target</t>
        </is>
      </c>
      <c r="B340" s="9" t="n">
        <v>9</v>
      </c>
      <c r="C340" s="16" t="inlineStr">
        <is>
          <t>recovered_qty</t>
        </is>
      </c>
      <c r="D340" s="16" t="inlineStr">
        <is>
          <t>回収数量</t>
        </is>
      </c>
      <c r="E340" s="9" t="inlineStr">
        <is>
          <t>INTEGER</t>
        </is>
      </c>
      <c r="F340" s="9" t="inlineStr"/>
      <c r="G340" s="9" t="inlineStr"/>
      <c r="H340" s="16" t="inlineStr"/>
      <c r="I340" s="9" t="inlineStr">
        <is>
          <t>Y</t>
        </is>
      </c>
      <c r="J340" s="16" t="inlineStr">
        <is>
          <t>0</t>
        </is>
      </c>
      <c r="K340" s="16" t="inlineStr">
        <is>
          <t>回収品返品（t_return.recall_target_id）の合計。P-07で更新</t>
        </is>
      </c>
    </row>
    <row r="341">
      <c r="A341" s="16" t="inlineStr">
        <is>
          <t>t_recall_target</t>
        </is>
      </c>
      <c r="B341" s="9" t="n">
        <v>10</v>
      </c>
      <c r="C341" s="16" t="inlineStr">
        <is>
          <t>unrecoverable_qty</t>
        </is>
      </c>
      <c r="D341" s="16" t="inlineStr">
        <is>
          <t>回収不能数量</t>
        </is>
      </c>
      <c r="E341" s="9" t="inlineStr">
        <is>
          <t>INTEGER</t>
        </is>
      </c>
      <c r="F341" s="9" t="inlineStr"/>
      <c r="G341" s="9" t="inlineStr"/>
      <c r="H341" s="16" t="inlineStr"/>
      <c r="I341" s="9" t="inlineStr">
        <is>
          <t>Y</t>
        </is>
      </c>
      <c r="J341" s="16" t="inlineStr">
        <is>
          <t>0</t>
        </is>
      </c>
      <c r="K341" s="16" t="inlineStr">
        <is>
          <t>使用済・消費済等で回収できない数量（顧客回答に基づきQAが入力）</t>
        </is>
      </c>
    </row>
    <row r="342">
      <c r="A342" s="16" t="inlineStr">
        <is>
          <t>t_recall_target</t>
        </is>
      </c>
      <c r="B342" s="9" t="n">
        <v>11</v>
      </c>
      <c r="C342" s="16" t="inlineStr">
        <is>
          <t>close_reason</t>
        </is>
      </c>
      <c r="D342" s="16" t="inlineStr">
        <is>
          <t>クローズ理由</t>
        </is>
      </c>
      <c r="E342" s="9" t="inlineStr">
        <is>
          <t>VARCHAR</t>
        </is>
      </c>
      <c r="F342" s="9" t="inlineStr">
        <is>
          <t>200</t>
        </is>
      </c>
      <c r="G342" s="9" t="inlineStr"/>
      <c r="H342" s="16" t="inlineStr"/>
      <c r="I342" s="9" t="inlineStr"/>
      <c r="J342" s="16" t="inlineStr"/>
      <c r="K342" s="16" t="inlineStr">
        <is>
          <t>CLOSED 時必須（手動）。自動クローズは『自動：…』</t>
        </is>
      </c>
    </row>
    <row r="343">
      <c r="A343" s="16" t="inlineStr">
        <is>
          <t>t_recall_target</t>
        </is>
      </c>
      <c r="B343" s="9" t="n">
        <v>12</v>
      </c>
      <c r="C343" s="16" t="inlineStr">
        <is>
          <t>status</t>
        </is>
      </c>
      <c r="D343" s="16" t="inlineStr">
        <is>
          <t>ステータス</t>
        </is>
      </c>
      <c r="E343" s="9" t="inlineStr">
        <is>
          <t>VARCHAR</t>
        </is>
      </c>
      <c r="F343" s="9" t="inlineStr">
        <is>
          <t>20</t>
        </is>
      </c>
      <c r="G343" s="9" t="inlineStr"/>
      <c r="H343" s="16" t="inlineStr"/>
      <c r="I343" s="9" t="inlineStr">
        <is>
          <t>Y</t>
        </is>
      </c>
      <c r="J343" s="16" t="inlineStr">
        <is>
          <t>NOT_CONTACTED</t>
        </is>
      </c>
      <c r="K343" s="16" t="inlineStr">
        <is>
          <t>NOT_CONTACTED/CONTACTED/RECOVERED/CLOSED</t>
        </is>
      </c>
    </row>
    <row r="344">
      <c r="A344" s="16" t="inlineStr">
        <is>
          <t>t_recall_target</t>
        </is>
      </c>
      <c r="B344" s="9" t="n">
        <v>13</v>
      </c>
      <c r="C344" s="16" t="inlineStr">
        <is>
          <t>created_at</t>
        </is>
      </c>
      <c r="D344" s="16" t="inlineStr">
        <is>
          <t>作成日時</t>
        </is>
      </c>
      <c r="E344" s="9" t="inlineStr">
        <is>
          <t>TIMESTAMPTZ</t>
        </is>
      </c>
      <c r="F344" s="9" t="inlineStr"/>
      <c r="G344" s="9" t="inlineStr"/>
      <c r="H344" s="16" t="inlineStr"/>
      <c r="I344" s="9" t="inlineStr">
        <is>
          <t>Y</t>
        </is>
      </c>
      <c r="J344" s="16" t="inlineStr">
        <is>
          <t>現在日時</t>
        </is>
      </c>
      <c r="K344" s="16" t="inlineStr"/>
    </row>
    <row r="345">
      <c r="A345" s="16" t="inlineStr">
        <is>
          <t>t_recall_target</t>
        </is>
      </c>
      <c r="B345" s="9" t="n">
        <v>14</v>
      </c>
      <c r="C345" s="16" t="inlineStr">
        <is>
          <t>created_by</t>
        </is>
      </c>
      <c r="D345" s="16" t="inlineStr">
        <is>
          <t>作成者</t>
        </is>
      </c>
      <c r="E345" s="9" t="inlineStr">
        <is>
          <t>BIGINT</t>
        </is>
      </c>
      <c r="F345" s="9" t="inlineStr"/>
      <c r="G345" s="9" t="inlineStr"/>
      <c r="H345" s="16" t="inlineStr">
        <is>
          <t>m_user.id</t>
        </is>
      </c>
      <c r="I345" s="9" t="inlineStr">
        <is>
          <t>Y</t>
        </is>
      </c>
      <c r="J345" s="16" t="inlineStr"/>
      <c r="K345" s="16" t="inlineStr"/>
    </row>
    <row r="346">
      <c r="A346" s="16" t="inlineStr">
        <is>
          <t>t_recall_target</t>
        </is>
      </c>
      <c r="B346" s="9" t="n">
        <v>15</v>
      </c>
      <c r="C346" s="16" t="inlineStr">
        <is>
          <t>updated_at</t>
        </is>
      </c>
      <c r="D346" s="16" t="inlineStr">
        <is>
          <t>更新日時</t>
        </is>
      </c>
      <c r="E346" s="9" t="inlineStr">
        <is>
          <t>TIMESTAMPTZ</t>
        </is>
      </c>
      <c r="F346" s="9" t="inlineStr"/>
      <c r="G346" s="9" t="inlineStr"/>
      <c r="H346" s="16" t="inlineStr"/>
      <c r="I346" s="9" t="inlineStr">
        <is>
          <t>Y</t>
        </is>
      </c>
      <c r="J346" s="16" t="inlineStr">
        <is>
          <t>現在日時</t>
        </is>
      </c>
      <c r="K346" s="16" t="inlineStr"/>
    </row>
    <row r="347">
      <c r="A347" s="16" t="inlineStr">
        <is>
          <t>t_recall_target</t>
        </is>
      </c>
      <c r="B347" s="9" t="n">
        <v>16</v>
      </c>
      <c r="C347" s="16" t="inlineStr">
        <is>
          <t>updated_by</t>
        </is>
      </c>
      <c r="D347" s="16" t="inlineStr">
        <is>
          <t>更新者</t>
        </is>
      </c>
      <c r="E347" s="9" t="inlineStr">
        <is>
          <t>BIGINT</t>
        </is>
      </c>
      <c r="F347" s="9" t="inlineStr"/>
      <c r="G347" s="9" t="inlineStr"/>
      <c r="H347" s="16" t="inlineStr">
        <is>
          <t>m_user.id</t>
        </is>
      </c>
      <c r="I347" s="9" t="inlineStr">
        <is>
          <t>Y</t>
        </is>
      </c>
      <c r="J347" s="16" t="inlineStr"/>
      <c r="K347" s="16" t="inlineStr"/>
    </row>
    <row r="348">
      <c r="A348" s="16" t="inlineStr">
        <is>
          <t>t_recall_target</t>
        </is>
      </c>
      <c r="B348" s="9" t="n">
        <v>17</v>
      </c>
      <c r="C348" s="16" t="inlineStr">
        <is>
          <t>version</t>
        </is>
      </c>
      <c r="D348" s="16" t="inlineStr">
        <is>
          <t>版数</t>
        </is>
      </c>
      <c r="E348" s="9" t="inlineStr">
        <is>
          <t>INTEGER</t>
        </is>
      </c>
      <c r="F348" s="9" t="inlineStr"/>
      <c r="G348" s="9" t="inlineStr"/>
      <c r="H348" s="16" t="inlineStr"/>
      <c r="I348" s="9" t="inlineStr">
        <is>
          <t>Y</t>
        </is>
      </c>
      <c r="J348" s="16" t="inlineStr">
        <is>
          <t>1</t>
        </is>
      </c>
      <c r="K348" s="16" t="inlineStr">
        <is>
          <t>楽観ロック用</t>
        </is>
      </c>
    </row>
    <row r="349">
      <c r="A349" s="22" t="inlineStr">
        <is>
          <t>t_temperature_log</t>
        </is>
      </c>
      <c r="B349" s="23" t="inlineStr">
        <is>
          <t>【温度記録】保管場所の温度記録</t>
        </is>
      </c>
      <c r="C349" s="24" t="n"/>
      <c r="D349" s="24" t="n"/>
      <c r="E349" s="24" t="n"/>
      <c r="F349" s="24" t="n"/>
      <c r="G349" s="24" t="n"/>
      <c r="H349" s="24" t="n"/>
      <c r="I349" s="24" t="n"/>
      <c r="J349" s="24" t="n"/>
      <c r="K349" s="25" t="n"/>
    </row>
    <row r="350">
      <c r="A350" s="16" t="inlineStr">
        <is>
          <t>t_temperature_log</t>
        </is>
      </c>
      <c r="B350" s="9" t="n">
        <v>1</v>
      </c>
      <c r="C350" s="16" t="inlineStr">
        <is>
          <t>id</t>
        </is>
      </c>
      <c r="D350" s="16" t="inlineStr">
        <is>
          <t>ID</t>
        </is>
      </c>
      <c r="E350" s="9" t="inlineStr">
        <is>
          <t>BIGINT</t>
        </is>
      </c>
      <c r="F350" s="9" t="inlineStr"/>
      <c r="G350" s="9" t="inlineStr">
        <is>
          <t>Y</t>
        </is>
      </c>
      <c r="H350" s="16" t="inlineStr"/>
      <c r="I350" s="9" t="inlineStr">
        <is>
          <t>Y</t>
        </is>
      </c>
      <c r="J350" s="16" t="inlineStr">
        <is>
          <t>自動採番</t>
        </is>
      </c>
      <c r="K350" s="16" t="inlineStr"/>
    </row>
    <row r="351">
      <c r="A351" s="16" t="inlineStr">
        <is>
          <t>t_temperature_log</t>
        </is>
      </c>
      <c r="B351" s="9" t="n">
        <v>2</v>
      </c>
      <c r="C351" s="16" t="inlineStr">
        <is>
          <t>location_id</t>
        </is>
      </c>
      <c r="D351" s="16" t="inlineStr">
        <is>
          <t>保管場所ID</t>
        </is>
      </c>
      <c r="E351" s="9" t="inlineStr">
        <is>
          <t>BIGINT</t>
        </is>
      </c>
      <c r="F351" s="9" t="inlineStr"/>
      <c r="G351" s="9" t="inlineStr"/>
      <c r="H351" s="16" t="inlineStr">
        <is>
          <t>m_location.id</t>
        </is>
      </c>
      <c r="I351" s="9" t="inlineStr">
        <is>
          <t>Y</t>
        </is>
      </c>
      <c r="J351" s="16" t="inlineStr"/>
      <c r="K351" s="16" t="inlineStr"/>
    </row>
    <row r="352">
      <c r="A352" s="16" t="inlineStr">
        <is>
          <t>t_temperature_log</t>
        </is>
      </c>
      <c r="B352" s="9" t="n">
        <v>3</v>
      </c>
      <c r="C352" s="16" t="inlineStr">
        <is>
          <t>measured_at</t>
        </is>
      </c>
      <c r="D352" s="16" t="inlineStr">
        <is>
          <t>測定日時</t>
        </is>
      </c>
      <c r="E352" s="9" t="inlineStr">
        <is>
          <t>TIMESTAMPTZ</t>
        </is>
      </c>
      <c r="F352" s="9" t="inlineStr"/>
      <c r="G352" s="9" t="inlineStr"/>
      <c r="H352" s="16" t="inlineStr"/>
      <c r="I352" s="9" t="inlineStr">
        <is>
          <t>Y</t>
        </is>
      </c>
      <c r="J352" s="16" t="inlineStr"/>
      <c r="K352" s="16" t="inlineStr"/>
    </row>
    <row r="353">
      <c r="A353" s="16" t="inlineStr">
        <is>
          <t>t_temperature_log</t>
        </is>
      </c>
      <c r="B353" s="9" t="n">
        <v>4</v>
      </c>
      <c r="C353" s="16" t="inlineStr">
        <is>
          <t>temperature</t>
        </is>
      </c>
      <c r="D353" s="16" t="inlineStr">
        <is>
          <t>温度（℃）</t>
        </is>
      </c>
      <c r="E353" s="9" t="inlineStr">
        <is>
          <t>NUMERIC</t>
        </is>
      </c>
      <c r="F353" s="9" t="inlineStr">
        <is>
          <t>5,1</t>
        </is>
      </c>
      <c r="G353" s="9" t="inlineStr"/>
      <c r="H353" s="16" t="inlineStr"/>
      <c r="I353" s="9" t="inlineStr">
        <is>
          <t>Y</t>
        </is>
      </c>
      <c r="J353" s="16" t="inlineStr"/>
      <c r="K353" s="16" t="inlineStr"/>
    </row>
    <row r="354">
      <c r="A354" s="16" t="inlineStr">
        <is>
          <t>t_temperature_log</t>
        </is>
      </c>
      <c r="B354" s="9" t="n">
        <v>5</v>
      </c>
      <c r="C354" s="16" t="inlineStr">
        <is>
          <t>is_excursion</t>
        </is>
      </c>
      <c r="D354" s="16" t="inlineStr">
        <is>
          <t>逸脱フラグ</t>
        </is>
      </c>
      <c r="E354" s="9" t="inlineStr">
        <is>
          <t>BOOLEAN</t>
        </is>
      </c>
      <c r="F354" s="9" t="inlineStr"/>
      <c r="G354" s="9" t="inlineStr"/>
      <c r="H354" s="16" t="inlineStr"/>
      <c r="I354" s="9" t="inlineStr">
        <is>
          <t>Y</t>
        </is>
      </c>
      <c r="J354" s="16" t="inlineStr">
        <is>
          <t>false</t>
        </is>
      </c>
      <c r="K354" s="16" t="inlineStr">
        <is>
          <t>許容範囲外で自動設定</t>
        </is>
      </c>
    </row>
    <row r="355">
      <c r="A355" s="16" t="inlineStr">
        <is>
          <t>t_temperature_log</t>
        </is>
      </c>
      <c r="B355" s="9" t="n">
        <v>6</v>
      </c>
      <c r="C355" s="16" t="inlineStr">
        <is>
          <t>source</t>
        </is>
      </c>
      <c r="D355" s="16" t="inlineStr">
        <is>
          <t>入力元</t>
        </is>
      </c>
      <c r="E355" s="9" t="inlineStr">
        <is>
          <t>VARCHAR</t>
        </is>
      </c>
      <c r="F355" s="9" t="inlineStr">
        <is>
          <t>10</t>
        </is>
      </c>
      <c r="G355" s="9" t="inlineStr"/>
      <c r="H355" s="16" t="inlineStr"/>
      <c r="I355" s="9" t="inlineStr">
        <is>
          <t>Y</t>
        </is>
      </c>
      <c r="J355" s="16" t="inlineStr">
        <is>
          <t>MANUAL</t>
        </is>
      </c>
      <c r="K355" s="16" t="inlineStr">
        <is>
          <t>MANUAL/CSV</t>
        </is>
      </c>
    </row>
    <row r="356">
      <c r="A356" s="16" t="inlineStr">
        <is>
          <t>t_temperature_log</t>
        </is>
      </c>
      <c r="B356" s="9" t="n">
        <v>7</v>
      </c>
      <c r="C356" s="16" t="inlineStr">
        <is>
          <t>created_at</t>
        </is>
      </c>
      <c r="D356" s="16" t="inlineStr">
        <is>
          <t>作成日時</t>
        </is>
      </c>
      <c r="E356" s="9" t="inlineStr">
        <is>
          <t>TIMESTAMPTZ</t>
        </is>
      </c>
      <c r="F356" s="9" t="inlineStr"/>
      <c r="G356" s="9" t="inlineStr"/>
      <c r="H356" s="16" t="inlineStr"/>
      <c r="I356" s="9" t="inlineStr">
        <is>
          <t>Y</t>
        </is>
      </c>
      <c r="J356" s="16" t="inlineStr">
        <is>
          <t>現在日時</t>
        </is>
      </c>
      <c r="K356" s="16" t="inlineStr"/>
    </row>
    <row r="357">
      <c r="A357" s="16" t="inlineStr">
        <is>
          <t>t_temperature_log</t>
        </is>
      </c>
      <c r="B357" s="9" t="n">
        <v>8</v>
      </c>
      <c r="C357" s="16" t="inlineStr">
        <is>
          <t>created_by</t>
        </is>
      </c>
      <c r="D357" s="16" t="inlineStr">
        <is>
          <t>作成者</t>
        </is>
      </c>
      <c r="E357" s="9" t="inlineStr">
        <is>
          <t>BIGINT</t>
        </is>
      </c>
      <c r="F357" s="9" t="inlineStr"/>
      <c r="G357" s="9" t="inlineStr"/>
      <c r="H357" s="16" t="inlineStr">
        <is>
          <t>m_user.id</t>
        </is>
      </c>
      <c r="I357" s="9" t="inlineStr">
        <is>
          <t>Y</t>
        </is>
      </c>
      <c r="J357" s="16" t="inlineStr"/>
      <c r="K357" s="16" t="inlineStr"/>
    </row>
    <row r="358">
      <c r="A358" s="22" t="inlineStr">
        <is>
          <t>t_attachment</t>
        </is>
      </c>
      <c r="B358" s="23" t="inlineStr">
        <is>
          <t>【添付ファイル】COA・輸入書類等</t>
        </is>
      </c>
      <c r="C358" s="24" t="n"/>
      <c r="D358" s="24" t="n"/>
      <c r="E358" s="24" t="n"/>
      <c r="F358" s="24" t="n"/>
      <c r="G358" s="24" t="n"/>
      <c r="H358" s="24" t="n"/>
      <c r="I358" s="24" t="n"/>
      <c r="J358" s="24" t="n"/>
      <c r="K358" s="25" t="n"/>
    </row>
    <row r="359">
      <c r="A359" s="16" t="inlineStr">
        <is>
          <t>t_attachment</t>
        </is>
      </c>
      <c r="B359" s="9" t="n">
        <v>1</v>
      </c>
      <c r="C359" s="16" t="inlineStr">
        <is>
          <t>id</t>
        </is>
      </c>
      <c r="D359" s="16" t="inlineStr">
        <is>
          <t>添付ID</t>
        </is>
      </c>
      <c r="E359" s="9" t="inlineStr">
        <is>
          <t>BIGINT</t>
        </is>
      </c>
      <c r="F359" s="9" t="inlineStr"/>
      <c r="G359" s="9" t="inlineStr">
        <is>
          <t>Y</t>
        </is>
      </c>
      <c r="H359" s="16" t="inlineStr"/>
      <c r="I359" s="9" t="inlineStr">
        <is>
          <t>Y</t>
        </is>
      </c>
      <c r="J359" s="16" t="inlineStr">
        <is>
          <t>自動採番</t>
        </is>
      </c>
      <c r="K359" s="16" t="inlineStr"/>
    </row>
    <row r="360">
      <c r="A360" s="16" t="inlineStr">
        <is>
          <t>t_attachment</t>
        </is>
      </c>
      <c r="B360" s="9" t="n">
        <v>2</v>
      </c>
      <c r="C360" s="16" t="inlineStr">
        <is>
          <t>owner_type</t>
        </is>
      </c>
      <c r="D360" s="16" t="inlineStr">
        <is>
          <t>所属種別</t>
        </is>
      </c>
      <c r="E360" s="9" t="inlineStr">
        <is>
          <t>VARCHAR</t>
        </is>
      </c>
      <c r="F360" s="9" t="inlineStr">
        <is>
          <t>30</t>
        </is>
      </c>
      <c r="G360" s="9" t="inlineStr"/>
      <c r="H360" s="16" t="inlineStr"/>
      <c r="I360" s="9" t="inlineStr">
        <is>
          <t>Y</t>
        </is>
      </c>
      <c r="J360" s="16" t="inlineStr"/>
      <c r="K360" s="16" t="inlineStr">
        <is>
          <t>lot/receipt/recall/supplier</t>
        </is>
      </c>
    </row>
    <row r="361">
      <c r="A361" s="16" t="inlineStr">
        <is>
          <t>t_attachment</t>
        </is>
      </c>
      <c r="B361" s="9" t="n">
        <v>3</v>
      </c>
      <c r="C361" s="16" t="inlineStr">
        <is>
          <t>owner_id</t>
        </is>
      </c>
      <c r="D361" s="16" t="inlineStr">
        <is>
          <t>所属ID</t>
        </is>
      </c>
      <c r="E361" s="9" t="inlineStr">
        <is>
          <t>BIGINT</t>
        </is>
      </c>
      <c r="F361" s="9" t="inlineStr"/>
      <c r="G361" s="9" t="inlineStr"/>
      <c r="H361" s="16" t="inlineStr"/>
      <c r="I361" s="9" t="inlineStr">
        <is>
          <t>Y</t>
        </is>
      </c>
      <c r="J361" s="16" t="inlineStr"/>
      <c r="K361" s="16" t="inlineStr"/>
    </row>
    <row r="362">
      <c r="A362" s="16" t="inlineStr">
        <is>
          <t>t_attachment</t>
        </is>
      </c>
      <c r="B362" s="9" t="n">
        <v>4</v>
      </c>
      <c r="C362" s="16" t="inlineStr">
        <is>
          <t>doc_type</t>
        </is>
      </c>
      <c r="D362" s="16" t="inlineStr">
        <is>
          <t>書類種別</t>
        </is>
      </c>
      <c r="E362" s="9" t="inlineStr">
        <is>
          <t>VARCHAR</t>
        </is>
      </c>
      <c r="F362" s="9" t="inlineStr">
        <is>
          <t>20</t>
        </is>
      </c>
      <c r="G362" s="9" t="inlineStr"/>
      <c r="H362" s="16" t="inlineStr"/>
      <c r="I362" s="9" t="inlineStr">
        <is>
          <t>Y</t>
        </is>
      </c>
      <c r="J362" s="16" t="inlineStr"/>
      <c r="K362" s="16" t="inlineStr">
        <is>
          <t>COA/輸入書類/契約書/その他</t>
        </is>
      </c>
    </row>
    <row r="363">
      <c r="A363" s="16" t="inlineStr">
        <is>
          <t>t_attachment</t>
        </is>
      </c>
      <c r="B363" s="9" t="n">
        <v>5</v>
      </c>
      <c r="C363" s="16" t="inlineStr">
        <is>
          <t>file_name</t>
        </is>
      </c>
      <c r="D363" s="16" t="inlineStr">
        <is>
          <t>ファイル名</t>
        </is>
      </c>
      <c r="E363" s="9" t="inlineStr">
        <is>
          <t>VARCHAR</t>
        </is>
      </c>
      <c r="F363" s="9" t="inlineStr">
        <is>
          <t>255</t>
        </is>
      </c>
      <c r="G363" s="9" t="inlineStr"/>
      <c r="H363" s="16" t="inlineStr"/>
      <c r="I363" s="9" t="inlineStr">
        <is>
          <t>Y</t>
        </is>
      </c>
      <c r="J363" s="16" t="inlineStr"/>
      <c r="K363" s="16" t="inlineStr"/>
    </row>
    <row r="364">
      <c r="A364" s="16" t="inlineStr">
        <is>
          <t>t_attachment</t>
        </is>
      </c>
      <c r="B364" s="9" t="n">
        <v>6</v>
      </c>
      <c r="C364" s="16" t="inlineStr">
        <is>
          <t>storage_key</t>
        </is>
      </c>
      <c r="D364" s="16" t="inlineStr">
        <is>
          <t>保存先キー</t>
        </is>
      </c>
      <c r="E364" s="9" t="inlineStr">
        <is>
          <t>VARCHAR</t>
        </is>
      </c>
      <c r="F364" s="9" t="inlineStr">
        <is>
          <t>500</t>
        </is>
      </c>
      <c r="G364" s="9" t="inlineStr"/>
      <c r="H364" s="16" t="inlineStr"/>
      <c r="I364" s="9" t="inlineStr">
        <is>
          <t>Y</t>
        </is>
      </c>
      <c r="J364" s="16" t="inlineStr"/>
      <c r="K364" s="16" t="inlineStr">
        <is>
          <t>オブジェクトストレージのキー</t>
        </is>
      </c>
    </row>
    <row r="365">
      <c r="A365" s="16" t="inlineStr">
        <is>
          <t>t_attachment</t>
        </is>
      </c>
      <c r="B365" s="9" t="n">
        <v>7</v>
      </c>
      <c r="C365" s="16" t="inlineStr">
        <is>
          <t>sha256</t>
        </is>
      </c>
      <c r="D365" s="16" t="inlineStr">
        <is>
          <t>ハッシュ値</t>
        </is>
      </c>
      <c r="E365" s="9" t="inlineStr">
        <is>
          <t>CHAR</t>
        </is>
      </c>
      <c r="F365" s="9" t="inlineStr">
        <is>
          <t>64</t>
        </is>
      </c>
      <c r="G365" s="9" t="inlineStr"/>
      <c r="H365" s="16" t="inlineStr"/>
      <c r="I365" s="9" t="inlineStr">
        <is>
          <t>Y</t>
        </is>
      </c>
      <c r="J365" s="16" t="inlineStr"/>
      <c r="K365" s="16" t="inlineStr">
        <is>
          <t>改ざん検知</t>
        </is>
      </c>
    </row>
    <row r="366">
      <c r="A366" s="16" t="inlineStr">
        <is>
          <t>t_attachment</t>
        </is>
      </c>
      <c r="B366" s="9" t="n">
        <v>8</v>
      </c>
      <c r="C366" s="16" t="inlineStr">
        <is>
          <t>created_at</t>
        </is>
      </c>
      <c r="D366" s="16" t="inlineStr">
        <is>
          <t>作成日時</t>
        </is>
      </c>
      <c r="E366" s="9" t="inlineStr">
        <is>
          <t>TIMESTAMPTZ</t>
        </is>
      </c>
      <c r="F366" s="9" t="inlineStr"/>
      <c r="G366" s="9" t="inlineStr"/>
      <c r="H366" s="16" t="inlineStr"/>
      <c r="I366" s="9" t="inlineStr">
        <is>
          <t>Y</t>
        </is>
      </c>
      <c r="J366" s="16" t="inlineStr">
        <is>
          <t>現在日時</t>
        </is>
      </c>
      <c r="K366" s="16" t="inlineStr"/>
    </row>
    <row r="367">
      <c r="A367" s="16" t="inlineStr">
        <is>
          <t>t_attachment</t>
        </is>
      </c>
      <c r="B367" s="9" t="n">
        <v>9</v>
      </c>
      <c r="C367" s="16" t="inlineStr">
        <is>
          <t>created_by</t>
        </is>
      </c>
      <c r="D367" s="16" t="inlineStr">
        <is>
          <t>作成者</t>
        </is>
      </c>
      <c r="E367" s="9" t="inlineStr">
        <is>
          <t>BIGINT</t>
        </is>
      </c>
      <c r="F367" s="9" t="inlineStr"/>
      <c r="G367" s="9" t="inlineStr"/>
      <c r="H367" s="16" t="inlineStr">
        <is>
          <t>m_user.id</t>
        </is>
      </c>
      <c r="I367" s="9" t="inlineStr">
        <is>
          <t>Y</t>
        </is>
      </c>
      <c r="J367" s="16" t="inlineStr"/>
      <c r="K367" s="16" t="inlineStr"/>
    </row>
    <row r="368">
      <c r="A368" s="16" t="inlineStr">
        <is>
          <t>t_attachment</t>
        </is>
      </c>
      <c r="B368" s="9" t="n">
        <v>10</v>
      </c>
      <c r="C368" s="16" t="inlineStr">
        <is>
          <t>updated_at</t>
        </is>
      </c>
      <c r="D368" s="16" t="inlineStr">
        <is>
          <t>更新日時</t>
        </is>
      </c>
      <c r="E368" s="9" t="inlineStr">
        <is>
          <t>TIMESTAMPTZ</t>
        </is>
      </c>
      <c r="F368" s="9" t="inlineStr"/>
      <c r="G368" s="9" t="inlineStr"/>
      <c r="H368" s="16" t="inlineStr"/>
      <c r="I368" s="9" t="inlineStr">
        <is>
          <t>Y</t>
        </is>
      </c>
      <c r="J368" s="16" t="inlineStr">
        <is>
          <t>現在日時</t>
        </is>
      </c>
      <c r="K368" s="16" t="inlineStr"/>
    </row>
    <row r="369">
      <c r="A369" s="16" t="inlineStr">
        <is>
          <t>t_attachment</t>
        </is>
      </c>
      <c r="B369" s="9" t="n">
        <v>11</v>
      </c>
      <c r="C369" s="16" t="inlineStr">
        <is>
          <t>updated_by</t>
        </is>
      </c>
      <c r="D369" s="16" t="inlineStr">
        <is>
          <t>更新者</t>
        </is>
      </c>
      <c r="E369" s="9" t="inlineStr">
        <is>
          <t>BIGINT</t>
        </is>
      </c>
      <c r="F369" s="9" t="inlineStr"/>
      <c r="G369" s="9" t="inlineStr"/>
      <c r="H369" s="16" t="inlineStr">
        <is>
          <t>m_user.id</t>
        </is>
      </c>
      <c r="I369" s="9" t="inlineStr">
        <is>
          <t>Y</t>
        </is>
      </c>
      <c r="J369" s="16" t="inlineStr"/>
      <c r="K369" s="16" t="inlineStr"/>
    </row>
    <row r="370">
      <c r="A370" s="16" t="inlineStr">
        <is>
          <t>t_attachment</t>
        </is>
      </c>
      <c r="B370" s="9" t="n">
        <v>12</v>
      </c>
      <c r="C370" s="16" t="inlineStr">
        <is>
          <t>version</t>
        </is>
      </c>
      <c r="D370" s="16" t="inlineStr">
        <is>
          <t>版数</t>
        </is>
      </c>
      <c r="E370" s="9" t="inlineStr">
        <is>
          <t>INTEGER</t>
        </is>
      </c>
      <c r="F370" s="9" t="inlineStr"/>
      <c r="G370" s="9" t="inlineStr"/>
      <c r="H370" s="16" t="inlineStr"/>
      <c r="I370" s="9" t="inlineStr">
        <is>
          <t>Y</t>
        </is>
      </c>
      <c r="J370" s="16" t="inlineStr">
        <is>
          <t>1</t>
        </is>
      </c>
      <c r="K370" s="16" t="inlineStr">
        <is>
          <t>楽観ロック用</t>
        </is>
      </c>
    </row>
    <row r="371">
      <c r="A371" s="22" t="inlineStr">
        <is>
          <t>t_audit_log</t>
        </is>
      </c>
      <c r="B371" s="23" t="inlineStr">
        <is>
          <t>【監査ログ】操作履歴（追記のみ）</t>
        </is>
      </c>
      <c r="C371" s="24" t="n"/>
      <c r="D371" s="24" t="n"/>
      <c r="E371" s="24" t="n"/>
      <c r="F371" s="24" t="n"/>
      <c r="G371" s="24" t="n"/>
      <c r="H371" s="24" t="n"/>
      <c r="I371" s="24" t="n"/>
      <c r="J371" s="24" t="n"/>
      <c r="K371" s="25" t="n"/>
    </row>
    <row r="372">
      <c r="A372" s="16" t="inlineStr">
        <is>
          <t>t_audit_log</t>
        </is>
      </c>
      <c r="B372" s="9" t="n">
        <v>1</v>
      </c>
      <c r="C372" s="16" t="inlineStr">
        <is>
          <t>id</t>
        </is>
      </c>
      <c r="D372" s="16" t="inlineStr">
        <is>
          <t>ID</t>
        </is>
      </c>
      <c r="E372" s="9" t="inlineStr">
        <is>
          <t>BIGINT</t>
        </is>
      </c>
      <c r="F372" s="9" t="inlineStr"/>
      <c r="G372" s="9" t="inlineStr">
        <is>
          <t>Y</t>
        </is>
      </c>
      <c r="H372" s="16" t="inlineStr"/>
      <c r="I372" s="9" t="inlineStr">
        <is>
          <t>Y</t>
        </is>
      </c>
      <c r="J372" s="16" t="inlineStr">
        <is>
          <t>自動採番</t>
        </is>
      </c>
      <c r="K372" s="16" t="inlineStr"/>
    </row>
    <row r="373">
      <c r="A373" s="16" t="inlineStr">
        <is>
          <t>t_audit_log</t>
        </is>
      </c>
      <c r="B373" s="9" t="n">
        <v>2</v>
      </c>
      <c r="C373" s="16" t="inlineStr">
        <is>
          <t>occurred_at</t>
        </is>
      </c>
      <c r="D373" s="16" t="inlineStr">
        <is>
          <t>発生日時</t>
        </is>
      </c>
      <c r="E373" s="9" t="inlineStr">
        <is>
          <t>TIMESTAMPTZ</t>
        </is>
      </c>
      <c r="F373" s="9" t="inlineStr"/>
      <c r="G373" s="9" t="inlineStr"/>
      <c r="H373" s="16" t="inlineStr"/>
      <c r="I373" s="9" t="inlineStr">
        <is>
          <t>Y</t>
        </is>
      </c>
      <c r="J373" s="16" t="inlineStr"/>
      <c r="K373" s="16" t="inlineStr"/>
    </row>
    <row r="374">
      <c r="A374" s="16" t="inlineStr">
        <is>
          <t>t_audit_log</t>
        </is>
      </c>
      <c r="B374" s="9" t="n">
        <v>3</v>
      </c>
      <c r="C374" s="16" t="inlineStr">
        <is>
          <t>user_id</t>
        </is>
      </c>
      <c r="D374" s="16" t="inlineStr">
        <is>
          <t>ユーザーID</t>
        </is>
      </c>
      <c r="E374" s="9" t="inlineStr">
        <is>
          <t>BIGINT</t>
        </is>
      </c>
      <c r="F374" s="9" t="inlineStr"/>
      <c r="G374" s="9" t="inlineStr"/>
      <c r="H374" s="16" t="inlineStr">
        <is>
          <t>m_user.id</t>
        </is>
      </c>
      <c r="I374" s="9" t="inlineStr"/>
      <c r="J374" s="16" t="inlineStr"/>
      <c r="K374" s="16" t="inlineStr">
        <is>
          <t>ログイン失敗時はNULL</t>
        </is>
      </c>
    </row>
    <row r="375">
      <c r="A375" s="16" t="inlineStr">
        <is>
          <t>t_audit_log</t>
        </is>
      </c>
      <c r="B375" s="9" t="n">
        <v>4</v>
      </c>
      <c r="C375" s="16" t="inlineStr">
        <is>
          <t>action</t>
        </is>
      </c>
      <c r="D375" s="16" t="inlineStr">
        <is>
          <t>操作</t>
        </is>
      </c>
      <c r="E375" s="9" t="inlineStr">
        <is>
          <t>VARCHAR</t>
        </is>
      </c>
      <c r="F375" s="9" t="inlineStr">
        <is>
          <t>20</t>
        </is>
      </c>
      <c r="G375" s="9" t="inlineStr"/>
      <c r="H375" s="16" t="inlineStr"/>
      <c r="I375" s="9" t="inlineStr">
        <is>
          <t>Y</t>
        </is>
      </c>
      <c r="J375" s="16" t="inlineStr"/>
      <c r="K375" s="16" t="inlineStr">
        <is>
          <t>LOGIN/CREATE/UPDATE/CANCEL/STATUS/EXPORT</t>
        </is>
      </c>
    </row>
    <row r="376">
      <c r="A376" s="16" t="inlineStr">
        <is>
          <t>t_audit_log</t>
        </is>
      </c>
      <c r="B376" s="9" t="n">
        <v>5</v>
      </c>
      <c r="C376" s="16" t="inlineStr">
        <is>
          <t>target_table</t>
        </is>
      </c>
      <c r="D376" s="16" t="inlineStr">
        <is>
          <t>対象テーブル</t>
        </is>
      </c>
      <c r="E376" s="9" t="inlineStr">
        <is>
          <t>VARCHAR</t>
        </is>
      </c>
      <c r="F376" s="9" t="inlineStr">
        <is>
          <t>50</t>
        </is>
      </c>
      <c r="G376" s="9" t="inlineStr"/>
      <c r="H376" s="16" t="inlineStr"/>
      <c r="I376" s="9" t="inlineStr"/>
      <c r="J376" s="16" t="inlineStr"/>
      <c r="K376" s="16" t="inlineStr"/>
    </row>
    <row r="377">
      <c r="A377" s="16" t="inlineStr">
        <is>
          <t>t_audit_log</t>
        </is>
      </c>
      <c r="B377" s="9" t="n">
        <v>6</v>
      </c>
      <c r="C377" s="16" t="inlineStr">
        <is>
          <t>target_id</t>
        </is>
      </c>
      <c r="D377" s="16" t="inlineStr">
        <is>
          <t>対象ID</t>
        </is>
      </c>
      <c r="E377" s="9" t="inlineStr">
        <is>
          <t>BIGINT</t>
        </is>
      </c>
      <c r="F377" s="9" t="inlineStr"/>
      <c r="G377" s="9" t="inlineStr"/>
      <c r="H377" s="16" t="inlineStr"/>
      <c r="I377" s="9" t="inlineStr"/>
      <c r="J377" s="16" t="inlineStr"/>
      <c r="K377" s="16" t="inlineStr"/>
    </row>
    <row r="378">
      <c r="A378" s="16" t="inlineStr">
        <is>
          <t>t_audit_log</t>
        </is>
      </c>
      <c r="B378" s="9" t="n">
        <v>7</v>
      </c>
      <c r="C378" s="16" t="inlineStr">
        <is>
          <t>before_json</t>
        </is>
      </c>
      <c r="D378" s="16" t="inlineStr">
        <is>
          <t>変更前</t>
        </is>
      </c>
      <c r="E378" s="9" t="inlineStr">
        <is>
          <t>JSONB</t>
        </is>
      </c>
      <c r="F378" s="9" t="inlineStr"/>
      <c r="G378" s="9" t="inlineStr"/>
      <c r="H378" s="16" t="inlineStr"/>
      <c r="I378" s="9" t="inlineStr"/>
      <c r="J378" s="16" t="inlineStr"/>
      <c r="K378" s="16" t="inlineStr"/>
    </row>
    <row r="379">
      <c r="A379" s="16" t="inlineStr">
        <is>
          <t>t_audit_log</t>
        </is>
      </c>
      <c r="B379" s="9" t="n">
        <v>8</v>
      </c>
      <c r="C379" s="16" t="inlineStr">
        <is>
          <t>after_json</t>
        </is>
      </c>
      <c r="D379" s="16" t="inlineStr">
        <is>
          <t>変更後</t>
        </is>
      </c>
      <c r="E379" s="9" t="inlineStr">
        <is>
          <t>JSONB</t>
        </is>
      </c>
      <c r="F379" s="9" t="inlineStr"/>
      <c r="G379" s="9" t="inlineStr"/>
      <c r="H379" s="16" t="inlineStr"/>
      <c r="I379" s="9" t="inlineStr"/>
      <c r="J379" s="16" t="inlineStr"/>
      <c r="K379" s="16" t="inlineStr"/>
    </row>
    <row r="380">
      <c r="A380" s="16" t="inlineStr">
        <is>
          <t>t_audit_log</t>
        </is>
      </c>
      <c r="B380" s="9" t="n">
        <v>9</v>
      </c>
      <c r="C380" s="16" t="inlineStr">
        <is>
          <t>ip_address</t>
        </is>
      </c>
      <c r="D380" s="16" t="inlineStr">
        <is>
          <t>IPアドレス</t>
        </is>
      </c>
      <c r="E380" s="9" t="inlineStr">
        <is>
          <t>VARCHAR</t>
        </is>
      </c>
      <c r="F380" s="9" t="inlineStr">
        <is>
          <t>45</t>
        </is>
      </c>
      <c r="G380" s="9" t="inlineStr"/>
      <c r="H380" s="16" t="inlineStr"/>
      <c r="I380" s="9" t="inlineStr"/>
      <c r="J380" s="16" t="inlineStr"/>
      <c r="K380" s="16" t="inlineStr"/>
    </row>
    <row r="381">
      <c r="A381" s="16" t="inlineStr">
        <is>
          <t>t_audit_log</t>
        </is>
      </c>
      <c r="B381" s="9" t="n">
        <v>10</v>
      </c>
      <c r="C381" s="16" t="inlineStr">
        <is>
          <t>created_at</t>
        </is>
      </c>
      <c r="D381" s="16" t="inlineStr">
        <is>
          <t>作成日時</t>
        </is>
      </c>
      <c r="E381" s="9" t="inlineStr">
        <is>
          <t>TIMESTAMPTZ</t>
        </is>
      </c>
      <c r="F381" s="9" t="inlineStr"/>
      <c r="G381" s="9" t="inlineStr"/>
      <c r="H381" s="16" t="inlineStr"/>
      <c r="I381" s="9" t="inlineStr">
        <is>
          <t>Y</t>
        </is>
      </c>
      <c r="J381" s="16" t="inlineStr">
        <is>
          <t>現在日時</t>
        </is>
      </c>
      <c r="K381" s="16" t="inlineStr"/>
    </row>
    <row r="382">
      <c r="A382" s="16" t="inlineStr">
        <is>
          <t>t_audit_log</t>
        </is>
      </c>
      <c r="B382" s="9" t="n">
        <v>11</v>
      </c>
      <c r="C382" s="16" t="inlineStr">
        <is>
          <t>created_by</t>
        </is>
      </c>
      <c r="D382" s="16" t="inlineStr">
        <is>
          <t>作成者</t>
        </is>
      </c>
      <c r="E382" s="9" t="inlineStr">
        <is>
          <t>BIGINT</t>
        </is>
      </c>
      <c r="F382" s="9" t="inlineStr"/>
      <c r="G382" s="9" t="inlineStr"/>
      <c r="H382" s="16" t="inlineStr">
        <is>
          <t>m_user.id</t>
        </is>
      </c>
      <c r="I382" s="9" t="inlineStr">
        <is>
          <t>Y</t>
        </is>
      </c>
      <c r="J382" s="16" t="inlineStr"/>
      <c r="K382" s="16" t="inlineStr"/>
    </row>
  </sheetData>
  <autoFilter ref="A3:K382"/>
  <mergeCells count="26">
    <mergeCell ref="B230:K230"/>
    <mergeCell ref="B260:K260"/>
    <mergeCell ref="B92:K92"/>
    <mergeCell ref="B275:K275"/>
    <mergeCell ref="B20:K20"/>
    <mergeCell ref="B331:K331"/>
    <mergeCell ref="B207:K207"/>
    <mergeCell ref="B4:K4"/>
    <mergeCell ref="B349:K349"/>
    <mergeCell ref="B144:K144"/>
    <mergeCell ref="B218:K218"/>
    <mergeCell ref="B62:K62"/>
    <mergeCell ref="B102:K102"/>
    <mergeCell ref="B291:K291"/>
    <mergeCell ref="B131:K131"/>
    <mergeCell ref="B247:K247"/>
    <mergeCell ref="B43:K43"/>
    <mergeCell ref="B176:K176"/>
    <mergeCell ref="B322:K322"/>
    <mergeCell ref="B358:K358"/>
    <mergeCell ref="B157:K157"/>
    <mergeCell ref="B116:K116"/>
    <mergeCell ref="B371:K371"/>
    <mergeCell ref="B196:K196"/>
    <mergeCell ref="B78:K78"/>
    <mergeCell ref="B308:K308"/>
  </mergeCells>
  <hyperlinks>
    <hyperlink xmlns:r="http://schemas.openxmlformats.org/officeDocument/2006/relationships" ref="K1" r:id="rId1"/>
  </hyperlinks>
  <printOptions gridLines="0"/>
  <pageMargins left="0.75" right="0.75" top="1" bottom="1" header="0.5" footer="0.5"/>
  <pageSetup orientation="landscape" fitToHeight="0" fitToWidth="1"/>
</worksheet>
</file>

<file path=xl/worksheets/sheet15.xml><?xml version="1.0" encoding="utf-8"?>
<worksheet xmlns="http://schemas.openxmlformats.org/spreadsheetml/2006/main">
  <sheetPr>
    <outlinePr summaryBelow="1" summaryRight="1"/>
    <pageSetUpPr fitToPage="1"/>
  </sheetPr>
  <dimension ref="A1:E42"/>
  <sheetViews>
    <sheetView zoomScale="90" workbookViewId="0">
      <pane ySplit="3" topLeftCell="A4" activePane="bottomLeft" state="frozen"/>
      <selection pane="bottomLeft" activeCell="A1" sqref="A1"/>
    </sheetView>
  </sheetViews>
  <sheetFormatPr baseColWidth="8" defaultRowHeight="15"/>
  <cols>
    <col width="22" customWidth="1" min="1" max="1"/>
    <col width="13" customWidth="1" min="2" max="2"/>
    <col width="28" customWidth="1" min="3" max="3"/>
    <col width="40" customWidth="1" min="4" max="4"/>
    <col width="60" customWidth="1" min="5" max="5"/>
  </cols>
  <sheetData>
    <row r="1">
      <c r="A1" s="5" t="inlineStr">
        <is>
          <t>インデックス・制約定義</t>
        </is>
      </c>
      <c r="E1" s="15" t="inlineStr">
        <is>
          <t>← 表紙へ</t>
        </is>
      </c>
    </row>
    <row r="2">
      <c r="A2" s="17" t="inlineStr">
        <is>
          <t>PK・FK制約は項目定義に従い全て作成する（FK列には別途インデックスを作成）</t>
        </is>
      </c>
    </row>
    <row r="3">
      <c r="A3" s="8" t="inlineStr">
        <is>
          <t>テーブル</t>
        </is>
      </c>
      <c r="B3" s="8" t="inlineStr">
        <is>
          <t>種別</t>
        </is>
      </c>
      <c r="C3" s="8" t="inlineStr">
        <is>
          <t>名前</t>
        </is>
      </c>
      <c r="D3" s="8" t="inlineStr">
        <is>
          <t>対象カラム</t>
        </is>
      </c>
      <c r="E3" s="8" t="inlineStr">
        <is>
          <t>目的</t>
        </is>
      </c>
    </row>
    <row r="4">
      <c r="A4" s="16" t="inlineStr">
        <is>
          <t>m_supplier</t>
        </is>
      </c>
      <c r="B4" s="9" t="inlineStr">
        <is>
          <t>UNIQUE</t>
        </is>
      </c>
      <c r="C4" s="16" t="inlineStr">
        <is>
          <t>uq_supplier_code</t>
        </is>
      </c>
      <c r="D4" s="16" t="inlineStr">
        <is>
          <t>supplier_code</t>
        </is>
      </c>
      <c r="E4" s="16" t="inlineStr">
        <is>
          <t>コード一意</t>
        </is>
      </c>
    </row>
    <row r="5">
      <c r="A5" s="16" t="inlineStr">
        <is>
          <t>m_product</t>
        </is>
      </c>
      <c r="B5" s="9" t="inlineStr">
        <is>
          <t>UNIQUE</t>
        </is>
      </c>
      <c r="C5" s="16" t="inlineStr">
        <is>
          <t>uq_product_code</t>
        </is>
      </c>
      <c r="D5" s="16" t="inlineStr">
        <is>
          <t>product_code</t>
        </is>
      </c>
      <c r="E5" s="16" t="inlineStr">
        <is>
          <t>コード一意</t>
        </is>
      </c>
    </row>
    <row r="6">
      <c r="A6" s="16" t="inlineStr">
        <is>
          <t>m_customer</t>
        </is>
      </c>
      <c r="B6" s="9" t="inlineStr">
        <is>
          <t>UNIQUE</t>
        </is>
      </c>
      <c r="C6" s="16" t="inlineStr">
        <is>
          <t>uq_customer_code</t>
        </is>
      </c>
      <c r="D6" s="16" t="inlineStr">
        <is>
          <t>customer_code</t>
        </is>
      </c>
      <c r="E6" s="16" t="inlineStr">
        <is>
          <t>コード一意</t>
        </is>
      </c>
    </row>
    <row r="7">
      <c r="A7" s="16" t="inlineStr">
        <is>
          <t>m_customer</t>
        </is>
      </c>
      <c r="B7" s="9" t="inlineStr">
        <is>
          <t>CHECK</t>
        </is>
      </c>
      <c r="C7" s="16" t="inlineStr">
        <is>
          <t>ck_customer_medical_code</t>
        </is>
      </c>
      <c r="D7" s="16" t="inlineStr">
        <is>
          <t>customer_type, medical_inst_code</t>
        </is>
      </c>
      <c r="E7" s="16" t="inlineStr">
        <is>
          <t>BR-10：customer_type&lt;&gt;'MEDICAL' OR medical_inst_code IS NOT NULL</t>
        </is>
      </c>
    </row>
    <row r="8">
      <c r="A8" s="16" t="inlineStr">
        <is>
          <t>m_ship_to</t>
        </is>
      </c>
      <c r="B8" s="9" t="inlineStr">
        <is>
          <t>UNIQUE(部分)</t>
        </is>
      </c>
      <c r="C8" s="16" t="inlineStr">
        <is>
          <t>uq_ship_to_default</t>
        </is>
      </c>
      <c r="D8" s="16" t="inlineStr">
        <is>
          <t>customer_id WHERE is_default</t>
        </is>
      </c>
      <c r="E8" s="16" t="inlineStr">
        <is>
          <t>既定納品先は顧客ごとに1件</t>
        </is>
      </c>
    </row>
    <row r="9">
      <c r="A9" s="16" t="inlineStr">
        <is>
          <t>m_location</t>
        </is>
      </c>
      <c r="B9" s="9" t="inlineStr">
        <is>
          <t>UNIQUE</t>
        </is>
      </c>
      <c r="C9" s="16" t="inlineStr">
        <is>
          <t>uq_location_code</t>
        </is>
      </c>
      <c r="D9" s="16" t="inlineStr">
        <is>
          <t>location_code</t>
        </is>
      </c>
      <c r="E9" s="16" t="inlineStr">
        <is>
          <t>コード一意</t>
        </is>
      </c>
    </row>
    <row r="10">
      <c r="A10" s="16" t="inlineStr">
        <is>
          <t>m_location</t>
        </is>
      </c>
      <c r="B10" s="9" t="inlineStr">
        <is>
          <t>CHECK</t>
        </is>
      </c>
      <c r="C10" s="16" t="inlineStr">
        <is>
          <t>ck_location_temp</t>
        </is>
      </c>
      <c r="D10" s="16" t="inlineStr">
        <is>
          <t>temp_min, temp_max</t>
        </is>
      </c>
      <c r="E10" s="16" t="inlineStr">
        <is>
          <t>temp_min &lt; temp_max</t>
        </is>
      </c>
    </row>
    <row r="11">
      <c r="A11" s="16" t="inlineStr">
        <is>
          <t>m_sales_rule</t>
        </is>
      </c>
      <c r="B11" s="9" t="inlineStr">
        <is>
          <t>UNIQUE</t>
        </is>
      </c>
      <c r="C11" s="16" t="inlineStr">
        <is>
          <t>uq_sales_rule</t>
        </is>
      </c>
      <c r="D11" s="16" t="inlineStr">
        <is>
          <t>regulatory_class, customer_type</t>
        </is>
      </c>
      <c r="E11" s="16" t="inlineStr">
        <is>
          <t>組合せ一意</t>
        </is>
      </c>
    </row>
    <row r="12">
      <c r="A12" s="16" t="inlineStr">
        <is>
          <t>m_user</t>
        </is>
      </c>
      <c r="B12" s="9" t="inlineStr">
        <is>
          <t>UNIQUE</t>
        </is>
      </c>
      <c r="C12" s="16" t="inlineStr">
        <is>
          <t>uq_user_email</t>
        </is>
      </c>
      <c r="D12" s="16" t="inlineStr">
        <is>
          <t>email</t>
        </is>
      </c>
      <c r="E12" s="16" t="inlineStr">
        <is>
          <t>ログインID一意</t>
        </is>
      </c>
    </row>
    <row r="13">
      <c r="A13" s="16" t="inlineStr">
        <is>
          <t>t_purchase_order</t>
        </is>
      </c>
      <c r="B13" s="9" t="inlineStr">
        <is>
          <t>UNIQUE</t>
        </is>
      </c>
      <c r="C13" s="16" t="inlineStr">
        <is>
          <t>uq_po_no</t>
        </is>
      </c>
      <c r="D13" s="16" t="inlineStr">
        <is>
          <t>po_no</t>
        </is>
      </c>
      <c r="E13" s="16" t="inlineStr">
        <is>
          <t>番号一意</t>
        </is>
      </c>
    </row>
    <row r="14">
      <c r="A14" s="16" t="inlineStr">
        <is>
          <t>t_purchase_order_line</t>
        </is>
      </c>
      <c r="B14" s="9" t="inlineStr">
        <is>
          <t>UNIQUE</t>
        </is>
      </c>
      <c r="C14" s="16" t="inlineStr">
        <is>
          <t>uq_po_line</t>
        </is>
      </c>
      <c r="D14" s="16" t="inlineStr">
        <is>
          <t>purchase_order_id, line_no</t>
        </is>
      </c>
      <c r="E14" s="16" t="inlineStr">
        <is>
          <t>行番号一意</t>
        </is>
      </c>
    </row>
    <row r="15">
      <c r="A15" s="16" t="inlineStr">
        <is>
          <t>t_receipt</t>
        </is>
      </c>
      <c r="B15" s="9" t="inlineStr">
        <is>
          <t>UNIQUE</t>
        </is>
      </c>
      <c r="C15" s="16" t="inlineStr">
        <is>
          <t>uq_receipt_no</t>
        </is>
      </c>
      <c r="D15" s="16" t="inlineStr">
        <is>
          <t>receipt_no</t>
        </is>
      </c>
      <c r="E15" s="16" t="inlineStr">
        <is>
          <t>番号一意</t>
        </is>
      </c>
    </row>
    <row r="16">
      <c r="A16" s="16" t="inlineStr">
        <is>
          <t>t_lot</t>
        </is>
      </c>
      <c r="B16" s="9" t="inlineStr">
        <is>
          <t>UNIQUE</t>
        </is>
      </c>
      <c r="C16" s="16" t="inlineStr">
        <is>
          <t>uq_lot_no</t>
        </is>
      </c>
      <c r="D16" s="16" t="inlineStr">
        <is>
          <t>lot_no</t>
        </is>
      </c>
      <c r="E16" s="16" t="inlineStr">
        <is>
          <t>社内ロット番号一意</t>
        </is>
      </c>
    </row>
    <row r="17">
      <c r="A17" s="16" t="inlineStr">
        <is>
          <t>t_lot</t>
        </is>
      </c>
      <c r="B17" s="9" t="inlineStr">
        <is>
          <t>UNIQUE</t>
        </is>
      </c>
      <c r="C17" s="16" t="inlineStr">
        <is>
          <t>uq_lot_supplier_lot</t>
        </is>
      </c>
      <c r="D17" s="16" t="inlineStr">
        <is>
          <t>supplier_id, product_id, supplier_lot_no</t>
        </is>
      </c>
      <c r="E17" s="16" t="inlineStr">
        <is>
          <t>BR-15 重複入荷防止</t>
        </is>
      </c>
    </row>
    <row r="18">
      <c r="A18" s="16" t="inlineStr">
        <is>
          <t>t_lot</t>
        </is>
      </c>
      <c r="B18" s="9" t="inlineStr">
        <is>
          <t>INDEX</t>
        </is>
      </c>
      <c r="C18" s="16" t="inlineStr">
        <is>
          <t>ix_lot_product_status_exp</t>
        </is>
      </c>
      <c r="D18" s="16" t="inlineStr">
        <is>
          <t>product_id, status, expires_on, received_on</t>
        </is>
      </c>
      <c r="E18" s="16" t="inlineStr">
        <is>
          <t>FEFO引当候補抽出（P-04）</t>
        </is>
      </c>
    </row>
    <row r="19">
      <c r="A19" s="16" t="inlineStr">
        <is>
          <t>t_lot_status_history</t>
        </is>
      </c>
      <c r="B19" s="9" t="inlineStr">
        <is>
          <t>INDEX</t>
        </is>
      </c>
      <c r="C19" s="16" t="inlineStr">
        <is>
          <t>ix_lot_status_history</t>
        </is>
      </c>
      <c r="D19" s="16" t="inlineStr">
        <is>
          <t>lot_id, changed_at</t>
        </is>
      </c>
      <c r="E19" s="16" t="inlineStr">
        <is>
          <t>ロット詳細のステータス履歴</t>
        </is>
      </c>
    </row>
    <row r="20">
      <c r="A20" s="16" t="inlineStr">
        <is>
          <t>t_receipt_line</t>
        </is>
      </c>
      <c r="B20" s="9" t="inlineStr">
        <is>
          <t>CHECK</t>
        </is>
      </c>
      <c r="C20" s="16" t="inlineStr">
        <is>
          <t>ck_receipt_line_qty</t>
        </is>
      </c>
      <c r="D20" s="16" t="inlineStr">
        <is>
          <t>quantity</t>
        </is>
      </c>
      <c r="E20" s="16" t="inlineStr">
        <is>
          <t>quantity &gt; 0</t>
        </is>
      </c>
    </row>
    <row r="21">
      <c r="A21" s="16" t="inlineStr">
        <is>
          <t>t_inventory</t>
        </is>
      </c>
      <c r="B21" s="9" t="inlineStr">
        <is>
          <t>UNIQUE</t>
        </is>
      </c>
      <c r="C21" s="16" t="inlineStr">
        <is>
          <t>uq_inventory_lot_loc</t>
        </is>
      </c>
      <c r="D21" s="16" t="inlineStr">
        <is>
          <t>lot_id, location_id</t>
        </is>
      </c>
      <c r="E21" s="16" t="inlineStr">
        <is>
          <t>ロット×保管場所一意</t>
        </is>
      </c>
    </row>
    <row r="22">
      <c r="A22" s="16" t="inlineStr">
        <is>
          <t>t_inventory</t>
        </is>
      </c>
      <c r="B22" s="9" t="inlineStr">
        <is>
          <t>CHECK</t>
        </is>
      </c>
      <c r="C22" s="16" t="inlineStr">
        <is>
          <t>ck_inventory_qty</t>
        </is>
      </c>
      <c r="D22" s="16" t="inlineStr">
        <is>
          <t>on_hand_qty, allocated_qty</t>
        </is>
      </c>
      <c r="E22" s="16" t="inlineStr">
        <is>
          <t>on_hand_qty &gt;= 0 AND 0 &lt;= allocated_qty AND allocated_qty &lt;= on_hand_qty</t>
        </is>
      </c>
    </row>
    <row r="23">
      <c r="A23" s="16" t="inlineStr">
        <is>
          <t>t_stock_movement</t>
        </is>
      </c>
      <c r="B23" s="9" t="inlineStr">
        <is>
          <t>INDEX</t>
        </is>
      </c>
      <c r="C23" s="16" t="inlineStr">
        <is>
          <t>ix_movement_lot_loc</t>
        </is>
      </c>
      <c r="D23" s="16" t="inlineStr">
        <is>
          <t>lot_id, location_id, moved_at</t>
        </is>
      </c>
      <c r="E23" s="16" t="inlineStr">
        <is>
          <t>受払・整合性チェック・温度逸脱時点の在庫特定（P-09）</t>
        </is>
      </c>
    </row>
    <row r="24">
      <c r="A24" s="16" t="inlineStr">
        <is>
          <t>t_stock_movement</t>
        </is>
      </c>
      <c r="B24" s="9" t="inlineStr">
        <is>
          <t>INDEX</t>
        </is>
      </c>
      <c r="C24" s="16" t="inlineStr">
        <is>
          <t>ix_movement_ref</t>
        </is>
      </c>
      <c r="D24" s="16" t="inlineStr">
        <is>
          <t>ref_type, ref_id</t>
        </is>
      </c>
      <c r="E24" s="16" t="inlineStr">
        <is>
          <t>伝票からの逆引き</t>
        </is>
      </c>
    </row>
    <row r="25">
      <c r="A25" s="16" t="inlineStr">
        <is>
          <t>t_sales_order</t>
        </is>
      </c>
      <c r="B25" s="9" t="inlineStr">
        <is>
          <t>UNIQUE</t>
        </is>
      </c>
      <c r="C25" s="16" t="inlineStr">
        <is>
          <t>uq_so_no</t>
        </is>
      </c>
      <c r="D25" s="16" t="inlineStr">
        <is>
          <t>so_no</t>
        </is>
      </c>
      <c r="E25" s="16" t="inlineStr">
        <is>
          <t>番号一意</t>
        </is>
      </c>
    </row>
    <row r="26">
      <c r="A26" s="16" t="inlineStr">
        <is>
          <t>t_sales_order</t>
        </is>
      </c>
      <c r="B26" s="9" t="inlineStr">
        <is>
          <t>INDEX</t>
        </is>
      </c>
      <c r="C26" s="16" t="inlineStr">
        <is>
          <t>ix_so_customer_date</t>
        </is>
      </c>
      <c r="D26" s="16" t="inlineStr">
        <is>
          <t>customer_id, order_date</t>
        </is>
      </c>
      <c r="E26" s="16" t="inlineStr">
        <is>
          <t>顧客別受注検索</t>
        </is>
      </c>
    </row>
    <row r="27">
      <c r="A27" s="16" t="inlineStr">
        <is>
          <t>t_sales_order_line</t>
        </is>
      </c>
      <c r="B27" s="9" t="inlineStr">
        <is>
          <t>UNIQUE</t>
        </is>
      </c>
      <c r="C27" s="16" t="inlineStr">
        <is>
          <t>uq_so_line</t>
        </is>
      </c>
      <c r="D27" s="16" t="inlineStr">
        <is>
          <t>sales_order_id, line_no</t>
        </is>
      </c>
      <c r="E27" s="16" t="inlineStr">
        <is>
          <t>行番号一意</t>
        </is>
      </c>
    </row>
    <row r="28">
      <c r="A28" s="16" t="inlineStr">
        <is>
          <t>t_shipment</t>
        </is>
      </c>
      <c r="B28" s="9" t="inlineStr">
        <is>
          <t>UNIQUE</t>
        </is>
      </c>
      <c r="C28" s="16" t="inlineStr">
        <is>
          <t>uq_shipment_no</t>
        </is>
      </c>
      <c r="D28" s="16" t="inlineStr">
        <is>
          <t>shipment_no</t>
        </is>
      </c>
      <c r="E28" s="16" t="inlineStr">
        <is>
          <t>番号一意</t>
        </is>
      </c>
    </row>
    <row r="29">
      <c r="A29" s="16" t="inlineStr">
        <is>
          <t>t_shipment</t>
        </is>
      </c>
      <c r="B29" s="9" t="inlineStr">
        <is>
          <t>INDEX</t>
        </is>
      </c>
      <c r="C29" s="16" t="inlineStr">
        <is>
          <t>ix_shipment_customer_date</t>
        </is>
      </c>
      <c r="D29" s="16" t="inlineStr">
        <is>
          <t>customer_id, shipped_on</t>
        </is>
      </c>
      <c r="E29" s="16" t="inlineStr">
        <is>
          <t>後方追跡（SQL-02）</t>
        </is>
      </c>
    </row>
    <row r="30">
      <c r="A30" s="16" t="inlineStr">
        <is>
          <t>t_shipment_line</t>
        </is>
      </c>
      <c r="B30" s="9" t="inlineStr">
        <is>
          <t>INDEX</t>
        </is>
      </c>
      <c r="C30" s="16" t="inlineStr">
        <is>
          <t>ix_shipment_line_lot</t>
        </is>
      </c>
      <c r="D30" s="16" t="inlineStr">
        <is>
          <t>lot_id, status</t>
        </is>
      </c>
      <c r="E30" s="16" t="inlineStr">
        <is>
          <t>前方追跡・回収抽出・引当解除（SQL-01/03, P-11）</t>
        </is>
      </c>
    </row>
    <row r="31">
      <c r="A31" s="16" t="inlineStr">
        <is>
          <t>t_shipment_line</t>
        </is>
      </c>
      <c r="B31" s="9" t="inlineStr">
        <is>
          <t>INDEX</t>
        </is>
      </c>
      <c r="C31" s="16" t="inlineStr">
        <is>
          <t>ix_shipment_line_so_line</t>
        </is>
      </c>
      <c r="D31" s="16" t="inlineStr">
        <is>
          <t>sales_order_line_id, status</t>
        </is>
      </c>
      <c r="E31" s="16" t="inlineStr">
        <is>
          <t>引当中数量の算出（P-04）</t>
        </is>
      </c>
    </row>
    <row r="32">
      <c r="A32" s="16" t="inlineStr">
        <is>
          <t>t_shipment_line</t>
        </is>
      </c>
      <c r="B32" s="9" t="inlineStr">
        <is>
          <t>CHECK</t>
        </is>
      </c>
      <c r="C32" s="16" t="inlineStr">
        <is>
          <t>ck_shipment_line_qty</t>
        </is>
      </c>
      <c r="D32" s="16" t="inlineStr">
        <is>
          <t>quantity</t>
        </is>
      </c>
      <c r="E32" s="16" t="inlineStr">
        <is>
          <t>quantity &gt; 0</t>
        </is>
      </c>
    </row>
    <row r="33">
      <c r="A33" s="16" t="inlineStr">
        <is>
          <t>t_return</t>
        </is>
      </c>
      <c r="B33" s="9" t="inlineStr">
        <is>
          <t>UNIQUE</t>
        </is>
      </c>
      <c r="C33" s="16" t="inlineStr">
        <is>
          <t>uq_return_no</t>
        </is>
      </c>
      <c r="D33" s="16" t="inlineStr">
        <is>
          <t>return_no</t>
        </is>
      </c>
      <c r="E33" s="16" t="inlineStr">
        <is>
          <t>番号一意</t>
        </is>
      </c>
    </row>
    <row r="34">
      <c r="A34" s="16" t="inlineStr">
        <is>
          <t>t_return</t>
        </is>
      </c>
      <c r="B34" s="9" t="inlineStr">
        <is>
          <t>INDEX</t>
        </is>
      </c>
      <c r="C34" s="16" t="inlineStr">
        <is>
          <t>ix_return_shipment_line</t>
        </is>
      </c>
      <c r="D34" s="16" t="inlineStr">
        <is>
          <t>shipment_line_id</t>
        </is>
      </c>
      <c r="E34" s="16" t="inlineStr">
        <is>
          <t>返品数量集計</t>
        </is>
      </c>
    </row>
    <row r="35">
      <c r="A35" s="16" t="inlineStr">
        <is>
          <t>t_return</t>
        </is>
      </c>
      <c r="B35" s="9" t="inlineStr">
        <is>
          <t>INDEX</t>
        </is>
      </c>
      <c r="C35" s="16" t="inlineStr">
        <is>
          <t>ix_return_recall_target</t>
        </is>
      </c>
      <c r="D35" s="16" t="inlineStr">
        <is>
          <t>recall_target_id</t>
        </is>
      </c>
      <c r="E35" s="16" t="inlineStr">
        <is>
          <t>回収数量集計</t>
        </is>
      </c>
    </row>
    <row r="36">
      <c r="A36" s="16" t="inlineStr">
        <is>
          <t>t_recall</t>
        </is>
      </c>
      <c r="B36" s="9" t="inlineStr">
        <is>
          <t>UNIQUE</t>
        </is>
      </c>
      <c r="C36" s="16" t="inlineStr">
        <is>
          <t>uq_recall_no</t>
        </is>
      </c>
      <c r="D36" s="16" t="inlineStr">
        <is>
          <t>recall_no</t>
        </is>
      </c>
      <c r="E36" s="16" t="inlineStr">
        <is>
          <t>番号一意</t>
        </is>
      </c>
    </row>
    <row r="37">
      <c r="A37" s="16" t="inlineStr">
        <is>
          <t>t_recall_lot</t>
        </is>
      </c>
      <c r="B37" s="9" t="inlineStr">
        <is>
          <t>UNIQUE</t>
        </is>
      </c>
      <c r="C37" s="16" t="inlineStr">
        <is>
          <t>uq_recall_lot</t>
        </is>
      </c>
      <c r="D37" s="16" t="inlineStr">
        <is>
          <t>recall_id, lot_id</t>
        </is>
      </c>
      <c r="E37" s="16" t="inlineStr">
        <is>
          <t>重複防止</t>
        </is>
      </c>
    </row>
    <row r="38">
      <c r="A38" s="16" t="inlineStr">
        <is>
          <t>t_recall_target</t>
        </is>
      </c>
      <c r="B38" s="9" t="inlineStr">
        <is>
          <t>UNIQUE</t>
        </is>
      </c>
      <c r="C38" s="16" t="inlineStr">
        <is>
          <t>uq_recall_target</t>
        </is>
      </c>
      <c r="D38" s="16" t="inlineStr">
        <is>
          <t>recall_id, ship_to_id, lot_id</t>
        </is>
      </c>
      <c r="E38" s="16" t="inlineStr">
        <is>
          <t>SQL-03 の ON CONFLICT 対象</t>
        </is>
      </c>
    </row>
    <row r="39">
      <c r="A39" s="16" t="inlineStr">
        <is>
          <t>t_temperature_log</t>
        </is>
      </c>
      <c r="B39" s="9" t="inlineStr">
        <is>
          <t>INDEX</t>
        </is>
      </c>
      <c r="C39" s="16" t="inlineStr">
        <is>
          <t>ix_temp_location_time</t>
        </is>
      </c>
      <c r="D39" s="16" t="inlineStr">
        <is>
          <t>location_id, measured_at</t>
        </is>
      </c>
      <c r="E39" s="16" t="inlineStr">
        <is>
          <t>温度推移照会</t>
        </is>
      </c>
    </row>
    <row r="40">
      <c r="A40" s="16" t="inlineStr">
        <is>
          <t>t_attachment</t>
        </is>
      </c>
      <c r="B40" s="9" t="inlineStr">
        <is>
          <t>INDEX</t>
        </is>
      </c>
      <c r="C40" s="16" t="inlineStr">
        <is>
          <t>ix_attachment_owner</t>
        </is>
      </c>
      <c r="D40" s="16" t="inlineStr">
        <is>
          <t>owner_type, owner_id</t>
        </is>
      </c>
      <c r="E40" s="16" t="inlineStr">
        <is>
          <t>所属別取得</t>
        </is>
      </c>
    </row>
    <row r="41">
      <c r="A41" s="16" t="inlineStr">
        <is>
          <t>t_audit_log</t>
        </is>
      </c>
      <c r="B41" s="9" t="inlineStr">
        <is>
          <t>INDEX</t>
        </is>
      </c>
      <c r="C41" s="16" t="inlineStr">
        <is>
          <t>ix_audit_target</t>
        </is>
      </c>
      <c r="D41" s="16" t="inlineStr">
        <is>
          <t>target_table, target_id, occurred_at</t>
        </is>
      </c>
      <c r="E41" s="16" t="inlineStr">
        <is>
          <t>対象別履歴</t>
        </is>
      </c>
    </row>
    <row r="42">
      <c r="A42" s="16" t="inlineStr">
        <is>
          <t>t_audit_log</t>
        </is>
      </c>
      <c r="B42" s="9" t="inlineStr">
        <is>
          <t>INDEX</t>
        </is>
      </c>
      <c r="C42" s="16" t="inlineStr">
        <is>
          <t>ix_audit_user_time</t>
        </is>
      </c>
      <c r="D42" s="16" t="inlineStr">
        <is>
          <t>user_id, occurred_at</t>
        </is>
      </c>
      <c r="E42" s="16" t="inlineStr">
        <is>
          <t>ユーザー別履歴</t>
        </is>
      </c>
    </row>
  </sheetData>
  <autoFilter ref="A3:E42"/>
  <hyperlinks>
    <hyperlink xmlns:r="http://schemas.openxmlformats.org/officeDocument/2006/relationships" ref="E1" r:id="rId1"/>
  </hyperlinks>
  <printOptions gridLines="0"/>
  <pageMargins left="0.75" right="0.75" top="1" bottom="1" header="0.5" footer="0.5"/>
  <pageSetup orientation="landscape" fitToHeight="0" fitToWidth="1"/>
</worksheet>
</file>

<file path=xl/worksheets/sheet16.xml><?xml version="1.0" encoding="utf-8"?>
<worksheet xmlns="http://schemas.openxmlformats.org/spreadsheetml/2006/main">
  <sheetPr>
    <outlinePr summaryBelow="1" summaryRight="1"/>
    <pageSetUpPr fitToPage="1"/>
  </sheetPr>
  <dimension ref="A1:B881"/>
  <sheetViews>
    <sheetView workbookViewId="0">
      <selection activeCell="A1" sqref="A1"/>
    </sheetView>
  </sheetViews>
  <sheetFormatPr baseColWidth="8" defaultRowHeight="15"/>
  <cols>
    <col width="130" customWidth="1" min="1" max="1"/>
  </cols>
  <sheetData>
    <row r="1">
      <c r="A1" s="5" t="inlineStr">
        <is>
          <t>DDL（PostgreSQL）— 項目定義・インデックス定義から自動生成</t>
        </is>
      </c>
      <c r="B1" s="15" t="inlineStr">
        <is>
          <t>← 表紙へ</t>
        </is>
      </c>
    </row>
    <row r="3">
      <c r="A3" s="28" t="inlineStr">
        <is>
          <t>-- 生成元: docs/design/tools/spec.py（手修正しないこと）</t>
        </is>
      </c>
    </row>
    <row r="4">
      <c r="A4" s="28" t="inlineStr">
        <is>
          <t>-- 作成順は外部キーの依存順</t>
        </is>
      </c>
    </row>
    <row r="5">
      <c r="A5" s="28" t="inlineStr"/>
    </row>
    <row r="6">
      <c r="A6" s="28" t="inlineStr">
        <is>
          <t>-- ユーザー：システム利用者</t>
        </is>
      </c>
    </row>
    <row r="7">
      <c r="A7" s="28" t="inlineStr">
        <is>
          <t>CREATE TABLE m_user (</t>
        </is>
      </c>
    </row>
    <row r="8">
      <c r="A8" s="28" t="inlineStr">
        <is>
          <t xml:space="preserve">  id BIGINT GENERATED ALWAYS AS IDENTITY PRIMARY KEY,</t>
        </is>
      </c>
    </row>
    <row r="9">
      <c r="A9" s="28" t="inlineStr">
        <is>
          <t xml:space="preserve">  email VARCHAR(254) NOT NULL,</t>
        </is>
      </c>
    </row>
    <row r="10">
      <c r="A10" s="28" t="inlineStr">
        <is>
          <t xml:space="preserve">  name VARCHAR(50) NOT NULL,</t>
        </is>
      </c>
    </row>
    <row r="11">
      <c r="A11" s="28" t="inlineStr">
        <is>
          <t xml:space="preserve">  role VARCHAR(20) NOT NULL,</t>
        </is>
      </c>
    </row>
    <row r="12">
      <c r="A12" s="28" t="inlineStr">
        <is>
          <t xml:space="preserve">  password_hash VARCHAR(255) NOT NULL,</t>
        </is>
      </c>
    </row>
    <row r="13">
      <c r="A13" s="28" t="inlineStr">
        <is>
          <t xml:space="preserve">  mfa_secret VARCHAR(255),</t>
        </is>
      </c>
    </row>
    <row r="14">
      <c r="A14" s="28" t="inlineStr">
        <is>
          <t xml:space="preserve">  failed_login_count INTEGER NOT NULL DEFAULT 0,</t>
        </is>
      </c>
    </row>
    <row r="15">
      <c r="A15" s="28" t="inlineStr">
        <is>
          <t xml:space="preserve">  is_active BOOLEAN NOT NULL DEFAULT true,</t>
        </is>
      </c>
    </row>
    <row r="16">
      <c r="A16" s="28" t="inlineStr">
        <is>
          <t xml:space="preserve">  created_at TIMESTAMPTZ NOT NULL DEFAULT now(),</t>
        </is>
      </c>
    </row>
    <row r="17">
      <c r="A17" s="28" t="inlineStr">
        <is>
          <t xml:space="preserve">  created_by BIGINT NOT NULL REFERENCES m_user(id) DEFERRABLE INITIALLY DEFERRED,</t>
        </is>
      </c>
    </row>
    <row r="18">
      <c r="A18" s="28" t="inlineStr">
        <is>
          <t xml:space="preserve">  updated_at TIMESTAMPTZ NOT NULL DEFAULT now(),</t>
        </is>
      </c>
    </row>
    <row r="19">
      <c r="A19" s="28" t="inlineStr">
        <is>
          <t xml:space="preserve">  updated_by BIGINT NOT NULL REFERENCES m_user(id) DEFERRABLE INITIALLY DEFERRED,</t>
        </is>
      </c>
    </row>
    <row r="20">
      <c r="A20" s="28" t="inlineStr">
        <is>
          <t xml:space="preserve">  version INTEGER NOT NULL DEFAULT 1</t>
        </is>
      </c>
    </row>
    <row r="21">
      <c r="A21" s="28" t="inlineStr">
        <is>
          <t>);</t>
        </is>
      </c>
    </row>
    <row r="22">
      <c r="A22" s="28" t="inlineStr">
        <is>
          <t>COMMENT ON TABLE m_user IS 'ユーザー';</t>
        </is>
      </c>
    </row>
    <row r="23">
      <c r="A23" s="28" t="inlineStr">
        <is>
          <t>COMMENT ON COLUMN m_user.id IS 'ユーザーID';</t>
        </is>
      </c>
    </row>
    <row r="24">
      <c r="A24" s="28" t="inlineStr">
        <is>
          <t>COMMENT ON COLUMN m_user.email IS 'メール（ログインID）';</t>
        </is>
      </c>
    </row>
    <row r="25">
      <c r="A25" s="28" t="inlineStr">
        <is>
          <t>COMMENT ON COLUMN m_user.name IS '氏名';</t>
        </is>
      </c>
    </row>
    <row r="26">
      <c r="A26" s="28" t="inlineStr">
        <is>
          <t>COMMENT ON COLUMN m_user.role IS 'ロール';</t>
        </is>
      </c>
    </row>
    <row r="27">
      <c r="A27" s="28" t="inlineStr">
        <is>
          <t>COMMENT ON COLUMN m_user.password_hash IS 'パスワードハッシュ';</t>
        </is>
      </c>
    </row>
    <row r="28">
      <c r="A28" s="28" t="inlineStr">
        <is>
          <t>COMMENT ON COLUMN m_user.mfa_secret IS '2要素認証シークレット';</t>
        </is>
      </c>
    </row>
    <row r="29">
      <c r="A29" s="28" t="inlineStr">
        <is>
          <t>COMMENT ON COLUMN m_user.failed_login_count IS 'ログイン失敗回数';</t>
        </is>
      </c>
    </row>
    <row r="30">
      <c r="A30" s="28" t="inlineStr">
        <is>
          <t>COMMENT ON COLUMN m_user.is_active IS '有効フラグ';</t>
        </is>
      </c>
    </row>
    <row r="31">
      <c r="A31" s="28" t="inlineStr">
        <is>
          <t>COMMENT ON COLUMN m_user.created_at IS '作成日時';</t>
        </is>
      </c>
    </row>
    <row r="32">
      <c r="A32" s="28" t="inlineStr">
        <is>
          <t>COMMENT ON COLUMN m_user.created_by IS '作成者';</t>
        </is>
      </c>
    </row>
    <row r="33">
      <c r="A33" s="28" t="inlineStr">
        <is>
          <t>COMMENT ON COLUMN m_user.updated_at IS '更新日時';</t>
        </is>
      </c>
    </row>
    <row r="34">
      <c r="A34" s="28" t="inlineStr">
        <is>
          <t>COMMENT ON COLUMN m_user.updated_by IS '更新者';</t>
        </is>
      </c>
    </row>
    <row r="35">
      <c r="A35" s="28" t="inlineStr">
        <is>
          <t>COMMENT ON COLUMN m_user.version IS '版数';</t>
        </is>
      </c>
    </row>
    <row r="36">
      <c r="A36" s="28" t="inlineStr"/>
    </row>
    <row r="37">
      <c r="A37" s="28" t="inlineStr">
        <is>
          <t>-- 仕入先：仕入先（製造元・輸入元）</t>
        </is>
      </c>
    </row>
    <row r="38">
      <c r="A38" s="28" t="inlineStr">
        <is>
          <t>CREATE TABLE m_supplier (</t>
        </is>
      </c>
    </row>
    <row r="39">
      <c r="A39" s="28" t="inlineStr">
        <is>
          <t xml:space="preserve">  id BIGINT GENERATED ALWAYS AS IDENTITY PRIMARY KEY,</t>
        </is>
      </c>
    </row>
    <row r="40">
      <c r="A40" s="28" t="inlineStr">
        <is>
          <t xml:space="preserve">  supplier_code VARCHAR(20) NOT NULL,</t>
        </is>
      </c>
    </row>
    <row r="41">
      <c r="A41" s="28" t="inlineStr">
        <is>
          <t xml:space="preserve">  name VARCHAR(100) NOT NULL,</t>
        </is>
      </c>
    </row>
    <row r="42">
      <c r="A42" s="28" t="inlineStr">
        <is>
          <t xml:space="preserve">  country VARCHAR(2) NOT NULL DEFAULT 'JP',</t>
        </is>
      </c>
    </row>
    <row r="43">
      <c r="A43" s="28" t="inlineStr">
        <is>
          <t xml:space="preserve">  address VARCHAR(200),</t>
        </is>
      </c>
    </row>
    <row r="44">
      <c r="A44" s="28" t="inlineStr">
        <is>
          <t xml:space="preserve">  contact_name VARCHAR(50),</t>
        </is>
      </c>
    </row>
    <row r="45">
      <c r="A45" s="28" t="inlineStr">
        <is>
          <t xml:space="preserve">  phone VARCHAR(20),</t>
        </is>
      </c>
    </row>
    <row r="46">
      <c r="A46" s="28" t="inlineStr">
        <is>
          <t xml:space="preserve">  email VARCHAR(254),</t>
        </is>
      </c>
    </row>
    <row r="47">
      <c r="A47" s="28" t="inlineStr">
        <is>
          <t xml:space="preserve">  payment_terms VARCHAR(100),</t>
        </is>
      </c>
    </row>
    <row r="48">
      <c r="A48" s="28" t="inlineStr">
        <is>
          <t xml:space="preserve">  is_active BOOLEAN NOT NULL DEFAULT true,</t>
        </is>
      </c>
    </row>
    <row r="49">
      <c r="A49" s="28" t="inlineStr">
        <is>
          <t xml:space="preserve">  created_at TIMESTAMPTZ NOT NULL DEFAULT now(),</t>
        </is>
      </c>
    </row>
    <row r="50">
      <c r="A50" s="28" t="inlineStr">
        <is>
          <t xml:space="preserve">  created_by BIGINT NOT NULL REFERENCES m_user(id),</t>
        </is>
      </c>
    </row>
    <row r="51">
      <c r="A51" s="28" t="inlineStr">
        <is>
          <t xml:space="preserve">  updated_at TIMESTAMPTZ NOT NULL DEFAULT now(),</t>
        </is>
      </c>
    </row>
    <row r="52">
      <c r="A52" s="28" t="inlineStr">
        <is>
          <t xml:space="preserve">  updated_by BIGINT NOT NULL REFERENCES m_user(id),</t>
        </is>
      </c>
    </row>
    <row r="53">
      <c r="A53" s="28" t="inlineStr">
        <is>
          <t xml:space="preserve">  version INTEGER NOT NULL DEFAULT 1</t>
        </is>
      </c>
    </row>
    <row r="54">
      <c r="A54" s="28" t="inlineStr">
        <is>
          <t>);</t>
        </is>
      </c>
    </row>
    <row r="55">
      <c r="A55" s="28" t="inlineStr">
        <is>
          <t>COMMENT ON TABLE m_supplier IS '仕入先';</t>
        </is>
      </c>
    </row>
    <row r="56">
      <c r="A56" s="28" t="inlineStr">
        <is>
          <t>COMMENT ON COLUMN m_supplier.id IS '仕入先ID';</t>
        </is>
      </c>
    </row>
    <row r="57">
      <c r="A57" s="28" t="inlineStr">
        <is>
          <t>COMMENT ON COLUMN m_supplier.supplier_code IS '仕入先コード';</t>
        </is>
      </c>
    </row>
    <row r="58">
      <c r="A58" s="28" t="inlineStr">
        <is>
          <t>COMMENT ON COLUMN m_supplier.name IS '仕入先名';</t>
        </is>
      </c>
    </row>
    <row r="59">
      <c r="A59" s="28" t="inlineStr">
        <is>
          <t>COMMENT ON COLUMN m_supplier.country IS '国';</t>
        </is>
      </c>
    </row>
    <row r="60">
      <c r="A60" s="28" t="inlineStr">
        <is>
          <t>COMMENT ON COLUMN m_supplier.address IS '住所';</t>
        </is>
      </c>
    </row>
    <row r="61">
      <c r="A61" s="28" t="inlineStr">
        <is>
          <t>COMMENT ON COLUMN m_supplier.contact_name IS '担当者名';</t>
        </is>
      </c>
    </row>
    <row r="62">
      <c r="A62" s="28" t="inlineStr">
        <is>
          <t>COMMENT ON COLUMN m_supplier.phone IS '電話番号';</t>
        </is>
      </c>
    </row>
    <row r="63">
      <c r="A63" s="28" t="inlineStr">
        <is>
          <t>COMMENT ON COLUMN m_supplier.email IS 'メール';</t>
        </is>
      </c>
    </row>
    <row r="64">
      <c r="A64" s="28" t="inlineStr">
        <is>
          <t>COMMENT ON COLUMN m_supplier.payment_terms IS '支払条件';</t>
        </is>
      </c>
    </row>
    <row r="65">
      <c r="A65" s="28" t="inlineStr">
        <is>
          <t>COMMENT ON COLUMN m_supplier.is_active IS '有効フラグ';</t>
        </is>
      </c>
    </row>
    <row r="66">
      <c r="A66" s="28" t="inlineStr">
        <is>
          <t>COMMENT ON COLUMN m_supplier.created_at IS '作成日時';</t>
        </is>
      </c>
    </row>
    <row r="67">
      <c r="A67" s="28" t="inlineStr">
        <is>
          <t>COMMENT ON COLUMN m_supplier.created_by IS '作成者';</t>
        </is>
      </c>
    </row>
    <row r="68">
      <c r="A68" s="28" t="inlineStr">
        <is>
          <t>COMMENT ON COLUMN m_supplier.updated_at IS '更新日時';</t>
        </is>
      </c>
    </row>
    <row r="69">
      <c r="A69" s="28" t="inlineStr">
        <is>
          <t>COMMENT ON COLUMN m_supplier.updated_by IS '更新者';</t>
        </is>
      </c>
    </row>
    <row r="70">
      <c r="A70" s="28" t="inlineStr">
        <is>
          <t>COMMENT ON COLUMN m_supplier.version IS '版数';</t>
        </is>
      </c>
    </row>
    <row r="71">
      <c r="A71" s="28" t="inlineStr"/>
    </row>
    <row r="72">
      <c r="A72" s="28" t="inlineStr">
        <is>
          <t>-- 顧客：販売先（請求先）</t>
        </is>
      </c>
    </row>
    <row r="73">
      <c r="A73" s="28" t="inlineStr">
        <is>
          <t>CREATE TABLE m_customer (</t>
        </is>
      </c>
    </row>
    <row r="74">
      <c r="A74" s="28" t="inlineStr">
        <is>
          <t xml:space="preserve">  id BIGINT GENERATED ALWAYS AS IDENTITY PRIMARY KEY,</t>
        </is>
      </c>
    </row>
    <row r="75">
      <c r="A75" s="28" t="inlineStr">
        <is>
          <t xml:space="preserve">  customer_code VARCHAR(20) NOT NULL,</t>
        </is>
      </c>
    </row>
    <row r="76">
      <c r="A76" s="28" t="inlineStr">
        <is>
          <t xml:space="preserve">  name VARCHAR(100) NOT NULL,</t>
        </is>
      </c>
    </row>
    <row r="77">
      <c r="A77" s="28" t="inlineStr">
        <is>
          <t xml:space="preserve">  customer_type VARCHAR(20) NOT NULL,</t>
        </is>
      </c>
    </row>
    <row r="78">
      <c r="A78" s="28" t="inlineStr">
        <is>
          <t xml:space="preserve">  medical_inst_code VARCHAR(20),</t>
        </is>
      </c>
    </row>
    <row r="79">
      <c r="A79" s="28" t="inlineStr">
        <is>
          <t xml:space="preserve">  representative VARCHAR(50),</t>
        </is>
      </c>
    </row>
    <row r="80">
      <c r="A80" s="28" t="inlineStr">
        <is>
          <t xml:space="preserve">  contact_name VARCHAR(50),</t>
        </is>
      </c>
    </row>
    <row r="81">
      <c r="A81" s="28" t="inlineStr">
        <is>
          <t xml:space="preserve">  postal_code VARCHAR(8),</t>
        </is>
      </c>
    </row>
    <row r="82">
      <c r="A82" s="28" t="inlineStr">
        <is>
          <t xml:space="preserve">  address VARCHAR(200) NOT NULL,</t>
        </is>
      </c>
    </row>
    <row r="83">
      <c r="A83" s="28" t="inlineStr">
        <is>
          <t xml:space="preserve">  phone VARCHAR(20),</t>
        </is>
      </c>
    </row>
    <row r="84">
      <c r="A84" s="28" t="inlineStr">
        <is>
          <t xml:space="preserve">  email VARCHAR(254),</t>
        </is>
      </c>
    </row>
    <row r="85">
      <c r="A85" s="28" t="inlineStr">
        <is>
          <t xml:space="preserve">  credit_limit NUMERIC(12,0),</t>
        </is>
      </c>
    </row>
    <row r="86">
      <c r="A86" s="28" t="inlineStr">
        <is>
          <t xml:space="preserve">  is_active BOOLEAN NOT NULL DEFAULT true,</t>
        </is>
      </c>
    </row>
    <row r="87">
      <c r="A87" s="28" t="inlineStr">
        <is>
          <t xml:space="preserve">  created_at TIMESTAMPTZ NOT NULL DEFAULT now(),</t>
        </is>
      </c>
    </row>
    <row r="88">
      <c r="A88" s="28" t="inlineStr">
        <is>
          <t xml:space="preserve">  created_by BIGINT NOT NULL REFERENCES m_user(id),</t>
        </is>
      </c>
    </row>
    <row r="89">
      <c r="A89" s="28" t="inlineStr">
        <is>
          <t xml:space="preserve">  updated_at TIMESTAMPTZ NOT NULL DEFAULT now(),</t>
        </is>
      </c>
    </row>
    <row r="90">
      <c r="A90" s="28" t="inlineStr">
        <is>
          <t xml:space="preserve">  updated_by BIGINT NOT NULL REFERENCES m_user(id),</t>
        </is>
      </c>
    </row>
    <row r="91">
      <c r="A91" s="28" t="inlineStr">
        <is>
          <t xml:space="preserve">  version INTEGER NOT NULL DEFAULT 1</t>
        </is>
      </c>
    </row>
    <row r="92">
      <c r="A92" s="28" t="inlineStr">
        <is>
          <t>);</t>
        </is>
      </c>
    </row>
    <row r="93">
      <c r="A93" s="28" t="inlineStr">
        <is>
          <t>COMMENT ON TABLE m_customer IS '顧客';</t>
        </is>
      </c>
    </row>
    <row r="94">
      <c r="A94" s="28" t="inlineStr">
        <is>
          <t>COMMENT ON COLUMN m_customer.id IS '顧客ID';</t>
        </is>
      </c>
    </row>
    <row r="95">
      <c r="A95" s="28" t="inlineStr">
        <is>
          <t>COMMENT ON COLUMN m_customer.customer_code IS '顧客コード';</t>
        </is>
      </c>
    </row>
    <row r="96">
      <c r="A96" s="28" t="inlineStr">
        <is>
          <t>COMMENT ON COLUMN m_customer.name IS '顧客名';</t>
        </is>
      </c>
    </row>
    <row r="97">
      <c r="A97" s="28" t="inlineStr">
        <is>
          <t>COMMENT ON COLUMN m_customer.customer_type IS '顧客区分';</t>
        </is>
      </c>
    </row>
    <row r="98">
      <c r="A98" s="28" t="inlineStr">
        <is>
          <t>COMMENT ON COLUMN m_customer.medical_inst_code IS '医療機関コード';</t>
        </is>
      </c>
    </row>
    <row r="99">
      <c r="A99" s="28" t="inlineStr">
        <is>
          <t>COMMENT ON COLUMN m_customer.representative IS '代表者名';</t>
        </is>
      </c>
    </row>
    <row r="100">
      <c r="A100" s="28" t="inlineStr">
        <is>
          <t>COMMENT ON COLUMN m_customer.contact_name IS '担当者名';</t>
        </is>
      </c>
    </row>
    <row r="101">
      <c r="A101" s="28" t="inlineStr">
        <is>
          <t>COMMENT ON COLUMN m_customer.postal_code IS '郵便番号';</t>
        </is>
      </c>
    </row>
    <row r="102">
      <c r="A102" s="28" t="inlineStr">
        <is>
          <t>COMMENT ON COLUMN m_customer.address IS '住所';</t>
        </is>
      </c>
    </row>
    <row r="103">
      <c r="A103" s="28" t="inlineStr">
        <is>
          <t>COMMENT ON COLUMN m_customer.phone IS '電話番号';</t>
        </is>
      </c>
    </row>
    <row r="104">
      <c r="A104" s="28" t="inlineStr">
        <is>
          <t>COMMENT ON COLUMN m_customer.email IS 'メール';</t>
        </is>
      </c>
    </row>
    <row r="105">
      <c r="A105" s="28" t="inlineStr">
        <is>
          <t>COMMENT ON COLUMN m_customer.credit_limit IS '与信限度額（円）';</t>
        </is>
      </c>
    </row>
    <row r="106">
      <c r="A106" s="28" t="inlineStr">
        <is>
          <t>COMMENT ON COLUMN m_customer.is_active IS '有効フラグ';</t>
        </is>
      </c>
    </row>
    <row r="107">
      <c r="A107" s="28" t="inlineStr">
        <is>
          <t>COMMENT ON COLUMN m_customer.created_at IS '作成日時';</t>
        </is>
      </c>
    </row>
    <row r="108">
      <c r="A108" s="28" t="inlineStr">
        <is>
          <t>COMMENT ON COLUMN m_customer.created_by IS '作成者';</t>
        </is>
      </c>
    </row>
    <row r="109">
      <c r="A109" s="28" t="inlineStr">
        <is>
          <t>COMMENT ON COLUMN m_customer.updated_at IS '更新日時';</t>
        </is>
      </c>
    </row>
    <row r="110">
      <c r="A110" s="28" t="inlineStr">
        <is>
          <t>COMMENT ON COLUMN m_customer.updated_by IS '更新者';</t>
        </is>
      </c>
    </row>
    <row r="111">
      <c r="A111" s="28" t="inlineStr">
        <is>
          <t>COMMENT ON COLUMN m_customer.version IS '版数';</t>
        </is>
      </c>
    </row>
    <row r="112">
      <c r="A112" s="28" t="inlineStr"/>
    </row>
    <row r="113">
      <c r="A113" s="28" t="inlineStr">
        <is>
          <t>-- 保管場所：倉庫・冷凍庫・冷蔵庫等</t>
        </is>
      </c>
    </row>
    <row r="114">
      <c r="A114" s="28" t="inlineStr">
        <is>
          <t>CREATE TABLE m_location (</t>
        </is>
      </c>
    </row>
    <row r="115">
      <c r="A115" s="28" t="inlineStr">
        <is>
          <t xml:space="preserve">  id BIGINT GENERATED ALWAYS AS IDENTITY PRIMARY KEY,</t>
        </is>
      </c>
    </row>
    <row r="116">
      <c r="A116" s="28" t="inlineStr">
        <is>
          <t xml:space="preserve">  location_code VARCHAR(20) NOT NULL,</t>
        </is>
      </c>
    </row>
    <row r="117">
      <c r="A117" s="28" t="inlineStr">
        <is>
          <t xml:space="preserve">  name VARCHAR(50) NOT NULL,</t>
        </is>
      </c>
    </row>
    <row r="118">
      <c r="A118" s="28" t="inlineStr">
        <is>
          <t xml:space="preserve">  storage_class VARCHAR(10) NOT NULL,</t>
        </is>
      </c>
    </row>
    <row r="119">
      <c r="A119" s="28" t="inlineStr">
        <is>
          <t xml:space="preserve">  temp_min NUMERIC(5,1) NOT NULL,</t>
        </is>
      </c>
    </row>
    <row r="120">
      <c r="A120" s="28" t="inlineStr">
        <is>
          <t xml:space="preserve">  temp_max NUMERIC(5,1) NOT NULL,</t>
        </is>
      </c>
    </row>
    <row r="121">
      <c r="A121" s="28" t="inlineStr">
        <is>
          <t xml:space="preserve">  is_quarantine BOOLEAN NOT NULL DEFAULT false,</t>
        </is>
      </c>
    </row>
    <row r="122">
      <c r="A122" s="28" t="inlineStr">
        <is>
          <t xml:space="preserve">  is_active BOOLEAN NOT NULL DEFAULT true,</t>
        </is>
      </c>
    </row>
    <row r="123">
      <c r="A123" s="28" t="inlineStr">
        <is>
          <t xml:space="preserve">  created_at TIMESTAMPTZ NOT NULL DEFAULT now(),</t>
        </is>
      </c>
    </row>
    <row r="124">
      <c r="A124" s="28" t="inlineStr">
        <is>
          <t xml:space="preserve">  created_by BIGINT NOT NULL REFERENCES m_user(id),</t>
        </is>
      </c>
    </row>
    <row r="125">
      <c r="A125" s="28" t="inlineStr">
        <is>
          <t xml:space="preserve">  updated_at TIMESTAMPTZ NOT NULL DEFAULT now(),</t>
        </is>
      </c>
    </row>
    <row r="126">
      <c r="A126" s="28" t="inlineStr">
        <is>
          <t xml:space="preserve">  updated_by BIGINT NOT NULL REFERENCES m_user(id),</t>
        </is>
      </c>
    </row>
    <row r="127">
      <c r="A127" s="28" t="inlineStr">
        <is>
          <t xml:space="preserve">  version INTEGER NOT NULL DEFAULT 1</t>
        </is>
      </c>
    </row>
    <row r="128">
      <c r="A128" s="28" t="inlineStr">
        <is>
          <t>);</t>
        </is>
      </c>
    </row>
    <row r="129">
      <c r="A129" s="28" t="inlineStr">
        <is>
          <t>COMMENT ON TABLE m_location IS '保管場所';</t>
        </is>
      </c>
    </row>
    <row r="130">
      <c r="A130" s="28" t="inlineStr">
        <is>
          <t>COMMENT ON COLUMN m_location.id IS '保管場所ID';</t>
        </is>
      </c>
    </row>
    <row r="131">
      <c r="A131" s="28" t="inlineStr">
        <is>
          <t>COMMENT ON COLUMN m_location.location_code IS '保管場所コード';</t>
        </is>
      </c>
    </row>
    <row r="132">
      <c r="A132" s="28" t="inlineStr">
        <is>
          <t>COMMENT ON COLUMN m_location.name IS '保管場所名';</t>
        </is>
      </c>
    </row>
    <row r="133">
      <c r="A133" s="28" t="inlineStr">
        <is>
          <t>COMMENT ON COLUMN m_location.storage_class IS '保管温度区分';</t>
        </is>
      </c>
    </row>
    <row r="134">
      <c r="A134" s="28" t="inlineStr">
        <is>
          <t>COMMENT ON COLUMN m_location.temp_min IS '許容温度下限（℃）';</t>
        </is>
      </c>
    </row>
    <row r="135">
      <c r="A135" s="28" t="inlineStr">
        <is>
          <t>COMMENT ON COLUMN m_location.temp_max IS '許容温度上限（℃）';</t>
        </is>
      </c>
    </row>
    <row r="136">
      <c r="A136" s="28" t="inlineStr">
        <is>
          <t>COMMENT ON COLUMN m_location.is_quarantine IS '隔離保管フラグ';</t>
        </is>
      </c>
    </row>
    <row r="137">
      <c r="A137" s="28" t="inlineStr">
        <is>
          <t>COMMENT ON COLUMN m_location.is_active IS '有効フラグ';</t>
        </is>
      </c>
    </row>
    <row r="138">
      <c r="A138" s="28" t="inlineStr">
        <is>
          <t>COMMENT ON COLUMN m_location.created_at IS '作成日時';</t>
        </is>
      </c>
    </row>
    <row r="139">
      <c r="A139" s="28" t="inlineStr">
        <is>
          <t>COMMENT ON COLUMN m_location.created_by IS '作成者';</t>
        </is>
      </c>
    </row>
    <row r="140">
      <c r="A140" s="28" t="inlineStr">
        <is>
          <t>COMMENT ON COLUMN m_location.updated_at IS '更新日時';</t>
        </is>
      </c>
    </row>
    <row r="141">
      <c r="A141" s="28" t="inlineStr">
        <is>
          <t>COMMENT ON COLUMN m_location.updated_by IS '更新者';</t>
        </is>
      </c>
    </row>
    <row r="142">
      <c r="A142" s="28" t="inlineStr">
        <is>
          <t>COMMENT ON COLUMN m_location.version IS '版数';</t>
        </is>
      </c>
    </row>
    <row r="143">
      <c r="A143" s="28" t="inlineStr"/>
    </row>
    <row r="144">
      <c r="A144" s="28" t="inlineStr">
        <is>
          <t>-- 販売可否ルール：規制区分×顧客区分の販売可否</t>
        </is>
      </c>
    </row>
    <row r="145">
      <c r="A145" s="28" t="inlineStr">
        <is>
          <t>CREATE TABLE m_sales_rule (</t>
        </is>
      </c>
    </row>
    <row r="146">
      <c r="A146" s="28" t="inlineStr">
        <is>
          <t xml:space="preserve">  id BIGINT GENERATED ALWAYS AS IDENTITY PRIMARY KEY,</t>
        </is>
      </c>
    </row>
    <row r="147">
      <c r="A147" s="28" t="inlineStr">
        <is>
          <t xml:space="preserve">  regulatory_class VARCHAR(20) NOT NULL,</t>
        </is>
      </c>
    </row>
    <row r="148">
      <c r="A148" s="28" t="inlineStr">
        <is>
          <t xml:space="preserve">  customer_type VARCHAR(20) NOT NULL,</t>
        </is>
      </c>
    </row>
    <row r="149">
      <c r="A149" s="28" t="inlineStr">
        <is>
          <t xml:space="preserve">  allowed BOOLEAN NOT NULL DEFAULT false,</t>
        </is>
      </c>
    </row>
    <row r="150">
      <c r="A150" s="28" t="inlineStr">
        <is>
          <t xml:space="preserve">  created_at TIMESTAMPTZ NOT NULL DEFAULT now(),</t>
        </is>
      </c>
    </row>
    <row r="151">
      <c r="A151" s="28" t="inlineStr">
        <is>
          <t xml:space="preserve">  created_by BIGINT NOT NULL REFERENCES m_user(id),</t>
        </is>
      </c>
    </row>
    <row r="152">
      <c r="A152" s="28" t="inlineStr">
        <is>
          <t xml:space="preserve">  updated_at TIMESTAMPTZ NOT NULL DEFAULT now(),</t>
        </is>
      </c>
    </row>
    <row r="153">
      <c r="A153" s="28" t="inlineStr">
        <is>
          <t xml:space="preserve">  updated_by BIGINT NOT NULL REFERENCES m_user(id),</t>
        </is>
      </c>
    </row>
    <row r="154">
      <c r="A154" s="28" t="inlineStr">
        <is>
          <t xml:space="preserve">  version INTEGER NOT NULL DEFAULT 1</t>
        </is>
      </c>
    </row>
    <row r="155">
      <c r="A155" s="28" t="inlineStr">
        <is>
          <t>);</t>
        </is>
      </c>
    </row>
    <row r="156">
      <c r="A156" s="28" t="inlineStr">
        <is>
          <t>COMMENT ON TABLE m_sales_rule IS '販売可否ルール';</t>
        </is>
      </c>
    </row>
    <row r="157">
      <c r="A157" s="28" t="inlineStr">
        <is>
          <t>COMMENT ON COLUMN m_sales_rule.id IS 'ルールID';</t>
        </is>
      </c>
    </row>
    <row r="158">
      <c r="A158" s="28" t="inlineStr">
        <is>
          <t>COMMENT ON COLUMN m_sales_rule.regulatory_class IS '規制区分';</t>
        </is>
      </c>
    </row>
    <row r="159">
      <c r="A159" s="28" t="inlineStr">
        <is>
          <t>COMMENT ON COLUMN m_sales_rule.customer_type IS '顧客区分';</t>
        </is>
      </c>
    </row>
    <row r="160">
      <c r="A160" s="28" t="inlineStr">
        <is>
          <t>COMMENT ON COLUMN m_sales_rule.allowed IS '販売可否';</t>
        </is>
      </c>
    </row>
    <row r="161">
      <c r="A161" s="28" t="inlineStr">
        <is>
          <t>COMMENT ON COLUMN m_sales_rule.created_at IS '作成日時';</t>
        </is>
      </c>
    </row>
    <row r="162">
      <c r="A162" s="28" t="inlineStr">
        <is>
          <t>COMMENT ON COLUMN m_sales_rule.created_by IS '作成者';</t>
        </is>
      </c>
    </row>
    <row r="163">
      <c r="A163" s="28" t="inlineStr">
        <is>
          <t>COMMENT ON COLUMN m_sales_rule.updated_at IS '更新日時';</t>
        </is>
      </c>
    </row>
    <row r="164">
      <c r="A164" s="28" t="inlineStr">
        <is>
          <t>COMMENT ON COLUMN m_sales_rule.updated_by IS '更新者';</t>
        </is>
      </c>
    </row>
    <row r="165">
      <c r="A165" s="28" t="inlineStr">
        <is>
          <t>COMMENT ON COLUMN m_sales_rule.version IS '版数';</t>
        </is>
      </c>
    </row>
    <row r="166">
      <c r="A166" s="28" t="inlineStr"/>
    </row>
    <row r="167">
      <c r="A167" s="28" t="inlineStr">
        <is>
          <t>-- 回収案件：回収（リコール）案件</t>
        </is>
      </c>
    </row>
    <row r="168">
      <c r="A168" s="28" t="inlineStr">
        <is>
          <t>CREATE TABLE t_recall (</t>
        </is>
      </c>
    </row>
    <row r="169">
      <c r="A169" s="28" t="inlineStr">
        <is>
          <t xml:space="preserve">  id BIGINT GENERATED ALWAYS AS IDENTITY PRIMARY KEY,</t>
        </is>
      </c>
    </row>
    <row r="170">
      <c r="A170" s="28" t="inlineStr">
        <is>
          <t xml:space="preserve">  recall_no VARCHAR(20) NOT NULL,</t>
        </is>
      </c>
    </row>
    <row r="171">
      <c r="A171" s="28" t="inlineStr">
        <is>
          <t xml:space="preserve">  title VARCHAR(100) NOT NULL,</t>
        </is>
      </c>
    </row>
    <row r="172">
      <c r="A172" s="28" t="inlineStr">
        <is>
          <t xml:space="preserve">  reason TEXT NOT NULL,</t>
        </is>
      </c>
    </row>
    <row r="173">
      <c r="A173" s="28" t="inlineStr">
        <is>
          <t xml:space="preserve">  severity VARCHAR(10) NOT NULL,</t>
        </is>
      </c>
    </row>
    <row r="174">
      <c r="A174" s="28" t="inlineStr">
        <is>
          <t xml:space="preserve">  started_on DATE NOT NULL,</t>
        </is>
      </c>
    </row>
    <row r="175">
      <c r="A175" s="28" t="inlineStr">
        <is>
          <t xml:space="preserve">  closed_on DATE,</t>
        </is>
      </c>
    </row>
    <row r="176">
      <c r="A176" s="28" t="inlineStr">
        <is>
          <t xml:space="preserve">  status VARCHAR(20) NOT NULL DEFAULT 'OPEN',</t>
        </is>
      </c>
    </row>
    <row r="177">
      <c r="A177" s="28" t="inlineStr">
        <is>
          <t xml:space="preserve">  created_at TIMESTAMPTZ NOT NULL DEFAULT now(),</t>
        </is>
      </c>
    </row>
    <row r="178">
      <c r="A178" s="28" t="inlineStr">
        <is>
          <t xml:space="preserve">  created_by BIGINT NOT NULL REFERENCES m_user(id),</t>
        </is>
      </c>
    </row>
    <row r="179">
      <c r="A179" s="28" t="inlineStr">
        <is>
          <t xml:space="preserve">  updated_at TIMESTAMPTZ NOT NULL DEFAULT now(),</t>
        </is>
      </c>
    </row>
    <row r="180">
      <c r="A180" s="28" t="inlineStr">
        <is>
          <t xml:space="preserve">  updated_by BIGINT NOT NULL REFERENCES m_user(id),</t>
        </is>
      </c>
    </row>
    <row r="181">
      <c r="A181" s="28" t="inlineStr">
        <is>
          <t xml:space="preserve">  version INTEGER NOT NULL DEFAULT 1</t>
        </is>
      </c>
    </row>
    <row r="182">
      <c r="A182" s="28" t="inlineStr">
        <is>
          <t>);</t>
        </is>
      </c>
    </row>
    <row r="183">
      <c r="A183" s="28" t="inlineStr">
        <is>
          <t>COMMENT ON TABLE t_recall IS '回収案件';</t>
        </is>
      </c>
    </row>
    <row r="184">
      <c r="A184" s="28" t="inlineStr">
        <is>
          <t>COMMENT ON COLUMN t_recall.id IS '回収案件ID';</t>
        </is>
      </c>
    </row>
    <row r="185">
      <c r="A185" s="28" t="inlineStr">
        <is>
          <t>COMMENT ON COLUMN t_recall.recall_no IS '回収番号';</t>
        </is>
      </c>
    </row>
    <row r="186">
      <c r="A186" s="28" t="inlineStr">
        <is>
          <t>COMMENT ON COLUMN t_recall.title IS '件名';</t>
        </is>
      </c>
    </row>
    <row r="187">
      <c r="A187" s="28" t="inlineStr">
        <is>
          <t>COMMENT ON COLUMN t_recall.reason IS '回収理由';</t>
        </is>
      </c>
    </row>
    <row r="188">
      <c r="A188" s="28" t="inlineStr">
        <is>
          <t>COMMENT ON COLUMN t_recall.severity IS '重大度';</t>
        </is>
      </c>
    </row>
    <row r="189">
      <c r="A189" s="28" t="inlineStr">
        <is>
          <t>COMMENT ON COLUMN t_recall.started_on IS '開始日';</t>
        </is>
      </c>
    </row>
    <row r="190">
      <c r="A190" s="28" t="inlineStr">
        <is>
          <t>COMMENT ON COLUMN t_recall.closed_on IS '完了日';</t>
        </is>
      </c>
    </row>
    <row r="191">
      <c r="A191" s="28" t="inlineStr">
        <is>
          <t>COMMENT ON COLUMN t_recall.status IS 'ステータス';</t>
        </is>
      </c>
    </row>
    <row r="192">
      <c r="A192" s="28" t="inlineStr">
        <is>
          <t>COMMENT ON COLUMN t_recall.created_at IS '作成日時';</t>
        </is>
      </c>
    </row>
    <row r="193">
      <c r="A193" s="28" t="inlineStr">
        <is>
          <t>COMMENT ON COLUMN t_recall.created_by IS '作成者';</t>
        </is>
      </c>
    </row>
    <row r="194">
      <c r="A194" s="28" t="inlineStr">
        <is>
          <t>COMMENT ON COLUMN t_recall.updated_at IS '更新日時';</t>
        </is>
      </c>
    </row>
    <row r="195">
      <c r="A195" s="28" t="inlineStr">
        <is>
          <t>COMMENT ON COLUMN t_recall.updated_by IS '更新者';</t>
        </is>
      </c>
    </row>
    <row r="196">
      <c r="A196" s="28" t="inlineStr">
        <is>
          <t>COMMENT ON COLUMN t_recall.version IS '版数';</t>
        </is>
      </c>
    </row>
    <row r="197">
      <c r="A197" s="28" t="inlineStr"/>
    </row>
    <row r="198">
      <c r="A198" s="28" t="inlineStr">
        <is>
          <t>-- 添付ファイル：COA・輸入書類等</t>
        </is>
      </c>
    </row>
    <row r="199">
      <c r="A199" s="28" t="inlineStr">
        <is>
          <t>CREATE TABLE t_attachment (</t>
        </is>
      </c>
    </row>
    <row r="200">
      <c r="A200" s="28" t="inlineStr">
        <is>
          <t xml:space="preserve">  id BIGINT GENERATED ALWAYS AS IDENTITY PRIMARY KEY,</t>
        </is>
      </c>
    </row>
    <row r="201">
      <c r="A201" s="28" t="inlineStr">
        <is>
          <t xml:space="preserve">  owner_type VARCHAR(30) NOT NULL,</t>
        </is>
      </c>
    </row>
    <row r="202">
      <c r="A202" s="28" t="inlineStr">
        <is>
          <t xml:space="preserve">  owner_id BIGINT NOT NULL,</t>
        </is>
      </c>
    </row>
    <row r="203">
      <c r="A203" s="28" t="inlineStr">
        <is>
          <t xml:space="preserve">  doc_type VARCHAR(20) NOT NULL,</t>
        </is>
      </c>
    </row>
    <row r="204">
      <c r="A204" s="28" t="inlineStr">
        <is>
          <t xml:space="preserve">  file_name VARCHAR(255) NOT NULL,</t>
        </is>
      </c>
    </row>
    <row r="205">
      <c r="A205" s="28" t="inlineStr">
        <is>
          <t xml:space="preserve">  storage_key VARCHAR(500) NOT NULL,</t>
        </is>
      </c>
    </row>
    <row r="206">
      <c r="A206" s="28" t="inlineStr">
        <is>
          <t xml:space="preserve">  sha256 CHAR(64) NOT NULL,</t>
        </is>
      </c>
    </row>
    <row r="207">
      <c r="A207" s="28" t="inlineStr">
        <is>
          <t xml:space="preserve">  created_at TIMESTAMPTZ NOT NULL DEFAULT now(),</t>
        </is>
      </c>
    </row>
    <row r="208">
      <c r="A208" s="28" t="inlineStr">
        <is>
          <t xml:space="preserve">  created_by BIGINT NOT NULL REFERENCES m_user(id),</t>
        </is>
      </c>
    </row>
    <row r="209">
      <c r="A209" s="28" t="inlineStr">
        <is>
          <t xml:space="preserve">  updated_at TIMESTAMPTZ NOT NULL DEFAULT now(),</t>
        </is>
      </c>
    </row>
    <row r="210">
      <c r="A210" s="28" t="inlineStr">
        <is>
          <t xml:space="preserve">  updated_by BIGINT NOT NULL REFERENCES m_user(id),</t>
        </is>
      </c>
    </row>
    <row r="211">
      <c r="A211" s="28" t="inlineStr">
        <is>
          <t xml:space="preserve">  version INTEGER NOT NULL DEFAULT 1</t>
        </is>
      </c>
    </row>
    <row r="212">
      <c r="A212" s="28" t="inlineStr">
        <is>
          <t>);</t>
        </is>
      </c>
    </row>
    <row r="213">
      <c r="A213" s="28" t="inlineStr">
        <is>
          <t>COMMENT ON TABLE t_attachment IS '添付ファイル';</t>
        </is>
      </c>
    </row>
    <row r="214">
      <c r="A214" s="28" t="inlineStr">
        <is>
          <t>COMMENT ON COLUMN t_attachment.id IS '添付ID';</t>
        </is>
      </c>
    </row>
    <row r="215">
      <c r="A215" s="28" t="inlineStr">
        <is>
          <t>COMMENT ON COLUMN t_attachment.owner_type IS '所属種別';</t>
        </is>
      </c>
    </row>
    <row r="216">
      <c r="A216" s="28" t="inlineStr">
        <is>
          <t>COMMENT ON COLUMN t_attachment.owner_id IS '所属ID';</t>
        </is>
      </c>
    </row>
    <row r="217">
      <c r="A217" s="28" t="inlineStr">
        <is>
          <t>COMMENT ON COLUMN t_attachment.doc_type IS '書類種別';</t>
        </is>
      </c>
    </row>
    <row r="218">
      <c r="A218" s="28" t="inlineStr">
        <is>
          <t>COMMENT ON COLUMN t_attachment.file_name IS 'ファイル名';</t>
        </is>
      </c>
    </row>
    <row r="219">
      <c r="A219" s="28" t="inlineStr">
        <is>
          <t>COMMENT ON COLUMN t_attachment.storage_key IS '保存先キー';</t>
        </is>
      </c>
    </row>
    <row r="220">
      <c r="A220" s="28" t="inlineStr">
        <is>
          <t>COMMENT ON COLUMN t_attachment.sha256 IS 'ハッシュ値';</t>
        </is>
      </c>
    </row>
    <row r="221">
      <c r="A221" s="28" t="inlineStr">
        <is>
          <t>COMMENT ON COLUMN t_attachment.created_at IS '作成日時';</t>
        </is>
      </c>
    </row>
    <row r="222">
      <c r="A222" s="28" t="inlineStr">
        <is>
          <t>COMMENT ON COLUMN t_attachment.created_by IS '作成者';</t>
        </is>
      </c>
    </row>
    <row r="223">
      <c r="A223" s="28" t="inlineStr">
        <is>
          <t>COMMENT ON COLUMN t_attachment.updated_at IS '更新日時';</t>
        </is>
      </c>
    </row>
    <row r="224">
      <c r="A224" s="28" t="inlineStr">
        <is>
          <t>COMMENT ON COLUMN t_attachment.updated_by IS '更新者';</t>
        </is>
      </c>
    </row>
    <row r="225">
      <c r="A225" s="28" t="inlineStr">
        <is>
          <t>COMMENT ON COLUMN t_attachment.version IS '版数';</t>
        </is>
      </c>
    </row>
    <row r="226">
      <c r="A226" s="28" t="inlineStr"/>
    </row>
    <row r="227">
      <c r="A227" s="28" t="inlineStr">
        <is>
          <t>-- 監査ログ：操作履歴（追記のみ）</t>
        </is>
      </c>
    </row>
    <row r="228">
      <c r="A228" s="28" t="inlineStr">
        <is>
          <t>CREATE TABLE t_audit_log (</t>
        </is>
      </c>
    </row>
    <row r="229">
      <c r="A229" s="28" t="inlineStr">
        <is>
          <t xml:space="preserve">  id BIGINT GENERATED ALWAYS AS IDENTITY PRIMARY KEY,</t>
        </is>
      </c>
    </row>
    <row r="230">
      <c r="A230" s="28" t="inlineStr">
        <is>
          <t xml:space="preserve">  occurred_at TIMESTAMPTZ NOT NULL,</t>
        </is>
      </c>
    </row>
    <row r="231">
      <c r="A231" s="28" t="inlineStr">
        <is>
          <t xml:space="preserve">  user_id BIGINT REFERENCES m_user(id),</t>
        </is>
      </c>
    </row>
    <row r="232">
      <c r="A232" s="28" t="inlineStr">
        <is>
          <t xml:space="preserve">  action VARCHAR(20) NOT NULL,</t>
        </is>
      </c>
    </row>
    <row r="233">
      <c r="A233" s="28" t="inlineStr">
        <is>
          <t xml:space="preserve">  target_table VARCHAR(50),</t>
        </is>
      </c>
    </row>
    <row r="234">
      <c r="A234" s="28" t="inlineStr">
        <is>
          <t xml:space="preserve">  target_id BIGINT,</t>
        </is>
      </c>
    </row>
    <row r="235">
      <c r="A235" s="28" t="inlineStr">
        <is>
          <t xml:space="preserve">  before_json JSONB,</t>
        </is>
      </c>
    </row>
    <row r="236">
      <c r="A236" s="28" t="inlineStr">
        <is>
          <t xml:space="preserve">  after_json JSONB,</t>
        </is>
      </c>
    </row>
    <row r="237">
      <c r="A237" s="28" t="inlineStr">
        <is>
          <t xml:space="preserve">  ip_address VARCHAR(45),</t>
        </is>
      </c>
    </row>
    <row r="238">
      <c r="A238" s="28" t="inlineStr">
        <is>
          <t xml:space="preserve">  created_at TIMESTAMPTZ NOT NULL DEFAULT now(),</t>
        </is>
      </c>
    </row>
    <row r="239">
      <c r="A239" s="28" t="inlineStr">
        <is>
          <t xml:space="preserve">  created_by BIGINT NOT NULL REFERENCES m_user(id)</t>
        </is>
      </c>
    </row>
    <row r="240">
      <c r="A240" s="28" t="inlineStr">
        <is>
          <t>);</t>
        </is>
      </c>
    </row>
    <row r="241">
      <c r="A241" s="28" t="inlineStr">
        <is>
          <t>COMMENT ON TABLE t_audit_log IS '監査ログ';</t>
        </is>
      </c>
    </row>
    <row r="242">
      <c r="A242" s="28" t="inlineStr">
        <is>
          <t>COMMENT ON COLUMN t_audit_log.id IS 'ID';</t>
        </is>
      </c>
    </row>
    <row r="243">
      <c r="A243" s="28" t="inlineStr">
        <is>
          <t>COMMENT ON COLUMN t_audit_log.occurred_at IS '発生日時';</t>
        </is>
      </c>
    </row>
    <row r="244">
      <c r="A244" s="28" t="inlineStr">
        <is>
          <t>COMMENT ON COLUMN t_audit_log.user_id IS 'ユーザーID';</t>
        </is>
      </c>
    </row>
    <row r="245">
      <c r="A245" s="28" t="inlineStr">
        <is>
          <t>COMMENT ON COLUMN t_audit_log.action IS '操作';</t>
        </is>
      </c>
    </row>
    <row r="246">
      <c r="A246" s="28" t="inlineStr">
        <is>
          <t>COMMENT ON COLUMN t_audit_log.target_table IS '対象テーブル';</t>
        </is>
      </c>
    </row>
    <row r="247">
      <c r="A247" s="28" t="inlineStr">
        <is>
          <t>COMMENT ON COLUMN t_audit_log.target_id IS '対象ID';</t>
        </is>
      </c>
    </row>
    <row r="248">
      <c r="A248" s="28" t="inlineStr">
        <is>
          <t>COMMENT ON COLUMN t_audit_log.before_json IS '変更前';</t>
        </is>
      </c>
    </row>
    <row r="249">
      <c r="A249" s="28" t="inlineStr">
        <is>
          <t>COMMENT ON COLUMN t_audit_log.after_json IS '変更後';</t>
        </is>
      </c>
    </row>
    <row r="250">
      <c r="A250" s="28" t="inlineStr">
        <is>
          <t>COMMENT ON COLUMN t_audit_log.ip_address IS 'IPアドレス';</t>
        </is>
      </c>
    </row>
    <row r="251">
      <c r="A251" s="28" t="inlineStr">
        <is>
          <t>COMMENT ON COLUMN t_audit_log.created_at IS '作成日時';</t>
        </is>
      </c>
    </row>
    <row r="252">
      <c r="A252" s="28" t="inlineStr">
        <is>
          <t>COMMENT ON COLUMN t_audit_log.created_by IS '作成者';</t>
        </is>
      </c>
    </row>
    <row r="253">
      <c r="A253" s="28" t="inlineStr"/>
    </row>
    <row r="254">
      <c r="A254" s="28" t="inlineStr">
        <is>
          <t>-- 商品：エクソソーム製品・原料</t>
        </is>
      </c>
    </row>
    <row r="255">
      <c r="A255" s="28" t="inlineStr">
        <is>
          <t>CREATE TABLE m_product (</t>
        </is>
      </c>
    </row>
    <row r="256">
      <c r="A256" s="28" t="inlineStr">
        <is>
          <t xml:space="preserve">  id BIGINT GENERATED ALWAYS AS IDENTITY PRIMARY KEY,</t>
        </is>
      </c>
    </row>
    <row r="257">
      <c r="A257" s="28" t="inlineStr">
        <is>
          <t xml:space="preserve">  product_code VARCHAR(20) NOT NULL,</t>
        </is>
      </c>
    </row>
    <row r="258">
      <c r="A258" s="28" t="inlineStr">
        <is>
          <t xml:space="preserve">  name VARCHAR(100) NOT NULL,</t>
        </is>
      </c>
    </row>
    <row r="259">
      <c r="A259" s="28" t="inlineStr">
        <is>
          <t xml:space="preserve">  supplier_id BIGINT REFERENCES m_supplier(id),</t>
        </is>
      </c>
    </row>
    <row r="260">
      <c r="A260" s="28" t="inlineStr">
        <is>
          <t xml:space="preserve">  source_type VARCHAR(20) NOT NULL,</t>
        </is>
      </c>
    </row>
    <row r="261">
      <c r="A261" s="28" t="inlineStr">
        <is>
          <t xml:space="preserve">  form VARCHAR(20) NOT NULL,</t>
        </is>
      </c>
    </row>
    <row r="262">
      <c r="A262" s="28" t="inlineStr">
        <is>
          <t xml:space="preserve">  particle_conc NUMERIC(20,0),</t>
        </is>
      </c>
    </row>
    <row r="263">
      <c r="A263" s="28" t="inlineStr">
        <is>
          <t xml:space="preserve">  volume_ml NUMERIC(8,2),</t>
        </is>
      </c>
    </row>
    <row r="264">
      <c r="A264" s="28" t="inlineStr">
        <is>
          <t xml:space="preserve">  unit VARCHAR(10) NOT NULL DEFAULT '本',</t>
        </is>
      </c>
    </row>
    <row r="265">
      <c r="A265" s="28" t="inlineStr">
        <is>
          <t xml:space="preserve">  storage_class VARCHAR(10) NOT NULL,</t>
        </is>
      </c>
    </row>
    <row r="266">
      <c r="A266" s="28" t="inlineStr">
        <is>
          <t xml:space="preserve">  shelf_life_days INTEGER NOT NULL,</t>
        </is>
      </c>
    </row>
    <row r="267">
      <c r="A267" s="28" t="inlineStr">
        <is>
          <t xml:space="preserve">  min_remaining_days INTEGER NOT NULL DEFAULT 90,</t>
        </is>
      </c>
    </row>
    <row r="268">
      <c r="A268" s="28" t="inlineStr">
        <is>
          <t xml:space="preserve">  regulatory_class VARCHAR(20) NOT NULL,</t>
        </is>
      </c>
    </row>
    <row r="269">
      <c r="A269" s="28" t="inlineStr">
        <is>
          <t xml:space="preserve">  standard_cost NUMERIC(12,2),</t>
        </is>
      </c>
    </row>
    <row r="270">
      <c r="A270" s="28" t="inlineStr">
        <is>
          <t xml:space="preserve">  list_price NUMERIC(12,2),</t>
        </is>
      </c>
    </row>
    <row r="271">
      <c r="A271" s="28" t="inlineStr">
        <is>
          <t xml:space="preserve">  reorder_point INTEGER DEFAULT 0,</t>
        </is>
      </c>
    </row>
    <row r="272">
      <c r="A272" s="28" t="inlineStr">
        <is>
          <t xml:space="preserve">  is_active BOOLEAN NOT NULL DEFAULT true,</t>
        </is>
      </c>
    </row>
    <row r="273">
      <c r="A273" s="28" t="inlineStr">
        <is>
          <t xml:space="preserve">  created_at TIMESTAMPTZ NOT NULL DEFAULT now(),</t>
        </is>
      </c>
    </row>
    <row r="274">
      <c r="A274" s="28" t="inlineStr">
        <is>
          <t xml:space="preserve">  created_by BIGINT NOT NULL REFERENCES m_user(id),</t>
        </is>
      </c>
    </row>
    <row r="275">
      <c r="A275" s="28" t="inlineStr">
        <is>
          <t xml:space="preserve">  updated_at TIMESTAMPTZ NOT NULL DEFAULT now(),</t>
        </is>
      </c>
    </row>
    <row r="276">
      <c r="A276" s="28" t="inlineStr">
        <is>
          <t xml:space="preserve">  updated_by BIGINT NOT NULL REFERENCES m_user(id),</t>
        </is>
      </c>
    </row>
    <row r="277">
      <c r="A277" s="28" t="inlineStr">
        <is>
          <t xml:space="preserve">  version INTEGER NOT NULL DEFAULT 1</t>
        </is>
      </c>
    </row>
    <row r="278">
      <c r="A278" s="28" t="inlineStr">
        <is>
          <t>);</t>
        </is>
      </c>
    </row>
    <row r="279">
      <c r="A279" s="28" t="inlineStr">
        <is>
          <t>COMMENT ON TABLE m_product IS '商品';</t>
        </is>
      </c>
    </row>
    <row r="280">
      <c r="A280" s="28" t="inlineStr">
        <is>
          <t>COMMENT ON COLUMN m_product.id IS '商品ID';</t>
        </is>
      </c>
    </row>
    <row r="281">
      <c r="A281" s="28" t="inlineStr">
        <is>
          <t>COMMENT ON COLUMN m_product.product_code IS '商品コード';</t>
        </is>
      </c>
    </row>
    <row r="282">
      <c r="A282" s="28" t="inlineStr">
        <is>
          <t>COMMENT ON COLUMN m_product.name IS '商品名';</t>
        </is>
      </c>
    </row>
    <row r="283">
      <c r="A283" s="28" t="inlineStr">
        <is>
          <t>COMMENT ON COLUMN m_product.supplier_id IS '主仕入先ID';</t>
        </is>
      </c>
    </row>
    <row r="284">
      <c r="A284" s="28" t="inlineStr">
        <is>
          <t>COMMENT ON COLUMN m_product.source_type IS '由来';</t>
        </is>
      </c>
    </row>
    <row r="285">
      <c r="A285" s="28" t="inlineStr">
        <is>
          <t>COMMENT ON COLUMN m_product.form IS '形態';</t>
        </is>
      </c>
    </row>
    <row r="286">
      <c r="A286" s="28" t="inlineStr">
        <is>
          <t>COMMENT ON COLUMN m_product.particle_conc IS '粒子濃度（個/mL）';</t>
        </is>
      </c>
    </row>
    <row r="287">
      <c r="A287" s="28" t="inlineStr">
        <is>
          <t>COMMENT ON COLUMN m_product.volume_ml IS '内容量（mL）';</t>
        </is>
      </c>
    </row>
    <row r="288">
      <c r="A288" s="28" t="inlineStr">
        <is>
          <t>COMMENT ON COLUMN m_product.unit IS '販売単位';</t>
        </is>
      </c>
    </row>
    <row r="289">
      <c r="A289" s="28" t="inlineStr">
        <is>
          <t>COMMENT ON COLUMN m_product.storage_class IS '保管温度区分';</t>
        </is>
      </c>
    </row>
    <row r="290">
      <c r="A290" s="28" t="inlineStr">
        <is>
          <t>COMMENT ON COLUMN m_product.shelf_life_days IS '有効期間（日）';</t>
        </is>
      </c>
    </row>
    <row r="291">
      <c r="A291" s="28" t="inlineStr">
        <is>
          <t>COMMENT ON COLUMN m_product.min_remaining_days IS '最低出荷残期間（日）';</t>
        </is>
      </c>
    </row>
    <row r="292">
      <c r="A292" s="28" t="inlineStr">
        <is>
          <t>COMMENT ON COLUMN m_product.regulatory_class IS '規制区分';</t>
        </is>
      </c>
    </row>
    <row r="293">
      <c r="A293" s="28" t="inlineStr">
        <is>
          <t>COMMENT ON COLUMN m_product.standard_cost IS '標準原価（円）';</t>
        </is>
      </c>
    </row>
    <row r="294">
      <c r="A294" s="28" t="inlineStr">
        <is>
          <t>COMMENT ON COLUMN m_product.list_price IS '標準売価（円）';</t>
        </is>
      </c>
    </row>
    <row r="295">
      <c r="A295" s="28" t="inlineStr">
        <is>
          <t>COMMENT ON COLUMN m_product.reorder_point IS '発注点';</t>
        </is>
      </c>
    </row>
    <row r="296">
      <c r="A296" s="28" t="inlineStr">
        <is>
          <t>COMMENT ON COLUMN m_product.is_active IS '有効フラグ';</t>
        </is>
      </c>
    </row>
    <row r="297">
      <c r="A297" s="28" t="inlineStr">
        <is>
          <t>COMMENT ON COLUMN m_product.created_at IS '作成日時';</t>
        </is>
      </c>
    </row>
    <row r="298">
      <c r="A298" s="28" t="inlineStr">
        <is>
          <t>COMMENT ON COLUMN m_product.created_by IS '作成者';</t>
        </is>
      </c>
    </row>
    <row r="299">
      <c r="A299" s="28" t="inlineStr">
        <is>
          <t>COMMENT ON COLUMN m_product.updated_at IS '更新日時';</t>
        </is>
      </c>
    </row>
    <row r="300">
      <c r="A300" s="28" t="inlineStr">
        <is>
          <t>COMMENT ON COLUMN m_product.updated_by IS '更新者';</t>
        </is>
      </c>
    </row>
    <row r="301">
      <c r="A301" s="28" t="inlineStr">
        <is>
          <t>COMMENT ON COLUMN m_product.version IS '版数';</t>
        </is>
      </c>
    </row>
    <row r="302">
      <c r="A302" s="28" t="inlineStr"/>
    </row>
    <row r="303">
      <c r="A303" s="28" t="inlineStr">
        <is>
          <t>-- 納品先：顧客ごとの納品先</t>
        </is>
      </c>
    </row>
    <row r="304">
      <c r="A304" s="28" t="inlineStr">
        <is>
          <t>CREATE TABLE m_ship_to (</t>
        </is>
      </c>
    </row>
    <row r="305">
      <c r="A305" s="28" t="inlineStr">
        <is>
          <t xml:space="preserve">  id BIGINT GENERATED ALWAYS AS IDENTITY PRIMARY KEY,</t>
        </is>
      </c>
    </row>
    <row r="306">
      <c r="A306" s="28" t="inlineStr">
        <is>
          <t xml:space="preserve">  customer_id BIGINT NOT NULL REFERENCES m_customer(id),</t>
        </is>
      </c>
    </row>
    <row r="307">
      <c r="A307" s="28" t="inlineStr">
        <is>
          <t xml:space="preserve">  name VARCHAR(100) NOT NULL,</t>
        </is>
      </c>
    </row>
    <row r="308">
      <c r="A308" s="28" t="inlineStr">
        <is>
          <t xml:space="preserve">  postal_code VARCHAR(8),</t>
        </is>
      </c>
    </row>
    <row r="309">
      <c r="A309" s="28" t="inlineStr">
        <is>
          <t xml:space="preserve">  address VARCHAR(200) NOT NULL,</t>
        </is>
      </c>
    </row>
    <row r="310">
      <c r="A310" s="28" t="inlineStr">
        <is>
          <t xml:space="preserve">  phone VARCHAR(20),</t>
        </is>
      </c>
    </row>
    <row r="311">
      <c r="A311" s="28" t="inlineStr">
        <is>
          <t xml:space="preserve">  contact_name VARCHAR(50),</t>
        </is>
      </c>
    </row>
    <row r="312">
      <c r="A312" s="28" t="inlineStr">
        <is>
          <t xml:space="preserve">  email VARCHAR(254),</t>
        </is>
      </c>
    </row>
    <row r="313">
      <c r="A313" s="28" t="inlineStr">
        <is>
          <t xml:space="preserve">  is_default BOOLEAN NOT NULL DEFAULT false,</t>
        </is>
      </c>
    </row>
    <row r="314">
      <c r="A314" s="28" t="inlineStr">
        <is>
          <t xml:space="preserve">  is_active BOOLEAN NOT NULL DEFAULT true,</t>
        </is>
      </c>
    </row>
    <row r="315">
      <c r="A315" s="28" t="inlineStr">
        <is>
          <t xml:space="preserve">  created_at TIMESTAMPTZ NOT NULL DEFAULT now(),</t>
        </is>
      </c>
    </row>
    <row r="316">
      <c r="A316" s="28" t="inlineStr">
        <is>
          <t xml:space="preserve">  created_by BIGINT NOT NULL REFERENCES m_user(id),</t>
        </is>
      </c>
    </row>
    <row r="317">
      <c r="A317" s="28" t="inlineStr">
        <is>
          <t xml:space="preserve">  updated_at TIMESTAMPTZ NOT NULL DEFAULT now(),</t>
        </is>
      </c>
    </row>
    <row r="318">
      <c r="A318" s="28" t="inlineStr">
        <is>
          <t xml:space="preserve">  updated_by BIGINT NOT NULL REFERENCES m_user(id),</t>
        </is>
      </c>
    </row>
    <row r="319">
      <c r="A319" s="28" t="inlineStr">
        <is>
          <t xml:space="preserve">  version INTEGER NOT NULL DEFAULT 1</t>
        </is>
      </c>
    </row>
    <row r="320">
      <c r="A320" s="28" t="inlineStr">
        <is>
          <t>);</t>
        </is>
      </c>
    </row>
    <row r="321">
      <c r="A321" s="28" t="inlineStr">
        <is>
          <t>COMMENT ON TABLE m_ship_to IS '納品先';</t>
        </is>
      </c>
    </row>
    <row r="322">
      <c r="A322" s="28" t="inlineStr">
        <is>
          <t>COMMENT ON COLUMN m_ship_to.id IS '納品先ID';</t>
        </is>
      </c>
    </row>
    <row r="323">
      <c r="A323" s="28" t="inlineStr">
        <is>
          <t>COMMENT ON COLUMN m_ship_to.customer_id IS '顧客ID';</t>
        </is>
      </c>
    </row>
    <row r="324">
      <c r="A324" s="28" t="inlineStr">
        <is>
          <t>COMMENT ON COLUMN m_ship_to.name IS '納品先名';</t>
        </is>
      </c>
    </row>
    <row r="325">
      <c r="A325" s="28" t="inlineStr">
        <is>
          <t>COMMENT ON COLUMN m_ship_to.postal_code IS '郵便番号';</t>
        </is>
      </c>
    </row>
    <row r="326">
      <c r="A326" s="28" t="inlineStr">
        <is>
          <t>COMMENT ON COLUMN m_ship_to.address IS '住所';</t>
        </is>
      </c>
    </row>
    <row r="327">
      <c r="A327" s="28" t="inlineStr">
        <is>
          <t>COMMENT ON COLUMN m_ship_to.phone IS '電話番号';</t>
        </is>
      </c>
    </row>
    <row r="328">
      <c r="A328" s="28" t="inlineStr">
        <is>
          <t>COMMENT ON COLUMN m_ship_to.contact_name IS '担当者名';</t>
        </is>
      </c>
    </row>
    <row r="329">
      <c r="A329" s="28" t="inlineStr">
        <is>
          <t>COMMENT ON COLUMN m_ship_to.email IS 'メール';</t>
        </is>
      </c>
    </row>
    <row r="330">
      <c r="A330" s="28" t="inlineStr">
        <is>
          <t>COMMENT ON COLUMN m_ship_to.is_default IS '既定フラグ';</t>
        </is>
      </c>
    </row>
    <row r="331">
      <c r="A331" s="28" t="inlineStr">
        <is>
          <t>COMMENT ON COLUMN m_ship_to.is_active IS '有効フラグ';</t>
        </is>
      </c>
    </row>
    <row r="332">
      <c r="A332" s="28" t="inlineStr">
        <is>
          <t>COMMENT ON COLUMN m_ship_to.created_at IS '作成日時';</t>
        </is>
      </c>
    </row>
    <row r="333">
      <c r="A333" s="28" t="inlineStr">
        <is>
          <t>COMMENT ON COLUMN m_ship_to.created_by IS '作成者';</t>
        </is>
      </c>
    </row>
    <row r="334">
      <c r="A334" s="28" t="inlineStr">
        <is>
          <t>COMMENT ON COLUMN m_ship_to.updated_at IS '更新日時';</t>
        </is>
      </c>
    </row>
    <row r="335">
      <c r="A335" s="28" t="inlineStr">
        <is>
          <t>COMMENT ON COLUMN m_ship_to.updated_by IS '更新者';</t>
        </is>
      </c>
    </row>
    <row r="336">
      <c r="A336" s="28" t="inlineStr">
        <is>
          <t>COMMENT ON COLUMN m_ship_to.version IS '版数';</t>
        </is>
      </c>
    </row>
    <row r="337">
      <c r="A337" s="28" t="inlineStr"/>
    </row>
    <row r="338">
      <c r="A338" s="28" t="inlineStr">
        <is>
          <t>-- 発注：発注ヘッダ</t>
        </is>
      </c>
    </row>
    <row r="339">
      <c r="A339" s="28" t="inlineStr">
        <is>
          <t>CREATE TABLE t_purchase_order (</t>
        </is>
      </c>
    </row>
    <row r="340">
      <c r="A340" s="28" t="inlineStr">
        <is>
          <t xml:space="preserve">  id BIGINT GENERATED ALWAYS AS IDENTITY PRIMARY KEY,</t>
        </is>
      </c>
    </row>
    <row r="341">
      <c r="A341" s="28" t="inlineStr">
        <is>
          <t xml:space="preserve">  po_no VARCHAR(20) NOT NULL,</t>
        </is>
      </c>
    </row>
    <row r="342">
      <c r="A342" s="28" t="inlineStr">
        <is>
          <t xml:space="preserve">  supplier_id BIGINT NOT NULL REFERENCES m_supplier(id),</t>
        </is>
      </c>
    </row>
    <row r="343">
      <c r="A343" s="28" t="inlineStr">
        <is>
          <t xml:space="preserve">  order_date DATE NOT NULL,</t>
        </is>
      </c>
    </row>
    <row r="344">
      <c r="A344" s="28" t="inlineStr">
        <is>
          <t xml:space="preserve">  expected_date DATE,</t>
        </is>
      </c>
    </row>
    <row r="345">
      <c r="A345" s="28" t="inlineStr">
        <is>
          <t xml:space="preserve">  status VARCHAR(20) NOT NULL DEFAULT 'DRAFT',</t>
        </is>
      </c>
    </row>
    <row r="346">
      <c r="A346" s="28" t="inlineStr">
        <is>
          <t xml:space="preserve">  approved_by BIGINT REFERENCES m_user(id),</t>
        </is>
      </c>
    </row>
    <row r="347">
      <c r="A347" s="28" t="inlineStr">
        <is>
          <t xml:space="preserve">  approved_at TIMESTAMPTZ,</t>
        </is>
      </c>
    </row>
    <row r="348">
      <c r="A348" s="28" t="inlineStr">
        <is>
          <t xml:space="preserve">  note TEXT,</t>
        </is>
      </c>
    </row>
    <row r="349">
      <c r="A349" s="28" t="inlineStr">
        <is>
          <t xml:space="preserve">  created_at TIMESTAMPTZ NOT NULL DEFAULT now(),</t>
        </is>
      </c>
    </row>
    <row r="350">
      <c r="A350" s="28" t="inlineStr">
        <is>
          <t xml:space="preserve">  created_by BIGINT NOT NULL REFERENCES m_user(id),</t>
        </is>
      </c>
    </row>
    <row r="351">
      <c r="A351" s="28" t="inlineStr">
        <is>
          <t xml:space="preserve">  updated_at TIMESTAMPTZ NOT NULL DEFAULT now(),</t>
        </is>
      </c>
    </row>
    <row r="352">
      <c r="A352" s="28" t="inlineStr">
        <is>
          <t xml:space="preserve">  updated_by BIGINT NOT NULL REFERENCES m_user(id),</t>
        </is>
      </c>
    </row>
    <row r="353">
      <c r="A353" s="28" t="inlineStr">
        <is>
          <t xml:space="preserve">  version INTEGER NOT NULL DEFAULT 1</t>
        </is>
      </c>
    </row>
    <row r="354">
      <c r="A354" s="28" t="inlineStr">
        <is>
          <t>);</t>
        </is>
      </c>
    </row>
    <row r="355">
      <c r="A355" s="28" t="inlineStr">
        <is>
          <t>COMMENT ON TABLE t_purchase_order IS '発注';</t>
        </is>
      </c>
    </row>
    <row r="356">
      <c r="A356" s="28" t="inlineStr">
        <is>
          <t>COMMENT ON COLUMN t_purchase_order.id IS '発注ID';</t>
        </is>
      </c>
    </row>
    <row r="357">
      <c r="A357" s="28" t="inlineStr">
        <is>
          <t>COMMENT ON COLUMN t_purchase_order.po_no IS '発注番号';</t>
        </is>
      </c>
    </row>
    <row r="358">
      <c r="A358" s="28" t="inlineStr">
        <is>
          <t>COMMENT ON COLUMN t_purchase_order.supplier_id IS '仕入先ID';</t>
        </is>
      </c>
    </row>
    <row r="359">
      <c r="A359" s="28" t="inlineStr">
        <is>
          <t>COMMENT ON COLUMN t_purchase_order.order_date IS '発注日';</t>
        </is>
      </c>
    </row>
    <row r="360">
      <c r="A360" s="28" t="inlineStr">
        <is>
          <t>COMMENT ON COLUMN t_purchase_order.expected_date IS '入荷予定日';</t>
        </is>
      </c>
    </row>
    <row r="361">
      <c r="A361" s="28" t="inlineStr">
        <is>
          <t>COMMENT ON COLUMN t_purchase_order.status IS 'ステータス';</t>
        </is>
      </c>
    </row>
    <row r="362">
      <c r="A362" s="28" t="inlineStr">
        <is>
          <t>COMMENT ON COLUMN t_purchase_order.approved_by IS '承認者';</t>
        </is>
      </c>
    </row>
    <row r="363">
      <c r="A363" s="28" t="inlineStr">
        <is>
          <t>COMMENT ON COLUMN t_purchase_order.approved_at IS '承認日時';</t>
        </is>
      </c>
    </row>
    <row r="364">
      <c r="A364" s="28" t="inlineStr">
        <is>
          <t>COMMENT ON COLUMN t_purchase_order.note IS '備考';</t>
        </is>
      </c>
    </row>
    <row r="365">
      <c r="A365" s="28" t="inlineStr">
        <is>
          <t>COMMENT ON COLUMN t_purchase_order.created_at IS '作成日時';</t>
        </is>
      </c>
    </row>
    <row r="366">
      <c r="A366" s="28" t="inlineStr">
        <is>
          <t>COMMENT ON COLUMN t_purchase_order.created_by IS '作成者';</t>
        </is>
      </c>
    </row>
    <row r="367">
      <c r="A367" s="28" t="inlineStr">
        <is>
          <t>COMMENT ON COLUMN t_purchase_order.updated_at IS '更新日時';</t>
        </is>
      </c>
    </row>
    <row r="368">
      <c r="A368" s="28" t="inlineStr">
        <is>
          <t>COMMENT ON COLUMN t_purchase_order.updated_by IS '更新者';</t>
        </is>
      </c>
    </row>
    <row r="369">
      <c r="A369" s="28" t="inlineStr">
        <is>
          <t>COMMENT ON COLUMN t_purchase_order.version IS '版数';</t>
        </is>
      </c>
    </row>
    <row r="370">
      <c r="A370" s="28" t="inlineStr"/>
    </row>
    <row r="371">
      <c r="A371" s="28" t="inlineStr">
        <is>
          <t>-- 温度記録：保管場所の温度記録</t>
        </is>
      </c>
    </row>
    <row r="372">
      <c r="A372" s="28" t="inlineStr">
        <is>
          <t>CREATE TABLE t_temperature_log (</t>
        </is>
      </c>
    </row>
    <row r="373">
      <c r="A373" s="28" t="inlineStr">
        <is>
          <t xml:space="preserve">  id BIGINT GENERATED ALWAYS AS IDENTITY PRIMARY KEY,</t>
        </is>
      </c>
    </row>
    <row r="374">
      <c r="A374" s="28" t="inlineStr">
        <is>
          <t xml:space="preserve">  location_id BIGINT NOT NULL REFERENCES m_location(id),</t>
        </is>
      </c>
    </row>
    <row r="375">
      <c r="A375" s="28" t="inlineStr">
        <is>
          <t xml:space="preserve">  measured_at TIMESTAMPTZ NOT NULL,</t>
        </is>
      </c>
    </row>
    <row r="376">
      <c r="A376" s="28" t="inlineStr">
        <is>
          <t xml:space="preserve">  temperature NUMERIC(5,1) NOT NULL,</t>
        </is>
      </c>
    </row>
    <row r="377">
      <c r="A377" s="28" t="inlineStr">
        <is>
          <t xml:space="preserve">  is_excursion BOOLEAN NOT NULL DEFAULT false,</t>
        </is>
      </c>
    </row>
    <row r="378">
      <c r="A378" s="28" t="inlineStr">
        <is>
          <t xml:space="preserve">  source VARCHAR(10) NOT NULL DEFAULT 'MANUAL',</t>
        </is>
      </c>
    </row>
    <row r="379">
      <c r="A379" s="28" t="inlineStr">
        <is>
          <t xml:space="preserve">  created_at TIMESTAMPTZ NOT NULL DEFAULT now(),</t>
        </is>
      </c>
    </row>
    <row r="380">
      <c r="A380" s="28" t="inlineStr">
        <is>
          <t xml:space="preserve">  created_by BIGINT NOT NULL REFERENCES m_user(id)</t>
        </is>
      </c>
    </row>
    <row r="381">
      <c r="A381" s="28" t="inlineStr">
        <is>
          <t>);</t>
        </is>
      </c>
    </row>
    <row r="382">
      <c r="A382" s="28" t="inlineStr">
        <is>
          <t>COMMENT ON TABLE t_temperature_log IS '温度記録';</t>
        </is>
      </c>
    </row>
    <row r="383">
      <c r="A383" s="28" t="inlineStr">
        <is>
          <t>COMMENT ON COLUMN t_temperature_log.id IS 'ID';</t>
        </is>
      </c>
    </row>
    <row r="384">
      <c r="A384" s="28" t="inlineStr">
        <is>
          <t>COMMENT ON COLUMN t_temperature_log.location_id IS '保管場所ID';</t>
        </is>
      </c>
    </row>
    <row r="385">
      <c r="A385" s="28" t="inlineStr">
        <is>
          <t>COMMENT ON COLUMN t_temperature_log.measured_at IS '測定日時';</t>
        </is>
      </c>
    </row>
    <row r="386">
      <c r="A386" s="28" t="inlineStr">
        <is>
          <t>COMMENT ON COLUMN t_temperature_log.temperature IS '温度（℃）';</t>
        </is>
      </c>
    </row>
    <row r="387">
      <c r="A387" s="28" t="inlineStr">
        <is>
          <t>COMMENT ON COLUMN t_temperature_log.is_excursion IS '逸脱フラグ';</t>
        </is>
      </c>
    </row>
    <row r="388">
      <c r="A388" s="28" t="inlineStr">
        <is>
          <t>COMMENT ON COLUMN t_temperature_log.source IS '入力元';</t>
        </is>
      </c>
    </row>
    <row r="389">
      <c r="A389" s="28" t="inlineStr">
        <is>
          <t>COMMENT ON COLUMN t_temperature_log.created_at IS '作成日時';</t>
        </is>
      </c>
    </row>
    <row r="390">
      <c r="A390" s="28" t="inlineStr">
        <is>
          <t>COMMENT ON COLUMN t_temperature_log.created_by IS '作成者';</t>
        </is>
      </c>
    </row>
    <row r="391">
      <c r="A391" s="28" t="inlineStr"/>
    </row>
    <row r="392">
      <c r="A392" s="28" t="inlineStr">
        <is>
          <t>-- 発注明細：発注明細</t>
        </is>
      </c>
    </row>
    <row r="393">
      <c r="A393" s="28" t="inlineStr">
        <is>
          <t>CREATE TABLE t_purchase_order_line (</t>
        </is>
      </c>
    </row>
    <row r="394">
      <c r="A394" s="28" t="inlineStr">
        <is>
          <t xml:space="preserve">  id BIGINT GENERATED ALWAYS AS IDENTITY PRIMARY KEY,</t>
        </is>
      </c>
    </row>
    <row r="395">
      <c r="A395" s="28" t="inlineStr">
        <is>
          <t xml:space="preserve">  purchase_order_id BIGINT NOT NULL REFERENCES t_purchase_order(id),</t>
        </is>
      </c>
    </row>
    <row r="396">
      <c r="A396" s="28" t="inlineStr">
        <is>
          <t xml:space="preserve">  line_no INTEGER NOT NULL,</t>
        </is>
      </c>
    </row>
    <row r="397">
      <c r="A397" s="28" t="inlineStr">
        <is>
          <t xml:space="preserve">  product_id BIGINT NOT NULL REFERENCES m_product(id),</t>
        </is>
      </c>
    </row>
    <row r="398">
      <c r="A398" s="28" t="inlineStr">
        <is>
          <t xml:space="preserve">  quantity INTEGER NOT NULL,</t>
        </is>
      </c>
    </row>
    <row r="399">
      <c r="A399" s="28" t="inlineStr">
        <is>
          <t xml:space="preserve">  unit_price NUMERIC(12,2) NOT NULL,</t>
        </is>
      </c>
    </row>
    <row r="400">
      <c r="A400" s="28" t="inlineStr">
        <is>
          <t xml:space="preserve">  received_qty INTEGER NOT NULL DEFAULT 0,</t>
        </is>
      </c>
    </row>
    <row r="401">
      <c r="A401" s="28" t="inlineStr">
        <is>
          <t xml:space="preserve">  created_at TIMESTAMPTZ NOT NULL DEFAULT now(),</t>
        </is>
      </c>
    </row>
    <row r="402">
      <c r="A402" s="28" t="inlineStr">
        <is>
          <t xml:space="preserve">  created_by BIGINT NOT NULL REFERENCES m_user(id),</t>
        </is>
      </c>
    </row>
    <row r="403">
      <c r="A403" s="28" t="inlineStr">
        <is>
          <t xml:space="preserve">  updated_at TIMESTAMPTZ NOT NULL DEFAULT now(),</t>
        </is>
      </c>
    </row>
    <row r="404">
      <c r="A404" s="28" t="inlineStr">
        <is>
          <t xml:space="preserve">  updated_by BIGINT NOT NULL REFERENCES m_user(id),</t>
        </is>
      </c>
    </row>
    <row r="405">
      <c r="A405" s="28" t="inlineStr">
        <is>
          <t xml:space="preserve">  version INTEGER NOT NULL DEFAULT 1</t>
        </is>
      </c>
    </row>
    <row r="406">
      <c r="A406" s="28" t="inlineStr">
        <is>
          <t>);</t>
        </is>
      </c>
    </row>
    <row r="407">
      <c r="A407" s="28" t="inlineStr">
        <is>
          <t>COMMENT ON TABLE t_purchase_order_line IS '発注明細';</t>
        </is>
      </c>
    </row>
    <row r="408">
      <c r="A408" s="28" t="inlineStr">
        <is>
          <t>COMMENT ON COLUMN t_purchase_order_line.id IS '発注明細ID';</t>
        </is>
      </c>
    </row>
    <row r="409">
      <c r="A409" s="28" t="inlineStr">
        <is>
          <t>COMMENT ON COLUMN t_purchase_order_line.purchase_order_id IS '発注ID';</t>
        </is>
      </c>
    </row>
    <row r="410">
      <c r="A410" s="28" t="inlineStr">
        <is>
          <t>COMMENT ON COLUMN t_purchase_order_line.line_no IS '行番号';</t>
        </is>
      </c>
    </row>
    <row r="411">
      <c r="A411" s="28" t="inlineStr">
        <is>
          <t>COMMENT ON COLUMN t_purchase_order_line.product_id IS '商品ID';</t>
        </is>
      </c>
    </row>
    <row r="412">
      <c r="A412" s="28" t="inlineStr">
        <is>
          <t>COMMENT ON COLUMN t_purchase_order_line.quantity IS '発注数量';</t>
        </is>
      </c>
    </row>
    <row r="413">
      <c r="A413" s="28" t="inlineStr">
        <is>
          <t>COMMENT ON COLUMN t_purchase_order_line.unit_price IS '仕入単価（円）';</t>
        </is>
      </c>
    </row>
    <row r="414">
      <c r="A414" s="28" t="inlineStr">
        <is>
          <t>COMMENT ON COLUMN t_purchase_order_line.received_qty IS '入荷済数量';</t>
        </is>
      </c>
    </row>
    <row r="415">
      <c r="A415" s="28" t="inlineStr">
        <is>
          <t>COMMENT ON COLUMN t_purchase_order_line.created_at IS '作成日時';</t>
        </is>
      </c>
    </row>
    <row r="416">
      <c r="A416" s="28" t="inlineStr">
        <is>
          <t>COMMENT ON COLUMN t_purchase_order_line.created_by IS '作成者';</t>
        </is>
      </c>
    </row>
    <row r="417">
      <c r="A417" s="28" t="inlineStr">
        <is>
          <t>COMMENT ON COLUMN t_purchase_order_line.updated_at IS '更新日時';</t>
        </is>
      </c>
    </row>
    <row r="418">
      <c r="A418" s="28" t="inlineStr">
        <is>
          <t>COMMENT ON COLUMN t_purchase_order_line.updated_by IS '更新者';</t>
        </is>
      </c>
    </row>
    <row r="419">
      <c r="A419" s="28" t="inlineStr">
        <is>
          <t>COMMENT ON COLUMN t_purchase_order_line.version IS '版数';</t>
        </is>
      </c>
    </row>
    <row r="420">
      <c r="A420" s="28" t="inlineStr"/>
    </row>
    <row r="421">
      <c r="A421" s="28" t="inlineStr">
        <is>
          <t>-- 入荷：入荷ヘッダ</t>
        </is>
      </c>
    </row>
    <row r="422">
      <c r="A422" s="28" t="inlineStr">
        <is>
          <t>CREATE TABLE t_receipt (</t>
        </is>
      </c>
    </row>
    <row r="423">
      <c r="A423" s="28" t="inlineStr">
        <is>
          <t xml:space="preserve">  id BIGINT GENERATED ALWAYS AS IDENTITY PRIMARY KEY,</t>
        </is>
      </c>
    </row>
    <row r="424">
      <c r="A424" s="28" t="inlineStr">
        <is>
          <t xml:space="preserve">  receipt_no VARCHAR(20) NOT NULL,</t>
        </is>
      </c>
    </row>
    <row r="425">
      <c r="A425" s="28" t="inlineStr">
        <is>
          <t xml:space="preserve">  supplier_id BIGINT NOT NULL REFERENCES m_supplier(id),</t>
        </is>
      </c>
    </row>
    <row r="426">
      <c r="A426" s="28" t="inlineStr">
        <is>
          <t xml:space="preserve">  purchase_order_id BIGINT REFERENCES t_purchase_order(id),</t>
        </is>
      </c>
    </row>
    <row r="427">
      <c r="A427" s="28" t="inlineStr">
        <is>
          <t xml:space="preserve">  receipt_date DATE NOT NULL,</t>
        </is>
      </c>
    </row>
    <row r="428">
      <c r="A428" s="28" t="inlineStr">
        <is>
          <t xml:space="preserve">  status VARCHAR(20) NOT NULL DEFAULT 'DRAFT',</t>
        </is>
      </c>
    </row>
    <row r="429">
      <c r="A429" s="28" t="inlineStr">
        <is>
          <t xml:space="preserve">  note TEXT,</t>
        </is>
      </c>
    </row>
    <row r="430">
      <c r="A430" s="28" t="inlineStr">
        <is>
          <t xml:space="preserve">  created_at TIMESTAMPTZ NOT NULL DEFAULT now(),</t>
        </is>
      </c>
    </row>
    <row r="431">
      <c r="A431" s="28" t="inlineStr">
        <is>
          <t xml:space="preserve">  created_by BIGINT NOT NULL REFERENCES m_user(id),</t>
        </is>
      </c>
    </row>
    <row r="432">
      <c r="A432" s="28" t="inlineStr">
        <is>
          <t xml:space="preserve">  updated_at TIMESTAMPTZ NOT NULL DEFAULT now(),</t>
        </is>
      </c>
    </row>
    <row r="433">
      <c r="A433" s="28" t="inlineStr">
        <is>
          <t xml:space="preserve">  updated_by BIGINT NOT NULL REFERENCES m_user(id),</t>
        </is>
      </c>
    </row>
    <row r="434">
      <c r="A434" s="28" t="inlineStr">
        <is>
          <t xml:space="preserve">  version INTEGER NOT NULL DEFAULT 1</t>
        </is>
      </c>
    </row>
    <row r="435">
      <c r="A435" s="28" t="inlineStr">
        <is>
          <t>);</t>
        </is>
      </c>
    </row>
    <row r="436">
      <c r="A436" s="28" t="inlineStr">
        <is>
          <t>COMMENT ON TABLE t_receipt IS '入荷';</t>
        </is>
      </c>
    </row>
    <row r="437">
      <c r="A437" s="28" t="inlineStr">
        <is>
          <t>COMMENT ON COLUMN t_receipt.id IS '入荷ID';</t>
        </is>
      </c>
    </row>
    <row r="438">
      <c r="A438" s="28" t="inlineStr">
        <is>
          <t>COMMENT ON COLUMN t_receipt.receipt_no IS '入荷番号';</t>
        </is>
      </c>
    </row>
    <row r="439">
      <c r="A439" s="28" t="inlineStr">
        <is>
          <t>COMMENT ON COLUMN t_receipt.supplier_id IS '仕入先ID';</t>
        </is>
      </c>
    </row>
    <row r="440">
      <c r="A440" s="28" t="inlineStr">
        <is>
          <t>COMMENT ON COLUMN t_receipt.purchase_order_id IS '発注ID';</t>
        </is>
      </c>
    </row>
    <row r="441">
      <c r="A441" s="28" t="inlineStr">
        <is>
          <t>COMMENT ON COLUMN t_receipt.receipt_date IS '入荷日';</t>
        </is>
      </c>
    </row>
    <row r="442">
      <c r="A442" s="28" t="inlineStr">
        <is>
          <t>COMMENT ON COLUMN t_receipt.status IS 'ステータス';</t>
        </is>
      </c>
    </row>
    <row r="443">
      <c r="A443" s="28" t="inlineStr">
        <is>
          <t>COMMENT ON COLUMN t_receipt.note IS '備考';</t>
        </is>
      </c>
    </row>
    <row r="444">
      <c r="A444" s="28" t="inlineStr">
        <is>
          <t>COMMENT ON COLUMN t_receipt.created_at IS '作成日時';</t>
        </is>
      </c>
    </row>
    <row r="445">
      <c r="A445" s="28" t="inlineStr">
        <is>
          <t>COMMENT ON COLUMN t_receipt.created_by IS '作成者';</t>
        </is>
      </c>
    </row>
    <row r="446">
      <c r="A446" s="28" t="inlineStr">
        <is>
          <t>COMMENT ON COLUMN t_receipt.updated_at IS '更新日時';</t>
        </is>
      </c>
    </row>
    <row r="447">
      <c r="A447" s="28" t="inlineStr">
        <is>
          <t>COMMENT ON COLUMN t_receipt.updated_by IS '更新者';</t>
        </is>
      </c>
    </row>
    <row r="448">
      <c r="A448" s="28" t="inlineStr">
        <is>
          <t>COMMENT ON COLUMN t_receipt.version IS '版数';</t>
        </is>
      </c>
    </row>
    <row r="449">
      <c r="A449" s="28" t="inlineStr"/>
    </row>
    <row r="450">
      <c r="A450" s="28" t="inlineStr">
        <is>
          <t>-- ロット：ロット（トレーサビリティの中核）</t>
        </is>
      </c>
    </row>
    <row r="451">
      <c r="A451" s="28" t="inlineStr">
        <is>
          <t>CREATE TABLE t_lot (</t>
        </is>
      </c>
    </row>
    <row r="452">
      <c r="A452" s="28" t="inlineStr">
        <is>
          <t xml:space="preserve">  id BIGINT GENERATED ALWAYS AS IDENTITY PRIMARY KEY,</t>
        </is>
      </c>
    </row>
    <row r="453">
      <c r="A453" s="28" t="inlineStr">
        <is>
          <t xml:space="preserve">  lot_no VARCHAR(30) NOT NULL,</t>
        </is>
      </c>
    </row>
    <row r="454">
      <c r="A454" s="28" t="inlineStr">
        <is>
          <t xml:space="preserve">  product_id BIGINT NOT NULL REFERENCES m_product(id),</t>
        </is>
      </c>
    </row>
    <row r="455">
      <c r="A455" s="28" t="inlineStr">
        <is>
          <t xml:space="preserve">  supplier_id BIGINT NOT NULL REFERENCES m_supplier(id),</t>
        </is>
      </c>
    </row>
    <row r="456">
      <c r="A456" s="28" t="inlineStr">
        <is>
          <t xml:space="preserve">  supplier_lot_no VARCHAR(50) NOT NULL,</t>
        </is>
      </c>
    </row>
    <row r="457">
      <c r="A457" s="28" t="inlineStr">
        <is>
          <t xml:space="preserve">  manufactured_on DATE,</t>
        </is>
      </c>
    </row>
    <row r="458">
      <c r="A458" s="28" t="inlineStr">
        <is>
          <t xml:space="preserve">  expires_on DATE NOT NULL,</t>
        </is>
      </c>
    </row>
    <row r="459">
      <c r="A459" s="28" t="inlineStr">
        <is>
          <t xml:space="preserve">  received_on DATE NOT NULL,</t>
        </is>
      </c>
    </row>
    <row r="460">
      <c r="A460" s="28" t="inlineStr">
        <is>
          <t xml:space="preserve">  unit_cost NUMERIC(12,2) NOT NULL,</t>
        </is>
      </c>
    </row>
    <row r="461">
      <c r="A461" s="28" t="inlineStr">
        <is>
          <t xml:space="preserve">  measured_particle_conc NUMERIC(20,0),</t>
        </is>
      </c>
    </row>
    <row r="462">
      <c r="A462" s="28" t="inlineStr">
        <is>
          <t xml:space="preserve">  status VARCHAR(20) NOT NULL DEFAULT 'QUARANTINE',</t>
        </is>
      </c>
    </row>
    <row r="463">
      <c r="A463" s="28" t="inlineStr">
        <is>
          <t xml:space="preserve">  status_reason TEXT,</t>
        </is>
      </c>
    </row>
    <row r="464">
      <c r="A464" s="28" t="inlineStr">
        <is>
          <t xml:space="preserve">  inspected_by BIGINT REFERENCES m_user(id),</t>
        </is>
      </c>
    </row>
    <row r="465">
      <c r="A465" s="28" t="inlineStr">
        <is>
          <t xml:space="preserve">  inspected_at TIMESTAMPTZ,</t>
        </is>
      </c>
    </row>
    <row r="466">
      <c r="A466" s="28" t="inlineStr">
        <is>
          <t xml:space="preserve">  created_at TIMESTAMPTZ NOT NULL DEFAULT now(),</t>
        </is>
      </c>
    </row>
    <row r="467">
      <c r="A467" s="28" t="inlineStr">
        <is>
          <t xml:space="preserve">  created_by BIGINT NOT NULL REFERENCES m_user(id),</t>
        </is>
      </c>
    </row>
    <row r="468">
      <c r="A468" s="28" t="inlineStr">
        <is>
          <t xml:space="preserve">  updated_at TIMESTAMPTZ NOT NULL DEFAULT now(),</t>
        </is>
      </c>
    </row>
    <row r="469">
      <c r="A469" s="28" t="inlineStr">
        <is>
          <t xml:space="preserve">  updated_by BIGINT NOT NULL REFERENCES m_user(id),</t>
        </is>
      </c>
    </row>
    <row r="470">
      <c r="A470" s="28" t="inlineStr">
        <is>
          <t xml:space="preserve">  version INTEGER NOT NULL DEFAULT 1</t>
        </is>
      </c>
    </row>
    <row r="471">
      <c r="A471" s="28" t="inlineStr">
        <is>
          <t>);</t>
        </is>
      </c>
    </row>
    <row r="472">
      <c r="A472" s="28" t="inlineStr">
        <is>
          <t>COMMENT ON TABLE t_lot IS 'ロット';</t>
        </is>
      </c>
    </row>
    <row r="473">
      <c r="A473" s="28" t="inlineStr">
        <is>
          <t>COMMENT ON COLUMN t_lot.id IS 'ロットID';</t>
        </is>
      </c>
    </row>
    <row r="474">
      <c r="A474" s="28" t="inlineStr">
        <is>
          <t>COMMENT ON COLUMN t_lot.lot_no IS '社内ロット番号';</t>
        </is>
      </c>
    </row>
    <row r="475">
      <c r="A475" s="28" t="inlineStr">
        <is>
          <t>COMMENT ON COLUMN t_lot.product_id IS '商品ID';</t>
        </is>
      </c>
    </row>
    <row r="476">
      <c r="A476" s="28" t="inlineStr">
        <is>
          <t>COMMENT ON COLUMN t_lot.supplier_id IS '仕入先ID';</t>
        </is>
      </c>
    </row>
    <row r="477">
      <c r="A477" s="28" t="inlineStr">
        <is>
          <t>COMMENT ON COLUMN t_lot.supplier_lot_no IS '仕入先ロット番号';</t>
        </is>
      </c>
    </row>
    <row r="478">
      <c r="A478" s="28" t="inlineStr">
        <is>
          <t>COMMENT ON COLUMN t_lot.manufactured_on IS '製造日';</t>
        </is>
      </c>
    </row>
    <row r="479">
      <c r="A479" s="28" t="inlineStr">
        <is>
          <t>COMMENT ON COLUMN t_lot.expires_on IS '使用期限';</t>
        </is>
      </c>
    </row>
    <row r="480">
      <c r="A480" s="28" t="inlineStr">
        <is>
          <t>COMMENT ON COLUMN t_lot.received_on IS '初回入荷日';</t>
        </is>
      </c>
    </row>
    <row r="481">
      <c r="A481" s="28" t="inlineStr">
        <is>
          <t>COMMENT ON COLUMN t_lot.unit_cost IS '原価単価（円）';</t>
        </is>
      </c>
    </row>
    <row r="482">
      <c r="A482" s="28" t="inlineStr">
        <is>
          <t>COMMENT ON COLUMN t_lot.measured_particle_conc IS '実測粒子濃度（個/mL）';</t>
        </is>
      </c>
    </row>
    <row r="483">
      <c r="A483" s="28" t="inlineStr">
        <is>
          <t>COMMENT ON COLUMN t_lot.status IS 'ロットステータス';</t>
        </is>
      </c>
    </row>
    <row r="484">
      <c r="A484" s="28" t="inlineStr">
        <is>
          <t>COMMENT ON COLUMN t_lot.status_reason IS '最新ステータス変更理由';</t>
        </is>
      </c>
    </row>
    <row r="485">
      <c r="A485" s="28" t="inlineStr">
        <is>
          <t>COMMENT ON COLUMN t_lot.inspected_by IS '検品者';</t>
        </is>
      </c>
    </row>
    <row r="486">
      <c r="A486" s="28" t="inlineStr">
        <is>
          <t>COMMENT ON COLUMN t_lot.inspected_at IS '検品日時';</t>
        </is>
      </c>
    </row>
    <row r="487">
      <c r="A487" s="28" t="inlineStr">
        <is>
          <t>COMMENT ON COLUMN t_lot.created_at IS '作成日時';</t>
        </is>
      </c>
    </row>
    <row r="488">
      <c r="A488" s="28" t="inlineStr">
        <is>
          <t>COMMENT ON COLUMN t_lot.created_by IS '作成者';</t>
        </is>
      </c>
    </row>
    <row r="489">
      <c r="A489" s="28" t="inlineStr">
        <is>
          <t>COMMENT ON COLUMN t_lot.updated_at IS '更新日時';</t>
        </is>
      </c>
    </row>
    <row r="490">
      <c r="A490" s="28" t="inlineStr">
        <is>
          <t>COMMENT ON COLUMN t_lot.updated_by IS '更新者';</t>
        </is>
      </c>
    </row>
    <row r="491">
      <c r="A491" s="28" t="inlineStr">
        <is>
          <t>COMMENT ON COLUMN t_lot.version IS '版数';</t>
        </is>
      </c>
    </row>
    <row r="492">
      <c r="A492" s="28" t="inlineStr"/>
    </row>
    <row r="493">
      <c r="A493" s="28" t="inlineStr">
        <is>
          <t>-- 受注：受注ヘッダ</t>
        </is>
      </c>
    </row>
    <row r="494">
      <c r="A494" s="28" t="inlineStr">
        <is>
          <t>CREATE TABLE t_sales_order (</t>
        </is>
      </c>
    </row>
    <row r="495">
      <c r="A495" s="28" t="inlineStr">
        <is>
          <t xml:space="preserve">  id BIGINT GENERATED ALWAYS AS IDENTITY PRIMARY KEY,</t>
        </is>
      </c>
    </row>
    <row r="496">
      <c r="A496" s="28" t="inlineStr">
        <is>
          <t xml:space="preserve">  so_no VARCHAR(20) NOT NULL,</t>
        </is>
      </c>
    </row>
    <row r="497">
      <c r="A497" s="28" t="inlineStr">
        <is>
          <t xml:space="preserve">  customer_id BIGINT NOT NULL REFERENCES m_customer(id),</t>
        </is>
      </c>
    </row>
    <row r="498">
      <c r="A498" s="28" t="inlineStr">
        <is>
          <t xml:space="preserve">  ship_to_id BIGINT NOT NULL REFERENCES m_ship_to(id),</t>
        </is>
      </c>
    </row>
    <row r="499">
      <c r="A499" s="28" t="inlineStr">
        <is>
          <t xml:space="preserve">  order_date DATE NOT NULL,</t>
        </is>
      </c>
    </row>
    <row r="500">
      <c r="A500" s="28" t="inlineStr">
        <is>
          <t xml:space="preserve">  requested_date DATE,</t>
        </is>
      </c>
    </row>
    <row r="501">
      <c r="A501" s="28" t="inlineStr">
        <is>
          <t xml:space="preserve">  sales_user_id BIGINT NOT NULL REFERENCES m_user(id),</t>
        </is>
      </c>
    </row>
    <row r="502">
      <c r="A502" s="28" t="inlineStr">
        <is>
          <t xml:space="preserve">  credit_approved_by BIGINT REFERENCES m_user(id),</t>
        </is>
      </c>
    </row>
    <row r="503">
      <c r="A503" s="28" t="inlineStr">
        <is>
          <t xml:space="preserve">  credit_approved_at TIMESTAMPTZ,</t>
        </is>
      </c>
    </row>
    <row r="504">
      <c r="A504" s="28" t="inlineStr">
        <is>
          <t xml:space="preserve">  status VARCHAR(20) NOT NULL DEFAULT 'OPEN',</t>
        </is>
      </c>
    </row>
    <row r="505">
      <c r="A505" s="28" t="inlineStr">
        <is>
          <t xml:space="preserve">  note TEXT,</t>
        </is>
      </c>
    </row>
    <row r="506">
      <c r="A506" s="28" t="inlineStr">
        <is>
          <t xml:space="preserve">  created_at TIMESTAMPTZ NOT NULL DEFAULT now(),</t>
        </is>
      </c>
    </row>
    <row r="507">
      <c r="A507" s="28" t="inlineStr">
        <is>
          <t xml:space="preserve">  created_by BIGINT NOT NULL REFERENCES m_user(id),</t>
        </is>
      </c>
    </row>
    <row r="508">
      <c r="A508" s="28" t="inlineStr">
        <is>
          <t xml:space="preserve">  updated_at TIMESTAMPTZ NOT NULL DEFAULT now(),</t>
        </is>
      </c>
    </row>
    <row r="509">
      <c r="A509" s="28" t="inlineStr">
        <is>
          <t xml:space="preserve">  updated_by BIGINT NOT NULL REFERENCES m_user(id),</t>
        </is>
      </c>
    </row>
    <row r="510">
      <c r="A510" s="28" t="inlineStr">
        <is>
          <t xml:space="preserve">  version INTEGER NOT NULL DEFAULT 1</t>
        </is>
      </c>
    </row>
    <row r="511">
      <c r="A511" s="28" t="inlineStr">
        <is>
          <t>);</t>
        </is>
      </c>
    </row>
    <row r="512">
      <c r="A512" s="28" t="inlineStr">
        <is>
          <t>COMMENT ON TABLE t_sales_order IS '受注';</t>
        </is>
      </c>
    </row>
    <row r="513">
      <c r="A513" s="28" t="inlineStr">
        <is>
          <t>COMMENT ON COLUMN t_sales_order.id IS '受注ID';</t>
        </is>
      </c>
    </row>
    <row r="514">
      <c r="A514" s="28" t="inlineStr">
        <is>
          <t>COMMENT ON COLUMN t_sales_order.so_no IS '受注番号';</t>
        </is>
      </c>
    </row>
    <row r="515">
      <c r="A515" s="28" t="inlineStr">
        <is>
          <t>COMMENT ON COLUMN t_sales_order.customer_id IS '顧客ID';</t>
        </is>
      </c>
    </row>
    <row r="516">
      <c r="A516" s="28" t="inlineStr">
        <is>
          <t>COMMENT ON COLUMN t_sales_order.ship_to_id IS '納品先ID';</t>
        </is>
      </c>
    </row>
    <row r="517">
      <c r="A517" s="28" t="inlineStr">
        <is>
          <t>COMMENT ON COLUMN t_sales_order.order_date IS '受注日';</t>
        </is>
      </c>
    </row>
    <row r="518">
      <c r="A518" s="28" t="inlineStr">
        <is>
          <t>COMMENT ON COLUMN t_sales_order.requested_date IS '希望納期';</t>
        </is>
      </c>
    </row>
    <row r="519">
      <c r="A519" s="28" t="inlineStr">
        <is>
          <t>COMMENT ON COLUMN t_sales_order.sales_user_id IS '営業担当';</t>
        </is>
      </c>
    </row>
    <row r="520">
      <c r="A520" s="28" t="inlineStr">
        <is>
          <t>COMMENT ON COLUMN t_sales_order.credit_approved_by IS '与信超過承認者';</t>
        </is>
      </c>
    </row>
    <row r="521">
      <c r="A521" s="28" t="inlineStr">
        <is>
          <t>COMMENT ON COLUMN t_sales_order.credit_approved_at IS '与信超過承認日時';</t>
        </is>
      </c>
    </row>
    <row r="522">
      <c r="A522" s="28" t="inlineStr">
        <is>
          <t>COMMENT ON COLUMN t_sales_order.status IS 'ステータス';</t>
        </is>
      </c>
    </row>
    <row r="523">
      <c r="A523" s="28" t="inlineStr">
        <is>
          <t>COMMENT ON COLUMN t_sales_order.note IS '備考';</t>
        </is>
      </c>
    </row>
    <row r="524">
      <c r="A524" s="28" t="inlineStr">
        <is>
          <t>COMMENT ON COLUMN t_sales_order.created_at IS '作成日時';</t>
        </is>
      </c>
    </row>
    <row r="525">
      <c r="A525" s="28" t="inlineStr">
        <is>
          <t>COMMENT ON COLUMN t_sales_order.created_by IS '作成者';</t>
        </is>
      </c>
    </row>
    <row r="526">
      <c r="A526" s="28" t="inlineStr">
        <is>
          <t>COMMENT ON COLUMN t_sales_order.updated_at IS '更新日時';</t>
        </is>
      </c>
    </row>
    <row r="527">
      <c r="A527" s="28" t="inlineStr">
        <is>
          <t>COMMENT ON COLUMN t_sales_order.updated_by IS '更新者';</t>
        </is>
      </c>
    </row>
    <row r="528">
      <c r="A528" s="28" t="inlineStr">
        <is>
          <t>COMMENT ON COLUMN t_sales_order.version IS '版数';</t>
        </is>
      </c>
    </row>
    <row r="529">
      <c r="A529" s="28" t="inlineStr"/>
    </row>
    <row r="530">
      <c r="A530" s="28" t="inlineStr">
        <is>
          <t>-- 入荷明細：入荷明細（入荷明細:ロット＝多:1。分納は同一ロットに加算）</t>
        </is>
      </c>
    </row>
    <row r="531">
      <c r="A531" s="28" t="inlineStr">
        <is>
          <t>CREATE TABLE t_receipt_line (</t>
        </is>
      </c>
    </row>
    <row r="532">
      <c r="A532" s="28" t="inlineStr">
        <is>
          <t xml:space="preserve">  id BIGINT GENERATED ALWAYS AS IDENTITY PRIMARY KEY,</t>
        </is>
      </c>
    </row>
    <row r="533">
      <c r="A533" s="28" t="inlineStr">
        <is>
          <t xml:space="preserve">  receipt_id BIGINT NOT NULL REFERENCES t_receipt(id),</t>
        </is>
      </c>
    </row>
    <row r="534">
      <c r="A534" s="28" t="inlineStr">
        <is>
          <t xml:space="preserve">  purchase_order_line_id BIGINT REFERENCES t_purchase_order_line(id),</t>
        </is>
      </c>
    </row>
    <row r="535">
      <c r="A535" s="28" t="inlineStr">
        <is>
          <t xml:space="preserve">  product_id BIGINT NOT NULL REFERENCES m_product(id),</t>
        </is>
      </c>
    </row>
    <row r="536">
      <c r="A536" s="28" t="inlineStr">
        <is>
          <t xml:space="preserve">  supplier_lot_no VARCHAR(50) NOT NULL,</t>
        </is>
      </c>
    </row>
    <row r="537">
      <c r="A537" s="28" t="inlineStr">
        <is>
          <t xml:space="preserve">  manufactured_on DATE,</t>
        </is>
      </c>
    </row>
    <row r="538">
      <c r="A538" s="28" t="inlineStr">
        <is>
          <t xml:space="preserve">  expires_on DATE NOT NULL,</t>
        </is>
      </c>
    </row>
    <row r="539">
      <c r="A539" s="28" t="inlineStr">
        <is>
          <t xml:space="preserve">  arrival_temp NUMERIC(5,1),</t>
        </is>
      </c>
    </row>
    <row r="540">
      <c r="A540" s="28" t="inlineStr">
        <is>
          <t xml:space="preserve">  lot_id BIGINT REFERENCES t_lot(id),</t>
        </is>
      </c>
    </row>
    <row r="541">
      <c r="A541" s="28" t="inlineStr">
        <is>
          <t xml:space="preserve">  split_status VARCHAR(20),</t>
        </is>
      </c>
    </row>
    <row r="542">
      <c r="A542" s="28" t="inlineStr">
        <is>
          <t xml:space="preserve">  location_id BIGINT NOT NULL REFERENCES m_location(id),</t>
        </is>
      </c>
    </row>
    <row r="543">
      <c r="A543" s="28" t="inlineStr">
        <is>
          <t xml:space="preserve">  quantity INTEGER NOT NULL,</t>
        </is>
      </c>
    </row>
    <row r="544">
      <c r="A544" s="28" t="inlineStr">
        <is>
          <t xml:space="preserve">  unit_price NUMERIC(12,2) NOT NULL,</t>
        </is>
      </c>
    </row>
    <row r="545">
      <c r="A545" s="28" t="inlineStr">
        <is>
          <t xml:space="preserve">  created_at TIMESTAMPTZ NOT NULL DEFAULT now(),</t>
        </is>
      </c>
    </row>
    <row r="546">
      <c r="A546" s="28" t="inlineStr">
        <is>
          <t xml:space="preserve">  created_by BIGINT NOT NULL REFERENCES m_user(id),</t>
        </is>
      </c>
    </row>
    <row r="547">
      <c r="A547" s="28" t="inlineStr">
        <is>
          <t xml:space="preserve">  updated_at TIMESTAMPTZ NOT NULL DEFAULT now(),</t>
        </is>
      </c>
    </row>
    <row r="548">
      <c r="A548" s="28" t="inlineStr">
        <is>
          <t xml:space="preserve">  updated_by BIGINT NOT NULL REFERENCES m_user(id),</t>
        </is>
      </c>
    </row>
    <row r="549">
      <c r="A549" s="28" t="inlineStr">
        <is>
          <t xml:space="preserve">  version INTEGER NOT NULL DEFAULT 1</t>
        </is>
      </c>
    </row>
    <row r="550">
      <c r="A550" s="28" t="inlineStr">
        <is>
          <t>);</t>
        </is>
      </c>
    </row>
    <row r="551">
      <c r="A551" s="28" t="inlineStr">
        <is>
          <t>COMMENT ON TABLE t_receipt_line IS '入荷明細';</t>
        </is>
      </c>
    </row>
    <row r="552">
      <c r="A552" s="28" t="inlineStr">
        <is>
          <t>COMMENT ON COLUMN t_receipt_line.id IS '入荷明細ID';</t>
        </is>
      </c>
    </row>
    <row r="553">
      <c r="A553" s="28" t="inlineStr">
        <is>
          <t>COMMENT ON COLUMN t_receipt_line.receipt_id IS '入荷ID';</t>
        </is>
      </c>
    </row>
    <row r="554">
      <c r="A554" s="28" t="inlineStr">
        <is>
          <t>COMMENT ON COLUMN t_receipt_line.purchase_order_line_id IS '発注明細ID';</t>
        </is>
      </c>
    </row>
    <row r="555">
      <c r="A555" s="28" t="inlineStr">
        <is>
          <t>COMMENT ON COLUMN t_receipt_line.product_id IS '商品ID';</t>
        </is>
      </c>
    </row>
    <row r="556">
      <c r="A556" s="28" t="inlineStr">
        <is>
          <t>COMMENT ON COLUMN t_receipt_line.supplier_lot_no IS '仕入先ロット番号';</t>
        </is>
      </c>
    </row>
    <row r="557">
      <c r="A557" s="28" t="inlineStr">
        <is>
          <t>COMMENT ON COLUMN t_receipt_line.manufactured_on IS '製造日';</t>
        </is>
      </c>
    </row>
    <row r="558">
      <c r="A558" s="28" t="inlineStr">
        <is>
          <t>COMMENT ON COLUMN t_receipt_line.expires_on IS '使用期限';</t>
        </is>
      </c>
    </row>
    <row r="559">
      <c r="A559" s="28" t="inlineStr">
        <is>
          <t>COMMENT ON COLUMN t_receipt_line.arrival_temp IS '到着時温度（℃）';</t>
        </is>
      </c>
    </row>
    <row r="560">
      <c r="A560" s="28" t="inlineStr">
        <is>
          <t>COMMENT ON COLUMN t_receipt_line.lot_id IS 'ロットID';</t>
        </is>
      </c>
    </row>
    <row r="561">
      <c r="A561" s="28" t="inlineStr">
        <is>
          <t>COMMENT ON COLUMN t_receipt_line.split_status IS '分納判定';</t>
        </is>
      </c>
    </row>
    <row r="562">
      <c r="A562" s="28" t="inlineStr">
        <is>
          <t>COMMENT ON COLUMN t_receipt_line.location_id IS '入庫保管場所ID';</t>
        </is>
      </c>
    </row>
    <row r="563">
      <c r="A563" s="28" t="inlineStr">
        <is>
          <t>COMMENT ON COLUMN t_receipt_line.quantity IS '入荷数量';</t>
        </is>
      </c>
    </row>
    <row r="564">
      <c r="A564" s="28" t="inlineStr">
        <is>
          <t>COMMENT ON COLUMN t_receipt_line.unit_price IS '仕入単価（円）';</t>
        </is>
      </c>
    </row>
    <row r="565">
      <c r="A565" s="28" t="inlineStr">
        <is>
          <t>COMMENT ON COLUMN t_receipt_line.created_at IS '作成日時';</t>
        </is>
      </c>
    </row>
    <row r="566">
      <c r="A566" s="28" t="inlineStr">
        <is>
          <t>COMMENT ON COLUMN t_receipt_line.created_by IS '作成者';</t>
        </is>
      </c>
    </row>
    <row r="567">
      <c r="A567" s="28" t="inlineStr">
        <is>
          <t>COMMENT ON COLUMN t_receipt_line.updated_at IS '更新日時';</t>
        </is>
      </c>
    </row>
    <row r="568">
      <c r="A568" s="28" t="inlineStr">
        <is>
          <t>COMMENT ON COLUMN t_receipt_line.updated_by IS '更新者';</t>
        </is>
      </c>
    </row>
    <row r="569">
      <c r="A569" s="28" t="inlineStr">
        <is>
          <t>COMMENT ON COLUMN t_receipt_line.version IS '版数';</t>
        </is>
      </c>
    </row>
    <row r="570">
      <c r="A570" s="28" t="inlineStr"/>
    </row>
    <row r="571">
      <c r="A571" s="28" t="inlineStr">
        <is>
          <t>-- ロットステータス履歴：ロット判定・状態変更の経緯（追記のみ）</t>
        </is>
      </c>
    </row>
    <row r="572">
      <c r="A572" s="28" t="inlineStr">
        <is>
          <t>CREATE TABLE t_lot_status_history (</t>
        </is>
      </c>
    </row>
    <row r="573">
      <c r="A573" s="28" t="inlineStr">
        <is>
          <t xml:space="preserve">  id BIGINT GENERATED ALWAYS AS IDENTITY PRIMARY KEY,</t>
        </is>
      </c>
    </row>
    <row r="574">
      <c r="A574" s="28" t="inlineStr">
        <is>
          <t xml:space="preserve">  lot_id BIGINT NOT NULL REFERENCES t_lot(id),</t>
        </is>
      </c>
    </row>
    <row r="575">
      <c r="A575" s="28" t="inlineStr">
        <is>
          <t xml:space="preserve">  from_status VARCHAR(20),</t>
        </is>
      </c>
    </row>
    <row r="576">
      <c r="A576" s="28" t="inlineStr">
        <is>
          <t xml:space="preserve">  to_status VARCHAR(20) NOT NULL,</t>
        </is>
      </c>
    </row>
    <row r="577">
      <c r="A577" s="28" t="inlineStr">
        <is>
          <t xml:space="preserve">  reason TEXT,</t>
        </is>
      </c>
    </row>
    <row r="578">
      <c r="A578" s="28" t="inlineStr">
        <is>
          <t xml:space="preserve">  temperature_log_id BIGINT REFERENCES t_temperature_log(id),</t>
        </is>
      </c>
    </row>
    <row r="579">
      <c r="A579" s="28" t="inlineStr">
        <is>
          <t xml:space="preserve">  recall_id BIGINT REFERENCES t_recall(id),</t>
        </is>
      </c>
    </row>
    <row r="580">
      <c r="A580" s="28" t="inlineStr">
        <is>
          <t xml:space="preserve">  changed_at TIMESTAMPTZ NOT NULL DEFAULT now(),</t>
        </is>
      </c>
    </row>
    <row r="581">
      <c r="A581" s="28" t="inlineStr">
        <is>
          <t xml:space="preserve">  created_at TIMESTAMPTZ NOT NULL DEFAULT now(),</t>
        </is>
      </c>
    </row>
    <row r="582">
      <c r="A582" s="28" t="inlineStr">
        <is>
          <t xml:space="preserve">  created_by BIGINT NOT NULL REFERENCES m_user(id)</t>
        </is>
      </c>
    </row>
    <row r="583">
      <c r="A583" s="28" t="inlineStr">
        <is>
          <t>);</t>
        </is>
      </c>
    </row>
    <row r="584">
      <c r="A584" s="28" t="inlineStr">
        <is>
          <t>COMMENT ON TABLE t_lot_status_history IS 'ロットステータス履歴';</t>
        </is>
      </c>
    </row>
    <row r="585">
      <c r="A585" s="28" t="inlineStr">
        <is>
          <t>COMMENT ON COLUMN t_lot_status_history.id IS 'ID';</t>
        </is>
      </c>
    </row>
    <row r="586">
      <c r="A586" s="28" t="inlineStr">
        <is>
          <t>COMMENT ON COLUMN t_lot_status_history.lot_id IS 'ロットID';</t>
        </is>
      </c>
    </row>
    <row r="587">
      <c r="A587" s="28" t="inlineStr">
        <is>
          <t>COMMENT ON COLUMN t_lot_status_history.from_status IS '変更前ステータス';</t>
        </is>
      </c>
    </row>
    <row r="588">
      <c r="A588" s="28" t="inlineStr">
        <is>
          <t>COMMENT ON COLUMN t_lot_status_history.to_status IS '変更後ステータス';</t>
        </is>
      </c>
    </row>
    <row r="589">
      <c r="A589" s="28" t="inlineStr">
        <is>
          <t>COMMENT ON COLUMN t_lot_status_history.reason IS '理由';</t>
        </is>
      </c>
    </row>
    <row r="590">
      <c r="A590" s="28" t="inlineStr">
        <is>
          <t>COMMENT ON COLUMN t_lot_status_history.temperature_log_id IS '関連温度記録ID';</t>
        </is>
      </c>
    </row>
    <row r="591">
      <c r="A591" s="28" t="inlineStr">
        <is>
          <t>COMMENT ON COLUMN t_lot_status_history.recall_id IS '関連回収案件ID';</t>
        </is>
      </c>
    </row>
    <row r="592">
      <c r="A592" s="28" t="inlineStr">
        <is>
          <t>COMMENT ON COLUMN t_lot_status_history.changed_at IS '変更日時';</t>
        </is>
      </c>
    </row>
    <row r="593">
      <c r="A593" s="28" t="inlineStr">
        <is>
          <t>COMMENT ON COLUMN t_lot_status_history.created_at IS '作成日時';</t>
        </is>
      </c>
    </row>
    <row r="594">
      <c r="A594" s="28" t="inlineStr">
        <is>
          <t>COMMENT ON COLUMN t_lot_status_history.created_by IS '作成者';</t>
        </is>
      </c>
    </row>
    <row r="595">
      <c r="A595" s="28" t="inlineStr"/>
    </row>
    <row r="596">
      <c r="A596" s="28" t="inlineStr">
        <is>
          <t>-- 在庫：ロット×保管場所の現在庫（移動履歴の集計結果）</t>
        </is>
      </c>
    </row>
    <row r="597">
      <c r="A597" s="28" t="inlineStr">
        <is>
          <t>CREATE TABLE t_inventory (</t>
        </is>
      </c>
    </row>
    <row r="598">
      <c r="A598" s="28" t="inlineStr">
        <is>
          <t xml:space="preserve">  id BIGINT GENERATED ALWAYS AS IDENTITY PRIMARY KEY,</t>
        </is>
      </c>
    </row>
    <row r="599">
      <c r="A599" s="28" t="inlineStr">
        <is>
          <t xml:space="preserve">  lot_id BIGINT NOT NULL REFERENCES t_lot(id),</t>
        </is>
      </c>
    </row>
    <row r="600">
      <c r="A600" s="28" t="inlineStr">
        <is>
          <t xml:space="preserve">  location_id BIGINT NOT NULL REFERENCES m_location(id),</t>
        </is>
      </c>
    </row>
    <row r="601">
      <c r="A601" s="28" t="inlineStr">
        <is>
          <t xml:space="preserve">  on_hand_qty INTEGER NOT NULL DEFAULT 0,</t>
        </is>
      </c>
    </row>
    <row r="602">
      <c r="A602" s="28" t="inlineStr">
        <is>
          <t xml:space="preserve">  allocated_qty INTEGER NOT NULL DEFAULT 0,</t>
        </is>
      </c>
    </row>
    <row r="603">
      <c r="A603" s="28" t="inlineStr">
        <is>
          <t xml:space="preserve">  created_at TIMESTAMPTZ NOT NULL DEFAULT now(),</t>
        </is>
      </c>
    </row>
    <row r="604">
      <c r="A604" s="28" t="inlineStr">
        <is>
          <t xml:space="preserve">  created_by BIGINT NOT NULL REFERENCES m_user(id),</t>
        </is>
      </c>
    </row>
    <row r="605">
      <c r="A605" s="28" t="inlineStr">
        <is>
          <t xml:space="preserve">  updated_at TIMESTAMPTZ NOT NULL DEFAULT now(),</t>
        </is>
      </c>
    </row>
    <row r="606">
      <c r="A606" s="28" t="inlineStr">
        <is>
          <t xml:space="preserve">  updated_by BIGINT NOT NULL REFERENCES m_user(id),</t>
        </is>
      </c>
    </row>
    <row r="607">
      <c r="A607" s="28" t="inlineStr">
        <is>
          <t xml:space="preserve">  version INTEGER NOT NULL DEFAULT 1</t>
        </is>
      </c>
    </row>
    <row r="608">
      <c r="A608" s="28" t="inlineStr">
        <is>
          <t>);</t>
        </is>
      </c>
    </row>
    <row r="609">
      <c r="A609" s="28" t="inlineStr">
        <is>
          <t>COMMENT ON TABLE t_inventory IS '在庫';</t>
        </is>
      </c>
    </row>
    <row r="610">
      <c r="A610" s="28" t="inlineStr">
        <is>
          <t>COMMENT ON COLUMN t_inventory.id IS '在庫ID';</t>
        </is>
      </c>
    </row>
    <row r="611">
      <c r="A611" s="28" t="inlineStr">
        <is>
          <t>COMMENT ON COLUMN t_inventory.lot_id IS 'ロットID';</t>
        </is>
      </c>
    </row>
    <row r="612">
      <c r="A612" s="28" t="inlineStr">
        <is>
          <t>COMMENT ON COLUMN t_inventory.location_id IS '保管場所ID';</t>
        </is>
      </c>
    </row>
    <row r="613">
      <c r="A613" s="28" t="inlineStr">
        <is>
          <t>COMMENT ON COLUMN t_inventory.on_hand_qty IS '現在庫数';</t>
        </is>
      </c>
    </row>
    <row r="614">
      <c r="A614" s="28" t="inlineStr">
        <is>
          <t>COMMENT ON COLUMN t_inventory.allocated_qty IS '引当済数';</t>
        </is>
      </c>
    </row>
    <row r="615">
      <c r="A615" s="28" t="inlineStr">
        <is>
          <t>COMMENT ON COLUMN t_inventory.created_at IS '作成日時';</t>
        </is>
      </c>
    </row>
    <row r="616">
      <c r="A616" s="28" t="inlineStr">
        <is>
          <t>COMMENT ON COLUMN t_inventory.created_by IS '作成者';</t>
        </is>
      </c>
    </row>
    <row r="617">
      <c r="A617" s="28" t="inlineStr">
        <is>
          <t>COMMENT ON COLUMN t_inventory.updated_at IS '更新日時';</t>
        </is>
      </c>
    </row>
    <row r="618">
      <c r="A618" s="28" t="inlineStr">
        <is>
          <t>COMMENT ON COLUMN t_inventory.updated_by IS '更新者';</t>
        </is>
      </c>
    </row>
    <row r="619">
      <c r="A619" s="28" t="inlineStr">
        <is>
          <t>COMMENT ON COLUMN t_inventory.version IS '版数';</t>
        </is>
      </c>
    </row>
    <row r="620">
      <c r="A620" s="28" t="inlineStr"/>
    </row>
    <row r="621">
      <c r="A621" s="28" t="inlineStr">
        <is>
          <t>-- 在庫移動履歴：在庫の全増減の記録（追記のみ）</t>
        </is>
      </c>
    </row>
    <row r="622">
      <c r="A622" s="28" t="inlineStr">
        <is>
          <t>CREATE TABLE t_stock_movement (</t>
        </is>
      </c>
    </row>
    <row r="623">
      <c r="A623" s="28" t="inlineStr">
        <is>
          <t xml:space="preserve">  id BIGINT GENERATED ALWAYS AS IDENTITY PRIMARY KEY,</t>
        </is>
      </c>
    </row>
    <row r="624">
      <c r="A624" s="28" t="inlineStr">
        <is>
          <t xml:space="preserve">  moved_at TIMESTAMPTZ NOT NULL,</t>
        </is>
      </c>
    </row>
    <row r="625">
      <c r="A625" s="28" t="inlineStr">
        <is>
          <t xml:space="preserve">  movement_type VARCHAR(20) NOT NULL,</t>
        </is>
      </c>
    </row>
    <row r="626">
      <c r="A626" s="28" t="inlineStr">
        <is>
          <t xml:space="preserve">  lot_id BIGINT NOT NULL REFERENCES t_lot(id),</t>
        </is>
      </c>
    </row>
    <row r="627">
      <c r="A627" s="28" t="inlineStr">
        <is>
          <t xml:space="preserve">  location_id BIGINT NOT NULL REFERENCES m_location(id),</t>
        </is>
      </c>
    </row>
    <row r="628">
      <c r="A628" s="28" t="inlineStr">
        <is>
          <t xml:space="preserve">  quantity INTEGER NOT NULL,</t>
        </is>
      </c>
    </row>
    <row r="629">
      <c r="A629" s="28" t="inlineStr">
        <is>
          <t xml:space="preserve">  ref_type VARCHAR(30),</t>
        </is>
      </c>
    </row>
    <row r="630">
      <c r="A630" s="28" t="inlineStr">
        <is>
          <t xml:space="preserve">  ref_id BIGINT,</t>
        </is>
      </c>
    </row>
    <row r="631">
      <c r="A631" s="28" t="inlineStr">
        <is>
          <t xml:space="preserve">  reason TEXT,</t>
        </is>
      </c>
    </row>
    <row r="632">
      <c r="A632" s="28" t="inlineStr">
        <is>
          <t xml:space="preserve">  created_at TIMESTAMPTZ NOT NULL DEFAULT now(),</t>
        </is>
      </c>
    </row>
    <row r="633">
      <c r="A633" s="28" t="inlineStr">
        <is>
          <t xml:space="preserve">  created_by BIGINT NOT NULL REFERENCES m_user(id)</t>
        </is>
      </c>
    </row>
    <row r="634">
      <c r="A634" s="28" t="inlineStr">
        <is>
          <t>);</t>
        </is>
      </c>
    </row>
    <row r="635">
      <c r="A635" s="28" t="inlineStr">
        <is>
          <t>COMMENT ON TABLE t_stock_movement IS '在庫移動履歴';</t>
        </is>
      </c>
    </row>
    <row r="636">
      <c r="A636" s="28" t="inlineStr">
        <is>
          <t>COMMENT ON COLUMN t_stock_movement.id IS '移動履歴ID';</t>
        </is>
      </c>
    </row>
    <row r="637">
      <c r="A637" s="28" t="inlineStr">
        <is>
          <t>COMMENT ON COLUMN t_stock_movement.moved_at IS '発生日時';</t>
        </is>
      </c>
    </row>
    <row r="638">
      <c r="A638" s="28" t="inlineStr">
        <is>
          <t>COMMENT ON COLUMN t_stock_movement.movement_type IS '移動区分';</t>
        </is>
      </c>
    </row>
    <row r="639">
      <c r="A639" s="28" t="inlineStr">
        <is>
          <t>COMMENT ON COLUMN t_stock_movement.lot_id IS 'ロットID';</t>
        </is>
      </c>
    </row>
    <row r="640">
      <c r="A640" s="28" t="inlineStr">
        <is>
          <t>COMMENT ON COLUMN t_stock_movement.location_id IS '保管場所ID';</t>
        </is>
      </c>
    </row>
    <row r="641">
      <c r="A641" s="28" t="inlineStr">
        <is>
          <t>COMMENT ON COLUMN t_stock_movement.quantity IS '数量（符号付）';</t>
        </is>
      </c>
    </row>
    <row r="642">
      <c r="A642" s="28" t="inlineStr">
        <is>
          <t>COMMENT ON COLUMN t_stock_movement.ref_type IS '参照伝票種別';</t>
        </is>
      </c>
    </row>
    <row r="643">
      <c r="A643" s="28" t="inlineStr">
        <is>
          <t>COMMENT ON COLUMN t_stock_movement.ref_id IS '参照伝票ID';</t>
        </is>
      </c>
    </row>
    <row r="644">
      <c r="A644" s="28" t="inlineStr">
        <is>
          <t>COMMENT ON COLUMN t_stock_movement.reason IS '理由';</t>
        </is>
      </c>
    </row>
    <row r="645">
      <c r="A645" s="28" t="inlineStr">
        <is>
          <t>COMMENT ON COLUMN t_stock_movement.created_at IS '作成日時';</t>
        </is>
      </c>
    </row>
    <row r="646">
      <c r="A646" s="28" t="inlineStr">
        <is>
          <t>COMMENT ON COLUMN t_stock_movement.created_by IS '作成者';</t>
        </is>
      </c>
    </row>
    <row r="647">
      <c r="A647" s="28" t="inlineStr"/>
    </row>
    <row r="648">
      <c r="A648" s="28" t="inlineStr">
        <is>
          <t>-- 受注明細：受注明細</t>
        </is>
      </c>
    </row>
    <row r="649">
      <c r="A649" s="28" t="inlineStr">
        <is>
          <t>CREATE TABLE t_sales_order_line (</t>
        </is>
      </c>
    </row>
    <row r="650">
      <c r="A650" s="28" t="inlineStr">
        <is>
          <t xml:space="preserve">  id BIGINT GENERATED ALWAYS AS IDENTITY PRIMARY KEY,</t>
        </is>
      </c>
    </row>
    <row r="651">
      <c r="A651" s="28" t="inlineStr">
        <is>
          <t xml:space="preserve">  sales_order_id BIGINT NOT NULL REFERENCES t_sales_order(id),</t>
        </is>
      </c>
    </row>
    <row r="652">
      <c r="A652" s="28" t="inlineStr">
        <is>
          <t xml:space="preserve">  line_no INTEGER NOT NULL,</t>
        </is>
      </c>
    </row>
    <row r="653">
      <c r="A653" s="28" t="inlineStr">
        <is>
          <t xml:space="preserve">  product_id BIGINT NOT NULL REFERENCES m_product(id),</t>
        </is>
      </c>
    </row>
    <row r="654">
      <c r="A654" s="28" t="inlineStr">
        <is>
          <t xml:space="preserve">  quantity INTEGER NOT NULL,</t>
        </is>
      </c>
    </row>
    <row r="655">
      <c r="A655" s="28" t="inlineStr">
        <is>
          <t xml:space="preserve">  unit_price NUMERIC(12,2) NOT NULL,</t>
        </is>
      </c>
    </row>
    <row r="656">
      <c r="A656" s="28" t="inlineStr">
        <is>
          <t xml:space="preserve">  shipped_qty INTEGER NOT NULL DEFAULT 0,</t>
        </is>
      </c>
    </row>
    <row r="657">
      <c r="A657" s="28" t="inlineStr">
        <is>
          <t xml:space="preserve">  created_at TIMESTAMPTZ NOT NULL DEFAULT now(),</t>
        </is>
      </c>
    </row>
    <row r="658">
      <c r="A658" s="28" t="inlineStr">
        <is>
          <t xml:space="preserve">  created_by BIGINT NOT NULL REFERENCES m_user(id),</t>
        </is>
      </c>
    </row>
    <row r="659">
      <c r="A659" s="28" t="inlineStr">
        <is>
          <t xml:space="preserve">  updated_at TIMESTAMPTZ NOT NULL DEFAULT now(),</t>
        </is>
      </c>
    </row>
    <row r="660">
      <c r="A660" s="28" t="inlineStr">
        <is>
          <t xml:space="preserve">  updated_by BIGINT NOT NULL REFERENCES m_user(id),</t>
        </is>
      </c>
    </row>
    <row r="661">
      <c r="A661" s="28" t="inlineStr">
        <is>
          <t xml:space="preserve">  version INTEGER NOT NULL DEFAULT 1</t>
        </is>
      </c>
    </row>
    <row r="662">
      <c r="A662" s="28" t="inlineStr">
        <is>
          <t>);</t>
        </is>
      </c>
    </row>
    <row r="663">
      <c r="A663" s="28" t="inlineStr">
        <is>
          <t>COMMENT ON TABLE t_sales_order_line IS '受注明細';</t>
        </is>
      </c>
    </row>
    <row r="664">
      <c r="A664" s="28" t="inlineStr">
        <is>
          <t>COMMENT ON COLUMN t_sales_order_line.id IS '受注明細ID';</t>
        </is>
      </c>
    </row>
    <row r="665">
      <c r="A665" s="28" t="inlineStr">
        <is>
          <t>COMMENT ON COLUMN t_sales_order_line.sales_order_id IS '受注ID';</t>
        </is>
      </c>
    </row>
    <row r="666">
      <c r="A666" s="28" t="inlineStr">
        <is>
          <t>COMMENT ON COLUMN t_sales_order_line.line_no IS '行番号';</t>
        </is>
      </c>
    </row>
    <row r="667">
      <c r="A667" s="28" t="inlineStr">
        <is>
          <t>COMMENT ON COLUMN t_sales_order_line.product_id IS '商品ID';</t>
        </is>
      </c>
    </row>
    <row r="668">
      <c r="A668" s="28" t="inlineStr">
        <is>
          <t>COMMENT ON COLUMN t_sales_order_line.quantity IS '受注数量';</t>
        </is>
      </c>
    </row>
    <row r="669">
      <c r="A669" s="28" t="inlineStr">
        <is>
          <t>COMMENT ON COLUMN t_sales_order_line.unit_price IS '販売単価（円）';</t>
        </is>
      </c>
    </row>
    <row r="670">
      <c r="A670" s="28" t="inlineStr">
        <is>
          <t>COMMENT ON COLUMN t_sales_order_line.shipped_qty IS '出荷済数量';</t>
        </is>
      </c>
    </row>
    <row r="671">
      <c r="A671" s="28" t="inlineStr">
        <is>
          <t>COMMENT ON COLUMN t_sales_order_line.created_at IS '作成日時';</t>
        </is>
      </c>
    </row>
    <row r="672">
      <c r="A672" s="28" t="inlineStr">
        <is>
          <t>COMMENT ON COLUMN t_sales_order_line.created_by IS '作成者';</t>
        </is>
      </c>
    </row>
    <row r="673">
      <c r="A673" s="28" t="inlineStr">
        <is>
          <t>COMMENT ON COLUMN t_sales_order_line.updated_at IS '更新日時';</t>
        </is>
      </c>
    </row>
    <row r="674">
      <c r="A674" s="28" t="inlineStr">
        <is>
          <t>COMMENT ON COLUMN t_sales_order_line.updated_by IS '更新者';</t>
        </is>
      </c>
    </row>
    <row r="675">
      <c r="A675" s="28" t="inlineStr">
        <is>
          <t>COMMENT ON COLUMN t_sales_order_line.version IS '版数';</t>
        </is>
      </c>
    </row>
    <row r="676">
      <c r="A676" s="28" t="inlineStr"/>
    </row>
    <row r="677">
      <c r="A677" s="28" t="inlineStr">
        <is>
          <t>-- 出荷：出荷ヘッダ</t>
        </is>
      </c>
    </row>
    <row r="678">
      <c r="A678" s="28" t="inlineStr">
        <is>
          <t>CREATE TABLE t_shipment (</t>
        </is>
      </c>
    </row>
    <row r="679">
      <c r="A679" s="28" t="inlineStr">
        <is>
          <t xml:space="preserve">  id BIGINT GENERATED ALWAYS AS IDENTITY PRIMARY KEY,</t>
        </is>
      </c>
    </row>
    <row r="680">
      <c r="A680" s="28" t="inlineStr">
        <is>
          <t xml:space="preserve">  shipment_no VARCHAR(20) NOT NULL,</t>
        </is>
      </c>
    </row>
    <row r="681">
      <c r="A681" s="28" t="inlineStr">
        <is>
          <t xml:space="preserve">  sales_order_id BIGINT NOT NULL REFERENCES t_sales_order(id),</t>
        </is>
      </c>
    </row>
    <row r="682">
      <c r="A682" s="28" t="inlineStr">
        <is>
          <t xml:space="preserve">  customer_id BIGINT NOT NULL REFERENCES m_customer(id),</t>
        </is>
      </c>
    </row>
    <row r="683">
      <c r="A683" s="28" t="inlineStr">
        <is>
          <t xml:space="preserve">  ship_to_id BIGINT NOT NULL REFERENCES m_ship_to(id),</t>
        </is>
      </c>
    </row>
    <row r="684">
      <c r="A684" s="28" t="inlineStr">
        <is>
          <t xml:space="preserve">  shipped_on DATE NOT NULL,</t>
        </is>
      </c>
    </row>
    <row r="685">
      <c r="A685" s="28" t="inlineStr">
        <is>
          <t xml:space="preserve">  carrier VARCHAR(50),</t>
        </is>
      </c>
    </row>
    <row r="686">
      <c r="A686" s="28" t="inlineStr">
        <is>
          <t xml:space="preserve">  tracking_no VARCHAR(50),</t>
        </is>
      </c>
    </row>
    <row r="687">
      <c r="A687" s="28" t="inlineStr">
        <is>
          <t xml:space="preserve">  status VARCHAR(20) NOT NULL DEFAULT 'ALLOCATED',</t>
        </is>
      </c>
    </row>
    <row r="688">
      <c r="A688" s="28" t="inlineStr">
        <is>
          <t xml:space="preserve">  created_at TIMESTAMPTZ NOT NULL DEFAULT now(),</t>
        </is>
      </c>
    </row>
    <row r="689">
      <c r="A689" s="28" t="inlineStr">
        <is>
          <t xml:space="preserve">  created_by BIGINT NOT NULL REFERENCES m_user(id),</t>
        </is>
      </c>
    </row>
    <row r="690">
      <c r="A690" s="28" t="inlineStr">
        <is>
          <t xml:space="preserve">  updated_at TIMESTAMPTZ NOT NULL DEFAULT now(),</t>
        </is>
      </c>
    </row>
    <row r="691">
      <c r="A691" s="28" t="inlineStr">
        <is>
          <t xml:space="preserve">  updated_by BIGINT NOT NULL REFERENCES m_user(id),</t>
        </is>
      </c>
    </row>
    <row r="692">
      <c r="A692" s="28" t="inlineStr">
        <is>
          <t xml:space="preserve">  version INTEGER NOT NULL DEFAULT 1</t>
        </is>
      </c>
    </row>
    <row r="693">
      <c r="A693" s="28" t="inlineStr">
        <is>
          <t>);</t>
        </is>
      </c>
    </row>
    <row r="694">
      <c r="A694" s="28" t="inlineStr">
        <is>
          <t>COMMENT ON TABLE t_shipment IS '出荷';</t>
        </is>
      </c>
    </row>
    <row r="695">
      <c r="A695" s="28" t="inlineStr">
        <is>
          <t>COMMENT ON COLUMN t_shipment.id IS '出荷ID';</t>
        </is>
      </c>
    </row>
    <row r="696">
      <c r="A696" s="28" t="inlineStr">
        <is>
          <t>COMMENT ON COLUMN t_shipment.shipment_no IS '出荷番号';</t>
        </is>
      </c>
    </row>
    <row r="697">
      <c r="A697" s="28" t="inlineStr">
        <is>
          <t>COMMENT ON COLUMN t_shipment.sales_order_id IS '受注ID';</t>
        </is>
      </c>
    </row>
    <row r="698">
      <c r="A698" s="28" t="inlineStr">
        <is>
          <t>COMMENT ON COLUMN t_shipment.customer_id IS '顧客ID';</t>
        </is>
      </c>
    </row>
    <row r="699">
      <c r="A699" s="28" t="inlineStr">
        <is>
          <t>COMMENT ON COLUMN t_shipment.ship_to_id IS '納品先ID';</t>
        </is>
      </c>
    </row>
    <row r="700">
      <c r="A700" s="28" t="inlineStr">
        <is>
          <t>COMMENT ON COLUMN t_shipment.shipped_on IS '出荷日';</t>
        </is>
      </c>
    </row>
    <row r="701">
      <c r="A701" s="28" t="inlineStr">
        <is>
          <t>COMMENT ON COLUMN t_shipment.carrier IS '配送業者';</t>
        </is>
      </c>
    </row>
    <row r="702">
      <c r="A702" s="28" t="inlineStr">
        <is>
          <t>COMMENT ON COLUMN t_shipment.tracking_no IS '送り状番号';</t>
        </is>
      </c>
    </row>
    <row r="703">
      <c r="A703" s="28" t="inlineStr">
        <is>
          <t>COMMENT ON COLUMN t_shipment.status IS 'ステータス';</t>
        </is>
      </c>
    </row>
    <row r="704">
      <c r="A704" s="28" t="inlineStr">
        <is>
          <t>COMMENT ON COLUMN t_shipment.created_at IS '作成日時';</t>
        </is>
      </c>
    </row>
    <row r="705">
      <c r="A705" s="28" t="inlineStr">
        <is>
          <t>COMMENT ON COLUMN t_shipment.created_by IS '作成者';</t>
        </is>
      </c>
    </row>
    <row r="706">
      <c r="A706" s="28" t="inlineStr">
        <is>
          <t>COMMENT ON COLUMN t_shipment.updated_at IS '更新日時';</t>
        </is>
      </c>
    </row>
    <row r="707">
      <c r="A707" s="28" t="inlineStr">
        <is>
          <t>COMMENT ON COLUMN t_shipment.updated_by IS '更新者';</t>
        </is>
      </c>
    </row>
    <row r="708">
      <c r="A708" s="28" t="inlineStr">
        <is>
          <t>COMMENT ON COLUMN t_shipment.version IS '版数';</t>
        </is>
      </c>
    </row>
    <row r="709">
      <c r="A709" s="28" t="inlineStr"/>
    </row>
    <row r="710">
      <c r="A710" s="28" t="inlineStr">
        <is>
          <t>-- 回収対象ロット：回収案件×ロット</t>
        </is>
      </c>
    </row>
    <row r="711">
      <c r="A711" s="28" t="inlineStr">
        <is>
          <t>CREATE TABLE t_recall_lot (</t>
        </is>
      </c>
    </row>
    <row r="712">
      <c r="A712" s="28" t="inlineStr">
        <is>
          <t xml:space="preserve">  id BIGINT GENERATED ALWAYS AS IDENTITY PRIMARY KEY,</t>
        </is>
      </c>
    </row>
    <row r="713">
      <c r="A713" s="28" t="inlineStr">
        <is>
          <t xml:space="preserve">  recall_id BIGINT NOT NULL REFERENCES t_recall(id),</t>
        </is>
      </c>
    </row>
    <row r="714">
      <c r="A714" s="28" t="inlineStr">
        <is>
          <t xml:space="preserve">  lot_id BIGINT NOT NULL REFERENCES t_lot(id),</t>
        </is>
      </c>
    </row>
    <row r="715">
      <c r="A715" s="28" t="inlineStr">
        <is>
          <t xml:space="preserve">  created_at TIMESTAMPTZ NOT NULL DEFAULT now(),</t>
        </is>
      </c>
    </row>
    <row r="716">
      <c r="A716" s="28" t="inlineStr">
        <is>
          <t xml:space="preserve">  created_by BIGINT NOT NULL REFERENCES m_user(id),</t>
        </is>
      </c>
    </row>
    <row r="717">
      <c r="A717" s="28" t="inlineStr">
        <is>
          <t xml:space="preserve">  updated_at TIMESTAMPTZ NOT NULL DEFAULT now(),</t>
        </is>
      </c>
    </row>
    <row r="718">
      <c r="A718" s="28" t="inlineStr">
        <is>
          <t xml:space="preserve">  updated_by BIGINT NOT NULL REFERENCES m_user(id),</t>
        </is>
      </c>
    </row>
    <row r="719">
      <c r="A719" s="28" t="inlineStr">
        <is>
          <t xml:space="preserve">  version INTEGER NOT NULL DEFAULT 1</t>
        </is>
      </c>
    </row>
    <row r="720">
      <c r="A720" s="28" t="inlineStr">
        <is>
          <t>);</t>
        </is>
      </c>
    </row>
    <row r="721">
      <c r="A721" s="28" t="inlineStr">
        <is>
          <t>COMMENT ON TABLE t_recall_lot IS '回収対象ロット';</t>
        </is>
      </c>
    </row>
    <row r="722">
      <c r="A722" s="28" t="inlineStr">
        <is>
          <t>COMMENT ON COLUMN t_recall_lot.id IS 'ID';</t>
        </is>
      </c>
    </row>
    <row r="723">
      <c r="A723" s="28" t="inlineStr">
        <is>
          <t>COMMENT ON COLUMN t_recall_lot.recall_id IS '回収案件ID';</t>
        </is>
      </c>
    </row>
    <row r="724">
      <c r="A724" s="28" t="inlineStr">
        <is>
          <t>COMMENT ON COLUMN t_recall_lot.lot_id IS 'ロットID';</t>
        </is>
      </c>
    </row>
    <row r="725">
      <c r="A725" s="28" t="inlineStr">
        <is>
          <t>COMMENT ON COLUMN t_recall_lot.created_at IS '作成日時';</t>
        </is>
      </c>
    </row>
    <row r="726">
      <c r="A726" s="28" t="inlineStr">
        <is>
          <t>COMMENT ON COLUMN t_recall_lot.created_by IS '作成者';</t>
        </is>
      </c>
    </row>
    <row r="727">
      <c r="A727" s="28" t="inlineStr">
        <is>
          <t>COMMENT ON COLUMN t_recall_lot.updated_at IS '更新日時';</t>
        </is>
      </c>
    </row>
    <row r="728">
      <c r="A728" s="28" t="inlineStr">
        <is>
          <t>COMMENT ON COLUMN t_recall_lot.updated_by IS '更新者';</t>
        </is>
      </c>
    </row>
    <row r="729">
      <c r="A729" s="28" t="inlineStr">
        <is>
          <t>COMMENT ON COLUMN t_recall_lot.version IS '版数';</t>
        </is>
      </c>
    </row>
    <row r="730">
      <c r="A730" s="28" t="inlineStr"/>
    </row>
    <row r="731">
      <c r="A731" s="28" t="inlineStr">
        <is>
          <t>-- 回収対象顧客：回収案件×顧客の連絡・回収状況</t>
        </is>
      </c>
    </row>
    <row r="732">
      <c r="A732" s="28" t="inlineStr">
        <is>
          <t>CREATE TABLE t_recall_target (</t>
        </is>
      </c>
    </row>
    <row r="733">
      <c r="A733" s="28" t="inlineStr">
        <is>
          <t xml:space="preserve">  id BIGINT GENERATED ALWAYS AS IDENTITY PRIMARY KEY,</t>
        </is>
      </c>
    </row>
    <row r="734">
      <c r="A734" s="28" t="inlineStr">
        <is>
          <t xml:space="preserve">  recall_id BIGINT NOT NULL REFERENCES t_recall(id),</t>
        </is>
      </c>
    </row>
    <row r="735">
      <c r="A735" s="28" t="inlineStr">
        <is>
          <t xml:space="preserve">  customer_id BIGINT NOT NULL REFERENCES m_customer(id),</t>
        </is>
      </c>
    </row>
    <row r="736">
      <c r="A736" s="28" t="inlineStr">
        <is>
          <t xml:space="preserve">  ship_to_id BIGINT NOT NULL REFERENCES m_ship_to(id),</t>
        </is>
      </c>
    </row>
    <row r="737">
      <c r="A737" s="28" t="inlineStr">
        <is>
          <t xml:space="preserve">  lot_id BIGINT NOT NULL REFERENCES t_lot(id),</t>
        </is>
      </c>
    </row>
    <row r="738">
      <c r="A738" s="28" t="inlineStr">
        <is>
          <t xml:space="preserve">  shipped_qty INTEGER NOT NULL,</t>
        </is>
      </c>
    </row>
    <row r="739">
      <c r="A739" s="28" t="inlineStr">
        <is>
          <t xml:space="preserve">  contacted_on DATE,</t>
        </is>
      </c>
    </row>
    <row r="740">
      <c r="A740" s="28" t="inlineStr">
        <is>
          <t xml:space="preserve">  contact_method VARCHAR(20),</t>
        </is>
      </c>
    </row>
    <row r="741">
      <c r="A741" s="28" t="inlineStr">
        <is>
          <t xml:space="preserve">  recovered_qty INTEGER NOT NULL DEFAULT 0,</t>
        </is>
      </c>
    </row>
    <row r="742">
      <c r="A742" s="28" t="inlineStr">
        <is>
          <t xml:space="preserve">  unrecoverable_qty INTEGER NOT NULL DEFAULT 0,</t>
        </is>
      </c>
    </row>
    <row r="743">
      <c r="A743" s="28" t="inlineStr">
        <is>
          <t xml:space="preserve">  close_reason VARCHAR(200),</t>
        </is>
      </c>
    </row>
    <row r="744">
      <c r="A744" s="28" t="inlineStr">
        <is>
          <t xml:space="preserve">  status VARCHAR(20) NOT NULL DEFAULT 'NOT_CONTACTED',</t>
        </is>
      </c>
    </row>
    <row r="745">
      <c r="A745" s="28" t="inlineStr">
        <is>
          <t xml:space="preserve">  created_at TIMESTAMPTZ NOT NULL DEFAULT now(),</t>
        </is>
      </c>
    </row>
    <row r="746">
      <c r="A746" s="28" t="inlineStr">
        <is>
          <t xml:space="preserve">  created_by BIGINT NOT NULL REFERENCES m_user(id),</t>
        </is>
      </c>
    </row>
    <row r="747">
      <c r="A747" s="28" t="inlineStr">
        <is>
          <t xml:space="preserve">  updated_at TIMESTAMPTZ NOT NULL DEFAULT now(),</t>
        </is>
      </c>
    </row>
    <row r="748">
      <c r="A748" s="28" t="inlineStr">
        <is>
          <t xml:space="preserve">  updated_by BIGINT NOT NULL REFERENCES m_user(id),</t>
        </is>
      </c>
    </row>
    <row r="749">
      <c r="A749" s="28" t="inlineStr">
        <is>
          <t xml:space="preserve">  version INTEGER NOT NULL DEFAULT 1</t>
        </is>
      </c>
    </row>
    <row r="750">
      <c r="A750" s="28" t="inlineStr">
        <is>
          <t>);</t>
        </is>
      </c>
    </row>
    <row r="751">
      <c r="A751" s="28" t="inlineStr">
        <is>
          <t>COMMENT ON TABLE t_recall_target IS '回収対象顧客';</t>
        </is>
      </c>
    </row>
    <row r="752">
      <c r="A752" s="28" t="inlineStr">
        <is>
          <t>COMMENT ON COLUMN t_recall_target.id IS 'ID';</t>
        </is>
      </c>
    </row>
    <row r="753">
      <c r="A753" s="28" t="inlineStr">
        <is>
          <t>COMMENT ON COLUMN t_recall_target.recall_id IS '回収案件ID';</t>
        </is>
      </c>
    </row>
    <row r="754">
      <c r="A754" s="28" t="inlineStr">
        <is>
          <t>COMMENT ON COLUMN t_recall_target.customer_id IS '顧客ID';</t>
        </is>
      </c>
    </row>
    <row r="755">
      <c r="A755" s="28" t="inlineStr">
        <is>
          <t>COMMENT ON COLUMN t_recall_target.ship_to_id IS '納品先ID';</t>
        </is>
      </c>
    </row>
    <row r="756">
      <c r="A756" s="28" t="inlineStr">
        <is>
          <t>COMMENT ON COLUMN t_recall_target.lot_id IS 'ロットID';</t>
        </is>
      </c>
    </row>
    <row r="757">
      <c r="A757" s="28" t="inlineStr">
        <is>
          <t>COMMENT ON COLUMN t_recall_target.shipped_qty IS '出荷正味数量';</t>
        </is>
      </c>
    </row>
    <row r="758">
      <c r="A758" s="28" t="inlineStr">
        <is>
          <t>COMMENT ON COLUMN t_recall_target.contacted_on IS '連絡日';</t>
        </is>
      </c>
    </row>
    <row r="759">
      <c r="A759" s="28" t="inlineStr">
        <is>
          <t>COMMENT ON COLUMN t_recall_target.contact_method IS '連絡方法';</t>
        </is>
      </c>
    </row>
    <row r="760">
      <c r="A760" s="28" t="inlineStr">
        <is>
          <t>COMMENT ON COLUMN t_recall_target.recovered_qty IS '回収数量';</t>
        </is>
      </c>
    </row>
    <row r="761">
      <c r="A761" s="28" t="inlineStr">
        <is>
          <t>COMMENT ON COLUMN t_recall_target.unrecoverable_qty IS '回収不能数量';</t>
        </is>
      </c>
    </row>
    <row r="762">
      <c r="A762" s="28" t="inlineStr">
        <is>
          <t>COMMENT ON COLUMN t_recall_target.close_reason IS 'クローズ理由';</t>
        </is>
      </c>
    </row>
    <row r="763">
      <c r="A763" s="28" t="inlineStr">
        <is>
          <t>COMMENT ON COLUMN t_recall_target.status IS 'ステータス';</t>
        </is>
      </c>
    </row>
    <row r="764">
      <c r="A764" s="28" t="inlineStr">
        <is>
          <t>COMMENT ON COLUMN t_recall_target.created_at IS '作成日時';</t>
        </is>
      </c>
    </row>
    <row r="765">
      <c r="A765" s="28" t="inlineStr">
        <is>
          <t>COMMENT ON COLUMN t_recall_target.created_by IS '作成者';</t>
        </is>
      </c>
    </row>
    <row r="766">
      <c r="A766" s="28" t="inlineStr">
        <is>
          <t>COMMENT ON COLUMN t_recall_target.updated_at IS '更新日時';</t>
        </is>
      </c>
    </row>
    <row r="767">
      <c r="A767" s="28" t="inlineStr">
        <is>
          <t>COMMENT ON COLUMN t_recall_target.updated_by IS '更新者';</t>
        </is>
      </c>
    </row>
    <row r="768">
      <c r="A768" s="28" t="inlineStr">
        <is>
          <t>COMMENT ON COLUMN t_recall_target.version IS '版数';</t>
        </is>
      </c>
    </row>
    <row r="769">
      <c r="A769" s="28" t="inlineStr"/>
    </row>
    <row r="770">
      <c r="A770" s="28" t="inlineStr">
        <is>
          <t>-- 出荷明細：出荷明細（ロット紐付け必須）</t>
        </is>
      </c>
    </row>
    <row r="771">
      <c r="A771" s="28" t="inlineStr">
        <is>
          <t>CREATE TABLE t_shipment_line (</t>
        </is>
      </c>
    </row>
    <row r="772">
      <c r="A772" s="28" t="inlineStr">
        <is>
          <t xml:space="preserve">  id BIGINT GENERATED ALWAYS AS IDENTITY PRIMARY KEY,</t>
        </is>
      </c>
    </row>
    <row r="773">
      <c r="A773" s="28" t="inlineStr">
        <is>
          <t xml:space="preserve">  shipment_id BIGINT NOT NULL REFERENCES t_shipment(id),</t>
        </is>
      </c>
    </row>
    <row r="774">
      <c r="A774" s="28" t="inlineStr">
        <is>
          <t xml:space="preserve">  sales_order_line_id BIGINT NOT NULL REFERENCES t_sales_order_line(id),</t>
        </is>
      </c>
    </row>
    <row r="775">
      <c r="A775" s="28" t="inlineStr">
        <is>
          <t xml:space="preserve">  product_id BIGINT NOT NULL REFERENCES m_product(id),</t>
        </is>
      </c>
    </row>
    <row r="776">
      <c r="A776" s="28" t="inlineStr">
        <is>
          <t xml:space="preserve">  lot_id BIGINT NOT NULL REFERENCES t_lot(id),</t>
        </is>
      </c>
    </row>
    <row r="777">
      <c r="A777" s="28" t="inlineStr">
        <is>
          <t xml:space="preserve">  location_id BIGINT NOT NULL REFERENCES m_location(id),</t>
        </is>
      </c>
    </row>
    <row r="778">
      <c r="A778" s="28" t="inlineStr">
        <is>
          <t xml:space="preserve">  quantity INTEGER NOT NULL,</t>
        </is>
      </c>
    </row>
    <row r="779">
      <c r="A779" s="28" t="inlineStr">
        <is>
          <t xml:space="preserve">  unit_price NUMERIC(12,2) NOT NULL,</t>
        </is>
      </c>
    </row>
    <row r="780">
      <c r="A780" s="28" t="inlineStr">
        <is>
          <t xml:space="preserve">  unit_cost NUMERIC(12,2),</t>
        </is>
      </c>
    </row>
    <row r="781">
      <c r="A781" s="28" t="inlineStr">
        <is>
          <t xml:space="preserve">  status VARCHAR(20) NOT NULL DEFAULT 'ALLOCATED',</t>
        </is>
      </c>
    </row>
    <row r="782">
      <c r="A782" s="28" t="inlineStr">
        <is>
          <t xml:space="preserve">  created_at TIMESTAMPTZ NOT NULL DEFAULT now(),</t>
        </is>
      </c>
    </row>
    <row r="783">
      <c r="A783" s="28" t="inlineStr">
        <is>
          <t xml:space="preserve">  created_by BIGINT NOT NULL REFERENCES m_user(id),</t>
        </is>
      </c>
    </row>
    <row r="784">
      <c r="A784" s="28" t="inlineStr">
        <is>
          <t xml:space="preserve">  updated_at TIMESTAMPTZ NOT NULL DEFAULT now(),</t>
        </is>
      </c>
    </row>
    <row r="785">
      <c r="A785" s="28" t="inlineStr">
        <is>
          <t xml:space="preserve">  updated_by BIGINT NOT NULL REFERENCES m_user(id),</t>
        </is>
      </c>
    </row>
    <row r="786">
      <c r="A786" s="28" t="inlineStr">
        <is>
          <t xml:space="preserve">  version INTEGER NOT NULL DEFAULT 1</t>
        </is>
      </c>
    </row>
    <row r="787">
      <c r="A787" s="28" t="inlineStr">
        <is>
          <t>);</t>
        </is>
      </c>
    </row>
    <row r="788">
      <c r="A788" s="28" t="inlineStr">
        <is>
          <t>COMMENT ON TABLE t_shipment_line IS '出荷明細';</t>
        </is>
      </c>
    </row>
    <row r="789">
      <c r="A789" s="28" t="inlineStr">
        <is>
          <t>COMMENT ON COLUMN t_shipment_line.id IS '出荷明細ID';</t>
        </is>
      </c>
    </row>
    <row r="790">
      <c r="A790" s="28" t="inlineStr">
        <is>
          <t>COMMENT ON COLUMN t_shipment_line.shipment_id IS '出荷ID';</t>
        </is>
      </c>
    </row>
    <row r="791">
      <c r="A791" s="28" t="inlineStr">
        <is>
          <t>COMMENT ON COLUMN t_shipment_line.sales_order_line_id IS '受注明細ID';</t>
        </is>
      </c>
    </row>
    <row r="792">
      <c r="A792" s="28" t="inlineStr">
        <is>
          <t>COMMENT ON COLUMN t_shipment_line.product_id IS '商品ID';</t>
        </is>
      </c>
    </row>
    <row r="793">
      <c r="A793" s="28" t="inlineStr">
        <is>
          <t>COMMENT ON COLUMN t_shipment_line.lot_id IS 'ロットID';</t>
        </is>
      </c>
    </row>
    <row r="794">
      <c r="A794" s="28" t="inlineStr">
        <is>
          <t>COMMENT ON COLUMN t_shipment_line.location_id IS '出庫保管場所ID';</t>
        </is>
      </c>
    </row>
    <row r="795">
      <c r="A795" s="28" t="inlineStr">
        <is>
          <t>COMMENT ON COLUMN t_shipment_line.quantity IS '出荷数量';</t>
        </is>
      </c>
    </row>
    <row r="796">
      <c r="A796" s="28" t="inlineStr">
        <is>
          <t>COMMENT ON COLUMN t_shipment_line.unit_price IS '販売単価（円）';</t>
        </is>
      </c>
    </row>
    <row r="797">
      <c r="A797" s="28" t="inlineStr">
        <is>
          <t>COMMENT ON COLUMN t_shipment_line.unit_cost IS '原価単価（円）';</t>
        </is>
      </c>
    </row>
    <row r="798">
      <c r="A798" s="28" t="inlineStr">
        <is>
          <t>COMMENT ON COLUMN t_shipment_line.status IS '明細ステータス';</t>
        </is>
      </c>
    </row>
    <row r="799">
      <c r="A799" s="28" t="inlineStr">
        <is>
          <t>COMMENT ON COLUMN t_shipment_line.created_at IS '作成日時';</t>
        </is>
      </c>
    </row>
    <row r="800">
      <c r="A800" s="28" t="inlineStr">
        <is>
          <t>COMMENT ON COLUMN t_shipment_line.created_by IS '作成者';</t>
        </is>
      </c>
    </row>
    <row r="801">
      <c r="A801" s="28" t="inlineStr">
        <is>
          <t>COMMENT ON COLUMN t_shipment_line.updated_at IS '更新日時';</t>
        </is>
      </c>
    </row>
    <row r="802">
      <c r="A802" s="28" t="inlineStr">
        <is>
          <t>COMMENT ON COLUMN t_shipment_line.updated_by IS '更新者';</t>
        </is>
      </c>
    </row>
    <row r="803">
      <c r="A803" s="28" t="inlineStr">
        <is>
          <t>COMMENT ON COLUMN t_shipment_line.version IS '版数';</t>
        </is>
      </c>
    </row>
    <row r="804">
      <c r="A804" s="28" t="inlineStr"/>
    </row>
    <row r="805">
      <c r="A805" s="28" t="inlineStr">
        <is>
          <t>-- 返品：返品（元出荷明細に紐付け）</t>
        </is>
      </c>
    </row>
    <row r="806">
      <c r="A806" s="28" t="inlineStr">
        <is>
          <t>CREATE TABLE t_return (</t>
        </is>
      </c>
    </row>
    <row r="807">
      <c r="A807" s="28" t="inlineStr">
        <is>
          <t xml:space="preserve">  id BIGINT GENERATED ALWAYS AS IDENTITY PRIMARY KEY,</t>
        </is>
      </c>
    </row>
    <row r="808">
      <c r="A808" s="28" t="inlineStr">
        <is>
          <t xml:space="preserve">  return_no VARCHAR(20) NOT NULL,</t>
        </is>
      </c>
    </row>
    <row r="809">
      <c r="A809" s="28" t="inlineStr">
        <is>
          <t xml:space="preserve">  shipment_line_id BIGINT NOT NULL REFERENCES t_shipment_line(id),</t>
        </is>
      </c>
    </row>
    <row r="810">
      <c r="A810" s="28" t="inlineStr">
        <is>
          <t xml:space="preserve">  recall_target_id BIGINT REFERENCES t_recall_target(id),</t>
        </is>
      </c>
    </row>
    <row r="811">
      <c r="A811" s="28" t="inlineStr">
        <is>
          <t xml:space="preserve">  returned_on DATE NOT NULL,</t>
        </is>
      </c>
    </row>
    <row r="812">
      <c r="A812" s="28" t="inlineStr">
        <is>
          <t xml:space="preserve">  quantity INTEGER NOT NULL,</t>
        </is>
      </c>
    </row>
    <row r="813">
      <c r="A813" s="28" t="inlineStr">
        <is>
          <t xml:space="preserve">  reason TEXT NOT NULL,</t>
        </is>
      </c>
    </row>
    <row r="814">
      <c r="A814" s="28" t="inlineStr">
        <is>
          <t xml:space="preserve">  disposition VARCHAR(20),</t>
        </is>
      </c>
    </row>
    <row r="815">
      <c r="A815" s="28" t="inlineStr">
        <is>
          <t xml:space="preserve">  location_id BIGINT NOT NULL REFERENCES m_location(id),</t>
        </is>
      </c>
    </row>
    <row r="816">
      <c r="A816" s="28" t="inlineStr">
        <is>
          <t xml:space="preserve">  restock_location_id BIGINT REFERENCES m_location(id),</t>
        </is>
      </c>
    </row>
    <row r="817">
      <c r="A817" s="28" t="inlineStr">
        <is>
          <t xml:space="preserve">  status VARCHAR(20) NOT NULL DEFAULT 'RECEIVED',</t>
        </is>
      </c>
    </row>
    <row r="818">
      <c r="A818" s="28" t="inlineStr">
        <is>
          <t xml:space="preserve">  created_at TIMESTAMPTZ NOT NULL DEFAULT now(),</t>
        </is>
      </c>
    </row>
    <row r="819">
      <c r="A819" s="28" t="inlineStr">
        <is>
          <t xml:space="preserve">  created_by BIGINT NOT NULL REFERENCES m_user(id),</t>
        </is>
      </c>
    </row>
    <row r="820">
      <c r="A820" s="28" t="inlineStr">
        <is>
          <t xml:space="preserve">  updated_at TIMESTAMPTZ NOT NULL DEFAULT now(),</t>
        </is>
      </c>
    </row>
    <row r="821">
      <c r="A821" s="28" t="inlineStr">
        <is>
          <t xml:space="preserve">  updated_by BIGINT NOT NULL REFERENCES m_user(id),</t>
        </is>
      </c>
    </row>
    <row r="822">
      <c r="A822" s="28" t="inlineStr">
        <is>
          <t xml:space="preserve">  version INTEGER NOT NULL DEFAULT 1</t>
        </is>
      </c>
    </row>
    <row r="823">
      <c r="A823" s="28" t="inlineStr">
        <is>
          <t>);</t>
        </is>
      </c>
    </row>
    <row r="824">
      <c r="A824" s="28" t="inlineStr">
        <is>
          <t>COMMENT ON TABLE t_return IS '返品';</t>
        </is>
      </c>
    </row>
    <row r="825">
      <c r="A825" s="28" t="inlineStr">
        <is>
          <t>COMMENT ON COLUMN t_return.id IS '返品ID';</t>
        </is>
      </c>
    </row>
    <row r="826">
      <c r="A826" s="28" t="inlineStr">
        <is>
          <t>COMMENT ON COLUMN t_return.return_no IS '返品番号';</t>
        </is>
      </c>
    </row>
    <row r="827">
      <c r="A827" s="28" t="inlineStr">
        <is>
          <t>COMMENT ON COLUMN t_return.shipment_line_id IS '元出荷明細ID';</t>
        </is>
      </c>
    </row>
    <row r="828">
      <c r="A828" s="28" t="inlineStr">
        <is>
          <t>COMMENT ON COLUMN t_return.recall_target_id IS '回収対象ID';</t>
        </is>
      </c>
    </row>
    <row r="829">
      <c r="A829" s="28" t="inlineStr">
        <is>
          <t>COMMENT ON COLUMN t_return.returned_on IS '返品日';</t>
        </is>
      </c>
    </row>
    <row r="830">
      <c r="A830" s="28" t="inlineStr">
        <is>
          <t>COMMENT ON COLUMN t_return.quantity IS '返品数量';</t>
        </is>
      </c>
    </row>
    <row r="831">
      <c r="A831" s="28" t="inlineStr">
        <is>
          <t>COMMENT ON COLUMN t_return.reason IS '返品理由';</t>
        </is>
      </c>
    </row>
    <row r="832">
      <c r="A832" s="28" t="inlineStr">
        <is>
          <t>COMMENT ON COLUMN t_return.disposition IS '処置';</t>
        </is>
      </c>
    </row>
    <row r="833">
      <c r="A833" s="28" t="inlineStr">
        <is>
          <t>COMMENT ON COLUMN t_return.location_id IS '受入保管場所ID';</t>
        </is>
      </c>
    </row>
    <row r="834">
      <c r="A834" s="28" t="inlineStr">
        <is>
          <t>COMMENT ON COLUMN t_return.restock_location_id IS '戻し保管場所ID';</t>
        </is>
      </c>
    </row>
    <row r="835">
      <c r="A835" s="28" t="inlineStr">
        <is>
          <t>COMMENT ON COLUMN t_return.status IS 'ステータス';</t>
        </is>
      </c>
    </row>
    <row r="836">
      <c r="A836" s="28" t="inlineStr">
        <is>
          <t>COMMENT ON COLUMN t_return.created_at IS '作成日時';</t>
        </is>
      </c>
    </row>
    <row r="837">
      <c r="A837" s="28" t="inlineStr">
        <is>
          <t>COMMENT ON COLUMN t_return.created_by IS '作成者';</t>
        </is>
      </c>
    </row>
    <row r="838">
      <c r="A838" s="28" t="inlineStr">
        <is>
          <t>COMMENT ON COLUMN t_return.updated_at IS '更新日時';</t>
        </is>
      </c>
    </row>
    <row r="839">
      <c r="A839" s="28" t="inlineStr">
        <is>
          <t>COMMENT ON COLUMN t_return.updated_by IS '更新者';</t>
        </is>
      </c>
    </row>
    <row r="840">
      <c r="A840" s="28" t="inlineStr">
        <is>
          <t>COMMENT ON COLUMN t_return.version IS '版数';</t>
        </is>
      </c>
    </row>
    <row r="841">
      <c r="A841" s="28" t="inlineStr"/>
    </row>
    <row r="842">
      <c r="A842" s="28" t="inlineStr">
        <is>
          <t>-- 一意制約・CHECK・インデックス</t>
        </is>
      </c>
    </row>
    <row r="843">
      <c r="A843" s="28" t="inlineStr">
        <is>
          <t>ALTER TABLE m_supplier ADD CONSTRAINT uq_supplier_code UNIQUE (supplier_code);</t>
        </is>
      </c>
    </row>
    <row r="844">
      <c r="A844" s="28" t="inlineStr">
        <is>
          <t>ALTER TABLE m_product ADD CONSTRAINT uq_product_code UNIQUE (product_code);</t>
        </is>
      </c>
    </row>
    <row r="845">
      <c r="A845" s="28" t="inlineStr">
        <is>
          <t>ALTER TABLE m_customer ADD CONSTRAINT uq_customer_code UNIQUE (customer_code);</t>
        </is>
      </c>
    </row>
    <row r="846">
      <c r="A846" s="28" t="inlineStr">
        <is>
          <t>ALTER TABLE m_customer ADD CONSTRAINT ck_customer_medical_code CHECK (customer_type&lt;&gt;'MEDICAL' OR medical_inst_code IS NOT NULL);</t>
        </is>
      </c>
    </row>
    <row r="847">
      <c r="A847" s="28" t="inlineStr">
        <is>
          <t>CREATE UNIQUE INDEX uq_ship_to_default ON m_ship_to (customer_id) WHERE is_default;</t>
        </is>
      </c>
    </row>
    <row r="848">
      <c r="A848" s="28" t="inlineStr">
        <is>
          <t>ALTER TABLE m_location ADD CONSTRAINT uq_location_code UNIQUE (location_code);</t>
        </is>
      </c>
    </row>
    <row r="849">
      <c r="A849" s="28" t="inlineStr">
        <is>
          <t>ALTER TABLE m_location ADD CONSTRAINT ck_location_temp CHECK (temp_min &lt; temp_max);</t>
        </is>
      </c>
    </row>
    <row r="850">
      <c r="A850" s="28" t="inlineStr">
        <is>
          <t>ALTER TABLE m_sales_rule ADD CONSTRAINT uq_sales_rule UNIQUE (regulatory_class, customer_type);</t>
        </is>
      </c>
    </row>
    <row r="851">
      <c r="A851" s="28" t="inlineStr">
        <is>
          <t>ALTER TABLE m_user ADD CONSTRAINT uq_user_email UNIQUE (email);</t>
        </is>
      </c>
    </row>
    <row r="852">
      <c r="A852" s="28" t="inlineStr">
        <is>
          <t>ALTER TABLE t_purchase_order ADD CONSTRAINT uq_po_no UNIQUE (po_no);</t>
        </is>
      </c>
    </row>
    <row r="853">
      <c r="A853" s="28" t="inlineStr">
        <is>
          <t>ALTER TABLE t_purchase_order_line ADD CONSTRAINT uq_po_line UNIQUE (purchase_order_id, line_no);</t>
        </is>
      </c>
    </row>
    <row r="854">
      <c r="A854" s="28" t="inlineStr">
        <is>
          <t>ALTER TABLE t_receipt ADD CONSTRAINT uq_receipt_no UNIQUE (receipt_no);</t>
        </is>
      </c>
    </row>
    <row r="855">
      <c r="A855" s="28" t="inlineStr">
        <is>
          <t>ALTER TABLE t_lot ADD CONSTRAINT uq_lot_no UNIQUE (lot_no);</t>
        </is>
      </c>
    </row>
    <row r="856">
      <c r="A856" s="28" t="inlineStr">
        <is>
          <t>ALTER TABLE t_lot ADD CONSTRAINT uq_lot_supplier_lot UNIQUE (supplier_id, product_id, supplier_lot_no);</t>
        </is>
      </c>
    </row>
    <row r="857">
      <c r="A857" s="28" t="inlineStr">
        <is>
          <t>CREATE INDEX ix_lot_product_status_exp ON t_lot (product_id, status, expires_on, received_on);</t>
        </is>
      </c>
    </row>
    <row r="858">
      <c r="A858" s="28" t="inlineStr">
        <is>
          <t>CREATE INDEX ix_lot_status_history ON t_lot_status_history (lot_id, changed_at);</t>
        </is>
      </c>
    </row>
    <row r="859">
      <c r="A859" s="28" t="inlineStr">
        <is>
          <t>ALTER TABLE t_receipt_line ADD CONSTRAINT ck_receipt_line_qty CHECK (quantity &gt; 0);</t>
        </is>
      </c>
    </row>
    <row r="860">
      <c r="A860" s="28" t="inlineStr">
        <is>
          <t>ALTER TABLE t_inventory ADD CONSTRAINT uq_inventory_lot_loc UNIQUE (lot_id, location_id);</t>
        </is>
      </c>
    </row>
    <row r="861">
      <c r="A861" s="28" t="inlineStr">
        <is>
          <t>ALTER TABLE t_inventory ADD CONSTRAINT ck_inventory_qty CHECK (on_hand_qty &gt;= 0 AND 0 &lt;= allocated_qty AND allocated_qty &lt;= on_hand_qty);</t>
        </is>
      </c>
    </row>
    <row r="862">
      <c r="A862" s="28" t="inlineStr">
        <is>
          <t>CREATE INDEX ix_movement_lot_loc ON t_stock_movement (lot_id, location_id, moved_at);</t>
        </is>
      </c>
    </row>
    <row r="863">
      <c r="A863" s="28" t="inlineStr">
        <is>
          <t>CREATE INDEX ix_movement_ref ON t_stock_movement (ref_type, ref_id);</t>
        </is>
      </c>
    </row>
    <row r="864">
      <c r="A864" s="28" t="inlineStr">
        <is>
          <t>ALTER TABLE t_sales_order ADD CONSTRAINT uq_so_no UNIQUE (so_no);</t>
        </is>
      </c>
    </row>
    <row r="865">
      <c r="A865" s="28" t="inlineStr">
        <is>
          <t>CREATE INDEX ix_so_customer_date ON t_sales_order (customer_id, order_date);</t>
        </is>
      </c>
    </row>
    <row r="866">
      <c r="A866" s="28" t="inlineStr">
        <is>
          <t>ALTER TABLE t_sales_order_line ADD CONSTRAINT uq_so_line UNIQUE (sales_order_id, line_no);</t>
        </is>
      </c>
    </row>
    <row r="867">
      <c r="A867" s="28" t="inlineStr">
        <is>
          <t>ALTER TABLE t_shipment ADD CONSTRAINT uq_shipment_no UNIQUE (shipment_no);</t>
        </is>
      </c>
    </row>
    <row r="868">
      <c r="A868" s="28" t="inlineStr">
        <is>
          <t>CREATE INDEX ix_shipment_customer_date ON t_shipment (customer_id, shipped_on);</t>
        </is>
      </c>
    </row>
    <row r="869">
      <c r="A869" s="28" t="inlineStr">
        <is>
          <t>CREATE INDEX ix_shipment_line_lot ON t_shipment_line (lot_id, status);</t>
        </is>
      </c>
    </row>
    <row r="870">
      <c r="A870" s="28" t="inlineStr">
        <is>
          <t>CREATE INDEX ix_shipment_line_so_line ON t_shipment_line (sales_order_line_id, status);</t>
        </is>
      </c>
    </row>
    <row r="871">
      <c r="A871" s="28" t="inlineStr">
        <is>
          <t>ALTER TABLE t_shipment_line ADD CONSTRAINT ck_shipment_line_qty CHECK (quantity &gt; 0);</t>
        </is>
      </c>
    </row>
    <row r="872">
      <c r="A872" s="28" t="inlineStr">
        <is>
          <t>ALTER TABLE t_return ADD CONSTRAINT uq_return_no UNIQUE (return_no);</t>
        </is>
      </c>
    </row>
    <row r="873">
      <c r="A873" s="28" t="inlineStr">
        <is>
          <t>CREATE INDEX ix_return_shipment_line ON t_return (shipment_line_id);</t>
        </is>
      </c>
    </row>
    <row r="874">
      <c r="A874" s="28" t="inlineStr">
        <is>
          <t>CREATE INDEX ix_return_recall_target ON t_return (recall_target_id);</t>
        </is>
      </c>
    </row>
    <row r="875">
      <c r="A875" s="28" t="inlineStr">
        <is>
          <t>ALTER TABLE t_recall ADD CONSTRAINT uq_recall_no UNIQUE (recall_no);</t>
        </is>
      </c>
    </row>
    <row r="876">
      <c r="A876" s="28" t="inlineStr">
        <is>
          <t>ALTER TABLE t_recall_lot ADD CONSTRAINT uq_recall_lot UNIQUE (recall_id, lot_id);</t>
        </is>
      </c>
    </row>
    <row r="877">
      <c r="A877" s="28" t="inlineStr">
        <is>
          <t>ALTER TABLE t_recall_target ADD CONSTRAINT uq_recall_target UNIQUE (recall_id, ship_to_id, lot_id);</t>
        </is>
      </c>
    </row>
    <row r="878">
      <c r="A878" s="28" t="inlineStr">
        <is>
          <t>CREATE INDEX ix_temp_location_time ON t_temperature_log (location_id, measured_at);</t>
        </is>
      </c>
    </row>
    <row r="879">
      <c r="A879" s="28" t="inlineStr">
        <is>
          <t>CREATE INDEX ix_attachment_owner ON t_attachment (owner_type, owner_id);</t>
        </is>
      </c>
    </row>
    <row r="880">
      <c r="A880" s="28" t="inlineStr">
        <is>
          <t>CREATE INDEX ix_audit_target ON t_audit_log (target_table, target_id, occurred_at);</t>
        </is>
      </c>
    </row>
    <row r="881">
      <c r="A881" s="28" t="inlineStr">
        <is>
          <t>CREATE INDEX ix_audit_user_time ON t_audit_log (user_id, occurred_at);</t>
        </is>
      </c>
    </row>
  </sheetData>
  <hyperlinks>
    <hyperlink xmlns:r="http://schemas.openxmlformats.org/officeDocument/2006/relationships" ref="B1" r:id="rId1"/>
  </hyperlinks>
  <printOptions gridLines="0"/>
  <pageMargins left="0.75" right="0.75" top="1" bottom="1" header="0.5" footer="0.5"/>
  <pageSetup orientation="landscape" fitToHeight="0" fitToWidth="1"/>
</worksheet>
</file>

<file path=xl/worksheets/sheet17.xml><?xml version="1.0" encoding="utf-8"?>
<worksheet xmlns="http://schemas.openxmlformats.org/spreadsheetml/2006/main">
  <sheetPr>
    <outlinePr summaryBelow="1" summaryRight="1"/>
    <pageSetUpPr fitToPage="1"/>
  </sheetPr>
  <dimension ref="A1:C8"/>
  <sheetViews>
    <sheetView zoomScale="90" workbookViewId="0">
      <pane ySplit="3" topLeftCell="A4" activePane="bottomLeft" state="frozen"/>
      <selection pane="bottomLeft" activeCell="A1" sqref="A1"/>
    </sheetView>
  </sheetViews>
  <sheetFormatPr baseColWidth="8" defaultRowHeight="15"/>
  <cols>
    <col width="8" customWidth="1" min="1" max="1"/>
    <col width="26" customWidth="1" min="2" max="2"/>
    <col width="120" customWidth="1" min="3" max="3"/>
  </cols>
  <sheetData>
    <row r="1">
      <c r="A1" s="5" t="inlineStr">
        <is>
          <t>主要SQL</t>
        </is>
      </c>
      <c r="C1" s="15" t="inlineStr">
        <is>
          <t>← 表紙へ</t>
        </is>
      </c>
    </row>
    <row r="3">
      <c r="A3" s="8" t="inlineStr">
        <is>
          <t>SQL ID</t>
        </is>
      </c>
      <c r="B3" s="8" t="inlineStr">
        <is>
          <t>用途</t>
        </is>
      </c>
      <c r="C3" s="8" t="inlineStr">
        <is>
          <t>SQL</t>
        </is>
      </c>
    </row>
    <row r="4" ht="210" customHeight="1">
      <c r="A4" s="9" t="inlineStr">
        <is>
          <t>SQL-01</t>
        </is>
      </c>
      <c r="B4" s="16" t="inlineStr">
        <is>
          <t>ロット→出荷先顧客（前方追跡）</t>
        </is>
      </c>
      <c r="C4" s="29" t="inlineStr">
        <is>
          <t>SELECT c.customer_code, c.name AS customer_name, st.name AS ship_to_name, s.shipment_no, s.shipped_on,
       sl.status AS line_status, sl.quantity AS shipped_qty,
       COALESCE(SUM(r.quantity) FILTER (WHERE r.recall_target_id IS NULL), 0) AS returned_qty,
       COALESCE(SUM(r.quantity) FILTER (WHERE r.recall_target_id IS NOT NULL), 0) AS recalled_qty,
       CASE WHEN sl.status = 'SHIPPED' THEN sl.quantity - COALESCE(SUM(r.quantity), 0) ELSE 0 END AS net_qty
FROM t_shipment_line sl
JOIN t_shipment s ON s.id = sl.shipment_id
JOIN m_customer c ON c.id = s.customer_id
JOIN m_ship_to st ON st.id = s.ship_to_id
LEFT JOIN t_return r ON r.shipment_line_id = sl.id
WHERE sl.lot_id = :lot_id AND sl.status IN ('SHIPPED', 'CANCELLED')
  AND EXISTS (SELECT 1 FROM t_stock_movement m WHERE m.ref_type = 'shipment_line' AND m.ref_id = sl.id AND m.movement_type = 'SHIPMENT')
GROUP BY c.customer_code, c.name, st.name, s.shipment_no, s.shipped_on, sl.id, sl.status, sl.quantity
ORDER BY s.shipped_on, sl.id;</t>
        </is>
      </c>
    </row>
    <row r="5" ht="195" customHeight="1">
      <c r="A5" s="9" t="inlineStr">
        <is>
          <t>SQL-02</t>
        </is>
      </c>
      <c r="B5" s="16" t="inlineStr">
        <is>
          <t>顧客→購入ロット（後方追跡）</t>
        </is>
      </c>
      <c r="C5" s="29" t="inlineStr">
        <is>
          <t>SELECT s.shipped_on, p.product_code, p.name AS product_name, l.lot_no, l.supplier_lot_no,
       l.expires_on, l.status AS lot_status, sl.quantity AS shipped_qty,
       COALESCE(SUM(r.quantity), 0) AS returned_qty,
       sl.quantity - COALESCE(SUM(r.quantity), 0) AS net_qty
FROM t_shipment s
JOIN t_shipment_line sl ON sl.shipment_id = s.id AND sl.status = 'SHIPPED'
JOIN t_lot l ON l.id = sl.lot_id
JOIN m_product p ON p.id = sl.product_id
LEFT JOIN t_return r ON r.shipment_line_id = sl.id
WHERE s.customer_id = :customer_id
  AND s.shipped_on BETWEEN :from AND :to
GROUP BY s.shipped_on, p.product_code, p.name, l.lot_no, l.supplier_lot_no, l.expires_on, l.status, sl.id, sl.quantity
ORDER BY s.shipped_on DESC;</t>
        </is>
      </c>
    </row>
    <row r="6" ht="495" customHeight="1">
      <c r="A6" s="9" t="inlineStr">
        <is>
          <t>SQL-03</t>
        </is>
      </c>
      <c r="B6" s="16" t="inlineStr">
        <is>
          <t>回収対象抽出（P-18。再実行可・冪等）</t>
        </is>
      </c>
      <c r="C6" s="29" t="inlineStr">
        <is>
          <t>-- (1) 出荷正味数量の UPSERT。shipped_qty＝出荷数量−通常返品数量（回収品の返品は recovered_qty 側で管理するため除外）
INSERT INTO t_recall_target (recall_id, customer_id, ship_to_id, lot_id, shipped_qty, recovered_qty, status, close_reason, created_by, updated_by)
SELECT :recall_id, s.customer_id, s.ship_to_id, sl.lot_id,
       SUM(sl.quantity - COALESCE(rt.returned, 0)), 0,
       CASE WHEN SUM(sl.quantity - COALESCE(rt.returned, 0)) &gt; 0 THEN 'NOT_CONTACTED' ELSE 'CLOSED' END,
       CASE WHEN SUM(sl.quantity - COALESCE(rt.returned, 0)) &gt; 0 THEN NULL ELSE '自動：出荷正味0' END,
       :user_id, :user_id
FROM t_recall_lot rl
JOIN t_shipment_line sl ON sl.lot_id = rl.lot_id AND sl.status = 'SHIPPED'
JOIN t_shipment s ON s.id = sl.shipment_id
LEFT JOIN (SELECT shipment_line_id, SUM(quantity) AS returned FROM t_return
           WHERE recall_target_id IS NULL GROUP BY shipment_line_id) rt
       ON rt.shipment_line_id = sl.id
WHERE rl.recall_id = :recall_id
GROUP BY s.customer_id, s.ship_to_id, sl.lot_id
ON CONFLICT (recall_id, ship_to_id, lot_id) DO UPDATE
  SET shipped_qty = EXCLUDED.shipped_qty,
      status = CASE
        WHEN EXCLUDED.shipped_qty = 0 AND t_recall_target.recovered_qty = 0 THEN 'CLOSED'
        WHEN t_recall_target.recovered_qty + t_recall_target.unrecoverable_qty &gt;= EXCLUDED.shipped_qty THEN 'RECOVERED'
        ELSE t_recall_target.status END,
      close_reason = CASE WHEN EXCLUDED.shipped_qty = 0 AND t_recall_target.recovered_qty = 0
                          THEN '自動：出荷正味0' ELSE t_recall_target.close_reason END,
      updated_at = now(), updated_by = EXCLUDED.updated_by;
-- (2) 出荷取消で SHIPPED 明細が無くなった対象を 0／CLOSED に更新
UPDATE t_recall_target t
   SET shipped_qty = 0,
       status = CASE WHEN t.recovered_qty &gt; 0 THEN 'RECOVERED' ELSE 'CLOSED' END,
       close_reason = CASE WHEN t.recovered_qty &gt; 0 THEN t.close_reason ELSE '自動：出荷取消' END,
       updated_at = now(), updated_by = :user_id
 WHERE t.recall_id = :recall_id AND t.shipped_qty &lt;&gt; 0
   AND NOT EXISTS (SELECT 1 FROM t_shipment_line sl JOIN t_shipment s ON s.id = sl.shipment_id
                   WHERE sl.lot_id = t.lot_id AND s.ship_to_id = t.ship_to_id AND sl.status = 'SHIPPED');</t>
        </is>
      </c>
    </row>
    <row r="7" ht="120" customHeight="1">
      <c r="A7" s="9" t="inlineStr">
        <is>
          <t>SQL-04</t>
        </is>
      </c>
      <c r="B7" s="16" t="inlineStr">
        <is>
          <t>在庫整合性チェック：現在庫＝移動履歴合計（日次バッチ）</t>
        </is>
      </c>
      <c r="C7" s="29" t="inlineStr">
        <is>
          <t>WITH mv AS (
  SELECT lot_id, location_id, SUM(quantity) AS total FROM t_stock_movement GROUP BY lot_id, location_id
)
SELECT COALESCE(i.lot_id, mv.lot_id) AS lot_id, COALESCE(i.location_id, mv.location_id) AS location_id,
       COALESCE(i.on_hand_qty, 0) AS on_hand_qty, COALESCE(mv.total, 0) AS movement_total
FROM t_inventory i
FULL JOIN mv ON mv.lot_id = i.lot_id AND mv.location_id = i.location_id
WHERE COALESCE(i.on_hand_qty, 0) &lt;&gt; COALESCE(mv.total, 0);</t>
        </is>
      </c>
    </row>
    <row r="8" ht="90" customHeight="1">
      <c r="A8" s="9" t="inlineStr">
        <is>
          <t>SQL-05</t>
        </is>
      </c>
      <c r="B8" s="16" t="inlineStr">
        <is>
          <t>引当整合性チェック：引当済数＝ALLOCATED出荷明細合計（日次バッチ）</t>
        </is>
      </c>
      <c r="C8" s="29" t="inlineStr">
        <is>
          <t>SELECT i.lot_id, i.location_id, i.allocated_qty, COALESCE(a.qty, 0) AS allocated_lines
FROM t_inventory i
LEFT JOIN (SELECT lot_id, location_id, SUM(quantity) AS qty FROM t_shipment_line
           WHERE status = 'ALLOCATED' GROUP BY lot_id, location_id) a
       ON a.lot_id = i.lot_id AND a.location_id = i.location_id
WHERE i.allocated_qty &lt;&gt; COALESCE(a.qty, 0);</t>
        </is>
      </c>
    </row>
  </sheetData>
  <autoFilter ref="A3:C8"/>
  <hyperlinks>
    <hyperlink xmlns:r="http://schemas.openxmlformats.org/officeDocument/2006/relationships" ref="C1" r:id="rId1"/>
  </hyperlinks>
  <printOptions gridLines="0"/>
  <pageMargins left="0.75" right="0.75" top="1" bottom="1" header="0.5" footer="0.5"/>
  <pageSetup orientation="landscape" fitToHeight="0" fitToWidth="1"/>
</worksheet>
</file>

<file path=xl/worksheets/sheet18.xml><?xml version="1.0" encoding="utf-8"?>
<worksheet xmlns="http://schemas.openxmlformats.org/spreadsheetml/2006/main">
  <sheetPr>
    <outlinePr summaryBelow="1" summaryRight="1"/>
    <pageSetUpPr fitToPage="1"/>
  </sheetPr>
  <dimension ref="A1:D47"/>
  <sheetViews>
    <sheetView zoomScale="90" workbookViewId="0">
      <pane ySplit="3" topLeftCell="A4" activePane="bottomLeft" state="frozen"/>
      <selection pane="bottomLeft" activeCell="A1" sqref="A1"/>
    </sheetView>
  </sheetViews>
  <sheetFormatPr baseColWidth="8" defaultRowHeight="15"/>
  <cols>
    <col width="16" customWidth="1" min="1" max="1"/>
    <col width="16" customWidth="1" min="2" max="2"/>
    <col width="22" customWidth="1" min="3" max="3"/>
    <col width="50" customWidth="1" min="4" max="4"/>
  </cols>
  <sheetData>
    <row r="1">
      <c r="A1" s="5" t="inlineStr">
        <is>
          <t>コード定義</t>
        </is>
      </c>
      <c r="D1" s="15" t="inlineStr">
        <is>
          <t>← 表紙へ</t>
        </is>
      </c>
    </row>
    <row r="2">
      <c r="A2" s="17" t="inlineStr">
        <is>
          <t>DBにはコード（英字）を格納し、画面・帳票では名称を表示する</t>
        </is>
      </c>
    </row>
    <row r="3">
      <c r="A3" s="8" t="inlineStr">
        <is>
          <t>コード種別</t>
        </is>
      </c>
      <c r="B3" s="8" t="inlineStr">
        <is>
          <t>コード</t>
        </is>
      </c>
      <c r="C3" s="8" t="inlineStr">
        <is>
          <t>名称</t>
        </is>
      </c>
      <c r="D3" s="8" t="inlineStr">
        <is>
          <t>備考</t>
        </is>
      </c>
    </row>
    <row r="4">
      <c r="A4" s="9" t="inlineStr">
        <is>
          <t>由来</t>
        </is>
      </c>
      <c r="B4" s="16" t="inlineStr">
        <is>
          <t>ADIPOSE</t>
        </is>
      </c>
      <c r="C4" s="16" t="inlineStr">
        <is>
          <t>ヒト脂肪由来幹細胞</t>
        </is>
      </c>
      <c r="D4" s="16" t="inlineStr"/>
    </row>
    <row r="5">
      <c r="A5" s="9" t="inlineStr">
        <is>
          <t>由来</t>
        </is>
      </c>
      <c r="B5" s="16" t="inlineStr">
        <is>
          <t>UMBILICAL</t>
        </is>
      </c>
      <c r="C5" s="16" t="inlineStr">
        <is>
          <t>ヒト臍帯由来</t>
        </is>
      </c>
      <c r="D5" s="16" t="inlineStr"/>
    </row>
    <row r="6">
      <c r="A6" s="9" t="inlineStr">
        <is>
          <t>由来</t>
        </is>
      </c>
      <c r="B6" s="16" t="inlineStr">
        <is>
          <t>DENTAL_PULP</t>
        </is>
      </c>
      <c r="C6" s="16" t="inlineStr">
        <is>
          <t>ヒト歯髄由来</t>
        </is>
      </c>
      <c r="D6" s="16" t="inlineStr"/>
    </row>
    <row r="7">
      <c r="A7" s="9" t="inlineStr">
        <is>
          <t>由来</t>
        </is>
      </c>
      <c r="B7" s="16" t="inlineStr">
        <is>
          <t>BONE_MARROW</t>
        </is>
      </c>
      <c r="C7" s="16" t="inlineStr">
        <is>
          <t>ヒト骨髄由来</t>
        </is>
      </c>
      <c r="D7" s="16" t="inlineStr"/>
    </row>
    <row r="8">
      <c r="A8" s="9" t="inlineStr">
        <is>
          <t>由来</t>
        </is>
      </c>
      <c r="B8" s="16" t="inlineStr">
        <is>
          <t>PLANT</t>
        </is>
      </c>
      <c r="C8" s="16" t="inlineStr">
        <is>
          <t>植物由来</t>
        </is>
      </c>
      <c r="D8" s="16" t="inlineStr"/>
    </row>
    <row r="9">
      <c r="A9" s="9" t="inlineStr">
        <is>
          <t>由来</t>
        </is>
      </c>
      <c r="B9" s="16" t="inlineStr">
        <is>
          <t>OTHER</t>
        </is>
      </c>
      <c r="C9" s="16" t="inlineStr">
        <is>
          <t>その他</t>
        </is>
      </c>
      <c r="D9" s="16" t="inlineStr"/>
    </row>
    <row r="10">
      <c r="A10" s="9" t="inlineStr">
        <is>
          <t>形態</t>
        </is>
      </c>
      <c r="B10" s="16" t="inlineStr">
        <is>
          <t>FROZEN</t>
        </is>
      </c>
      <c r="C10" s="16" t="inlineStr">
        <is>
          <t>凍結液</t>
        </is>
      </c>
      <c r="D10" s="16" t="inlineStr"/>
    </row>
    <row r="11">
      <c r="A11" s="9" t="inlineStr">
        <is>
          <t>形態</t>
        </is>
      </c>
      <c r="B11" s="16" t="inlineStr">
        <is>
          <t>LYOPHILIZED</t>
        </is>
      </c>
      <c r="C11" s="16" t="inlineStr">
        <is>
          <t>凍結乾燥</t>
        </is>
      </c>
      <c r="D11" s="16" t="inlineStr"/>
    </row>
    <row r="12">
      <c r="A12" s="9" t="inlineStr">
        <is>
          <t>形態</t>
        </is>
      </c>
      <c r="B12" s="16" t="inlineStr">
        <is>
          <t>LIQUID</t>
        </is>
      </c>
      <c r="C12" s="16" t="inlineStr">
        <is>
          <t>液体（冷蔵）</t>
        </is>
      </c>
      <c r="D12" s="16" t="inlineStr"/>
    </row>
    <row r="13">
      <c r="A13" s="9" t="inlineStr">
        <is>
          <t>ロール</t>
        </is>
      </c>
      <c r="B13" s="16" t="inlineStr">
        <is>
          <t>ADMIN</t>
        </is>
      </c>
      <c r="C13" s="16" t="inlineStr">
        <is>
          <t>管理者</t>
        </is>
      </c>
      <c r="D13" s="16" t="inlineStr"/>
    </row>
    <row r="14">
      <c r="A14" s="9" t="inlineStr">
        <is>
          <t>ロール</t>
        </is>
      </c>
      <c r="B14" s="16" t="inlineStr">
        <is>
          <t>PURCHASE</t>
        </is>
      </c>
      <c r="C14" s="16" t="inlineStr">
        <is>
          <t>仕入担当</t>
        </is>
      </c>
      <c r="D14" s="16" t="inlineStr"/>
    </row>
    <row r="15">
      <c r="A15" s="9" t="inlineStr">
        <is>
          <t>ロール</t>
        </is>
      </c>
      <c r="B15" s="16" t="inlineStr">
        <is>
          <t>WAREHOUSE</t>
        </is>
      </c>
      <c r="C15" s="16" t="inlineStr">
        <is>
          <t>倉庫担当</t>
        </is>
      </c>
      <c r="D15" s="16" t="inlineStr"/>
    </row>
    <row r="16">
      <c r="A16" s="9" t="inlineStr">
        <is>
          <t>ロール</t>
        </is>
      </c>
      <c r="B16" s="16" t="inlineStr">
        <is>
          <t>SALES</t>
        </is>
      </c>
      <c r="C16" s="16" t="inlineStr">
        <is>
          <t>営業担当</t>
        </is>
      </c>
      <c r="D16" s="16" t="inlineStr"/>
    </row>
    <row r="17">
      <c r="A17" s="9" t="inlineStr">
        <is>
          <t>ロール</t>
        </is>
      </c>
      <c r="B17" s="16" t="inlineStr">
        <is>
          <t>QA</t>
        </is>
      </c>
      <c r="C17" s="16" t="inlineStr">
        <is>
          <t>品質保証</t>
        </is>
      </c>
      <c r="D17" s="16" t="inlineStr"/>
    </row>
    <row r="18">
      <c r="A18" s="9" t="inlineStr">
        <is>
          <t>ロール</t>
        </is>
      </c>
      <c r="B18" s="16" t="inlineStr">
        <is>
          <t>VIEWER</t>
        </is>
      </c>
      <c r="C18" s="16" t="inlineStr">
        <is>
          <t>閲覧者</t>
        </is>
      </c>
      <c r="D18" s="16" t="inlineStr"/>
    </row>
    <row r="19">
      <c r="A19" s="9" t="inlineStr">
        <is>
          <t>顧客区分</t>
        </is>
      </c>
      <c r="B19" s="16" t="inlineStr">
        <is>
          <t>MEDICAL</t>
        </is>
      </c>
      <c r="C19" s="16" t="inlineStr">
        <is>
          <t>医療機関</t>
        </is>
      </c>
      <c r="D19" s="16" t="inlineStr">
        <is>
          <t>医療機関コード必須</t>
        </is>
      </c>
    </row>
    <row r="20">
      <c r="A20" s="9" t="inlineStr">
        <is>
          <t>顧客区分</t>
        </is>
      </c>
      <c r="B20" s="16" t="inlineStr">
        <is>
          <t>SALON</t>
        </is>
      </c>
      <c r="C20" s="16" t="inlineStr">
        <is>
          <t>サロン</t>
        </is>
      </c>
      <c r="D20" s="16" t="inlineStr"/>
    </row>
    <row r="21">
      <c r="A21" s="9" t="inlineStr">
        <is>
          <t>顧客区分</t>
        </is>
      </c>
      <c r="B21" s="16" t="inlineStr">
        <is>
          <t>DISTRIBUTOR</t>
        </is>
      </c>
      <c r="C21" s="16" t="inlineStr">
        <is>
          <t>代理店</t>
        </is>
      </c>
      <c r="D21" s="16" t="inlineStr">
        <is>
          <t>代理店経由の最終販売先は代理店側の管理範囲（課題 参照）</t>
        </is>
      </c>
    </row>
    <row r="22">
      <c r="A22" s="9" t="inlineStr">
        <is>
          <t>顧客区分</t>
        </is>
      </c>
      <c r="B22" s="16" t="inlineStr">
        <is>
          <t>RESEARCH</t>
        </is>
      </c>
      <c r="C22" s="16" t="inlineStr">
        <is>
          <t>研究機関</t>
        </is>
      </c>
      <c r="D22" s="16" t="inlineStr"/>
    </row>
    <row r="23">
      <c r="A23" s="9" t="inlineStr">
        <is>
          <t>顧客区分</t>
        </is>
      </c>
      <c r="B23" s="16" t="inlineStr">
        <is>
          <t>OTHER</t>
        </is>
      </c>
      <c r="C23" s="16" t="inlineStr">
        <is>
          <t>その他</t>
        </is>
      </c>
      <c r="D23" s="16" t="inlineStr"/>
    </row>
    <row r="24">
      <c r="A24" s="9" t="inlineStr">
        <is>
          <t>規制区分</t>
        </is>
      </c>
      <c r="B24" s="16" t="inlineStr">
        <is>
          <t>COSMETIC_RAW</t>
        </is>
      </c>
      <c r="C24" s="16" t="inlineStr">
        <is>
          <t>化粧品原料</t>
        </is>
      </c>
      <c r="D24" s="16" t="inlineStr"/>
    </row>
    <row r="25">
      <c r="A25" s="9" t="inlineStr">
        <is>
          <t>規制区分</t>
        </is>
      </c>
      <c r="B25" s="16" t="inlineStr">
        <is>
          <t>RESEARCH_USE</t>
        </is>
      </c>
      <c r="C25" s="16" t="inlineStr">
        <is>
          <t>研究用</t>
        </is>
      </c>
      <c r="D25" s="16" t="inlineStr">
        <is>
          <t>研究用途以外への販売不可</t>
        </is>
      </c>
    </row>
    <row r="26">
      <c r="A26" s="9" t="inlineStr">
        <is>
          <t>規制区分</t>
        </is>
      </c>
      <c r="B26" s="16" t="inlineStr">
        <is>
          <t>MEDICAL_USE</t>
        </is>
      </c>
      <c r="C26" s="16" t="inlineStr">
        <is>
          <t>医療機関向け</t>
        </is>
      </c>
      <c r="D26" s="16" t="inlineStr">
        <is>
          <t>医療機関のみ販売可</t>
        </is>
      </c>
    </row>
    <row r="27">
      <c r="A27" s="9" t="inlineStr">
        <is>
          <t>規制区分</t>
        </is>
      </c>
      <c r="B27" s="16" t="inlineStr">
        <is>
          <t>OTHER</t>
        </is>
      </c>
      <c r="C27" s="16" t="inlineStr">
        <is>
          <t>その他</t>
        </is>
      </c>
      <c r="D27" s="16" t="inlineStr"/>
    </row>
    <row r="28">
      <c r="A28" s="9" t="inlineStr">
        <is>
          <t>保管温度区分</t>
        </is>
      </c>
      <c r="B28" s="16" t="inlineStr">
        <is>
          <t>M80</t>
        </is>
      </c>
      <c r="C28" s="16" t="inlineStr">
        <is>
          <t>-80℃</t>
        </is>
      </c>
      <c r="D28" s="16" t="inlineStr">
        <is>
          <t>許容例：-90〜-60℃</t>
        </is>
      </c>
    </row>
    <row r="29">
      <c r="A29" s="9" t="inlineStr">
        <is>
          <t>保管温度区分</t>
        </is>
      </c>
      <c r="B29" s="16" t="inlineStr">
        <is>
          <t>M20</t>
        </is>
      </c>
      <c r="C29" s="16" t="inlineStr">
        <is>
          <t>-20℃</t>
        </is>
      </c>
      <c r="D29" s="16" t="inlineStr">
        <is>
          <t>許容例：-30〜-15℃</t>
        </is>
      </c>
    </row>
    <row r="30">
      <c r="A30" s="9" t="inlineStr">
        <is>
          <t>保管温度区分</t>
        </is>
      </c>
      <c r="B30" s="16" t="inlineStr">
        <is>
          <t>COLD</t>
        </is>
      </c>
      <c r="C30" s="16" t="inlineStr">
        <is>
          <t>2-8℃</t>
        </is>
      </c>
      <c r="D30" s="16" t="inlineStr">
        <is>
          <t>許容例：2〜8℃</t>
        </is>
      </c>
    </row>
    <row r="31">
      <c r="A31" s="9" t="inlineStr">
        <is>
          <t>保管温度区分</t>
        </is>
      </c>
      <c r="B31" s="16" t="inlineStr">
        <is>
          <t>RT</t>
        </is>
      </c>
      <c r="C31" s="16" t="inlineStr">
        <is>
          <t>室温</t>
        </is>
      </c>
      <c r="D31" s="16" t="inlineStr">
        <is>
          <t>許容例：1〜30℃</t>
        </is>
      </c>
    </row>
    <row r="32">
      <c r="A32" s="9" t="inlineStr">
        <is>
          <t>ロットステータス</t>
        </is>
      </c>
      <c r="B32" s="16" t="inlineStr">
        <is>
          <t>QUARANTINE</t>
        </is>
      </c>
      <c r="C32" s="16" t="inlineStr">
        <is>
          <t>検品待ち</t>
        </is>
      </c>
      <c r="D32" s="16" t="inlineStr">
        <is>
          <t>引当不可</t>
        </is>
      </c>
    </row>
    <row r="33">
      <c r="A33" s="9" t="inlineStr">
        <is>
          <t>ロットステータス</t>
        </is>
      </c>
      <c r="B33" s="16" t="inlineStr">
        <is>
          <t>RELEASED</t>
        </is>
      </c>
      <c r="C33" s="16" t="inlineStr">
        <is>
          <t>合格</t>
        </is>
      </c>
      <c r="D33" s="16" t="inlineStr">
        <is>
          <t>引当可</t>
        </is>
      </c>
    </row>
    <row r="34">
      <c r="A34" s="9" t="inlineStr">
        <is>
          <t>ロットステータス</t>
        </is>
      </c>
      <c r="B34" s="16" t="inlineStr">
        <is>
          <t>HOLD</t>
        </is>
      </c>
      <c r="C34" s="16" t="inlineStr">
        <is>
          <t>保留</t>
        </is>
      </c>
      <c r="D34" s="16" t="inlineStr">
        <is>
          <t>引当不可</t>
        </is>
      </c>
    </row>
    <row r="35">
      <c r="A35" s="9" t="inlineStr">
        <is>
          <t>ロットステータス</t>
        </is>
      </c>
      <c r="B35" s="16" t="inlineStr">
        <is>
          <t>REJECTED</t>
        </is>
      </c>
      <c r="C35" s="16" t="inlineStr">
        <is>
          <t>不合格</t>
        </is>
      </c>
      <c r="D35" s="16" t="inlineStr">
        <is>
          <t>引当不可</t>
        </is>
      </c>
    </row>
    <row r="36">
      <c r="A36" s="9" t="inlineStr">
        <is>
          <t>ロットステータス</t>
        </is>
      </c>
      <c r="B36" s="16" t="inlineStr">
        <is>
          <t>RECALLED</t>
        </is>
      </c>
      <c r="C36" s="16" t="inlineStr">
        <is>
          <t>回収</t>
        </is>
      </c>
      <c r="D36" s="16" t="inlineStr">
        <is>
          <t>引当不可・出荷停止</t>
        </is>
      </c>
    </row>
    <row r="37">
      <c r="A37" s="9" t="inlineStr">
        <is>
          <t>ロットステータス</t>
        </is>
      </c>
      <c r="B37" s="16" t="inlineStr">
        <is>
          <t>EXPIRED</t>
        </is>
      </c>
      <c r="C37" s="16" t="inlineStr">
        <is>
          <t>期限切れ</t>
        </is>
      </c>
      <c r="D37" s="16" t="inlineStr">
        <is>
          <t>引当不可</t>
        </is>
      </c>
    </row>
    <row r="38">
      <c r="A38" s="9" t="inlineStr">
        <is>
          <t>ロットステータス</t>
        </is>
      </c>
      <c r="B38" s="16" t="inlineStr">
        <is>
          <t>VOID</t>
        </is>
      </c>
      <c r="C38" s="16" t="inlineStr">
        <is>
          <t>無効</t>
        </is>
      </c>
      <c r="D38" s="16" t="inlineStr">
        <is>
          <t>入荷取消により無効</t>
        </is>
      </c>
    </row>
    <row r="39">
      <c r="A39" s="9" t="inlineStr">
        <is>
          <t>移動区分</t>
        </is>
      </c>
      <c r="B39" s="16" t="inlineStr">
        <is>
          <t>RECEIPT</t>
        </is>
      </c>
      <c r="C39" s="16" t="inlineStr">
        <is>
          <t>入荷</t>
        </is>
      </c>
      <c r="D39" s="16" t="inlineStr">
        <is>
          <t>＋</t>
        </is>
      </c>
    </row>
    <row r="40">
      <c r="A40" s="9" t="inlineStr">
        <is>
          <t>移動区分</t>
        </is>
      </c>
      <c r="B40" s="16" t="inlineStr">
        <is>
          <t>SHIPMENT</t>
        </is>
      </c>
      <c r="C40" s="16" t="inlineStr">
        <is>
          <t>出荷</t>
        </is>
      </c>
      <c r="D40" s="16" t="inlineStr">
        <is>
          <t>−</t>
        </is>
      </c>
    </row>
    <row r="41">
      <c r="A41" s="9" t="inlineStr">
        <is>
          <t>移動区分</t>
        </is>
      </c>
      <c r="B41" s="16" t="inlineStr">
        <is>
          <t>TRANSFER_OUT</t>
        </is>
      </c>
      <c r="C41" s="16" t="inlineStr">
        <is>
          <t>移動出</t>
        </is>
      </c>
      <c r="D41" s="16" t="inlineStr">
        <is>
          <t>−</t>
        </is>
      </c>
    </row>
    <row r="42">
      <c r="A42" s="9" t="inlineStr">
        <is>
          <t>移動区分</t>
        </is>
      </c>
      <c r="B42" s="16" t="inlineStr">
        <is>
          <t>TRANSFER_IN</t>
        </is>
      </c>
      <c r="C42" s="16" t="inlineStr">
        <is>
          <t>移動入</t>
        </is>
      </c>
      <c r="D42" s="16" t="inlineStr">
        <is>
          <t>＋</t>
        </is>
      </c>
    </row>
    <row r="43">
      <c r="A43" s="9" t="inlineStr">
        <is>
          <t>移動区分</t>
        </is>
      </c>
      <c r="B43" s="16" t="inlineStr">
        <is>
          <t>ADJUST</t>
        </is>
      </c>
      <c r="C43" s="16" t="inlineStr">
        <is>
          <t>棚卸調整</t>
        </is>
      </c>
      <c r="D43" s="16" t="inlineStr">
        <is>
          <t>±、理由必須</t>
        </is>
      </c>
    </row>
    <row r="44">
      <c r="A44" s="9" t="inlineStr">
        <is>
          <t>移動区分</t>
        </is>
      </c>
      <c r="B44" s="16" t="inlineStr">
        <is>
          <t>DISPOSE</t>
        </is>
      </c>
      <c r="C44" s="16" t="inlineStr">
        <is>
          <t>廃棄</t>
        </is>
      </c>
      <c r="D44" s="16" t="inlineStr">
        <is>
          <t>−、理由必須</t>
        </is>
      </c>
    </row>
    <row r="45">
      <c r="A45" s="9" t="inlineStr">
        <is>
          <t>移動区分</t>
        </is>
      </c>
      <c r="B45" s="16" t="inlineStr">
        <is>
          <t>RETURN</t>
        </is>
      </c>
      <c r="C45" s="16" t="inlineStr">
        <is>
          <t>返品戻し</t>
        </is>
      </c>
      <c r="D45" s="16" t="inlineStr">
        <is>
          <t>＋</t>
        </is>
      </c>
    </row>
    <row r="46">
      <c r="A46" s="9" t="inlineStr">
        <is>
          <t>移動区分</t>
        </is>
      </c>
      <c r="B46" s="16" t="inlineStr">
        <is>
          <t>SUPPLIER_RETURN</t>
        </is>
      </c>
      <c r="C46" s="16" t="inlineStr">
        <is>
          <t>仕入先返品</t>
        </is>
      </c>
      <c r="D46" s="16" t="inlineStr">
        <is>
          <t>−、理由必須</t>
        </is>
      </c>
    </row>
    <row r="47">
      <c r="A47" s="9" t="inlineStr">
        <is>
          <t>移動区分</t>
        </is>
      </c>
      <c r="B47" s="16" t="inlineStr">
        <is>
          <t>CANCEL</t>
        </is>
      </c>
      <c r="C47" s="16" t="inlineStr">
        <is>
          <t>取消（赤伝）</t>
        </is>
      </c>
      <c r="D47" s="16" t="inlineStr">
        <is>
          <t>元伝票の逆符号</t>
        </is>
      </c>
    </row>
  </sheetData>
  <autoFilter ref="A3:D47"/>
  <hyperlinks>
    <hyperlink xmlns:r="http://schemas.openxmlformats.org/officeDocument/2006/relationships" ref="D1" r:id="rId1"/>
  </hyperlinks>
  <printOptions gridLines="0"/>
  <pageMargins left="0.75" right="0.75" top="1" bottom="1" header="0.5" footer="0.5"/>
  <pageSetup orientation="landscape" fitToHeight="0" fitToWidth="1"/>
</worksheet>
</file>

<file path=xl/worksheets/sheet19.xml><?xml version="1.0" encoding="utf-8"?>
<worksheet xmlns="http://schemas.openxmlformats.org/spreadsheetml/2006/main">
  <sheetPr>
    <outlinePr summaryBelow="1" summaryRight="1"/>
    <pageSetUpPr fitToPage="1"/>
  </sheetPr>
  <dimension ref="A1:H37"/>
  <sheetViews>
    <sheetView zoomScale="90" workbookViewId="0">
      <pane ySplit="3" topLeftCell="A4" activePane="bottomLeft" state="frozen"/>
      <selection pane="bottomLeft" activeCell="A1" sqref="A1"/>
    </sheetView>
  </sheetViews>
  <sheetFormatPr baseColWidth="8" defaultRowHeight="15"/>
  <cols>
    <col width="9" customWidth="1" min="1" max="1"/>
    <col width="24" customWidth="1" min="2" max="2"/>
    <col width="11" customWidth="1" min="3" max="3"/>
    <col width="11" customWidth="1" min="4" max="4"/>
    <col width="11" customWidth="1" min="5" max="5"/>
    <col width="11" customWidth="1" min="6" max="6"/>
    <col width="11" customWidth="1" min="7" max="7"/>
    <col width="11" customWidth="1" min="8" max="8"/>
  </cols>
  <sheetData>
    <row r="1">
      <c r="A1" s="5" t="inlineStr">
        <is>
          <t>権限マトリクス</t>
        </is>
      </c>
      <c r="H1" s="15" t="inlineStr">
        <is>
          <t>← 表紙へ</t>
        </is>
      </c>
    </row>
    <row r="2">
      <c r="A2" s="17" t="inlineStr">
        <is>
          <t>C＝登録/更新/参照　A＝承認・判定/参照　R＝参照のみ　-＝利用不可</t>
        </is>
      </c>
    </row>
    <row r="3" ht="30" customHeight="1">
      <c r="A3" s="8" t="inlineStr">
        <is>
          <t>機能ID</t>
        </is>
      </c>
      <c r="B3" s="8" t="inlineStr">
        <is>
          <t>機能名</t>
        </is>
      </c>
      <c r="C3" s="8" t="inlineStr">
        <is>
          <t>管理者
ADMIN</t>
        </is>
      </c>
      <c r="D3" s="8" t="inlineStr">
        <is>
          <t>仕入担当
PURCHASE</t>
        </is>
      </c>
      <c r="E3" s="8" t="inlineStr">
        <is>
          <t>倉庫担当
WAREHOUSE</t>
        </is>
      </c>
      <c r="F3" s="8" t="inlineStr">
        <is>
          <t>営業担当
SALES</t>
        </is>
      </c>
      <c r="G3" s="8" t="inlineStr">
        <is>
          <t>品質保証
QA</t>
        </is>
      </c>
      <c r="H3" s="8" t="inlineStr">
        <is>
          <t>閲覧者
VIEWER</t>
        </is>
      </c>
    </row>
    <row r="4">
      <c r="A4" s="9" t="inlineStr">
        <is>
          <t>MST-01</t>
        </is>
      </c>
      <c r="B4" s="16" t="inlineStr">
        <is>
          <t>仕入先管理</t>
        </is>
      </c>
      <c r="C4" s="30" t="inlineStr">
        <is>
          <t>C</t>
        </is>
      </c>
      <c r="D4" s="9" t="inlineStr">
        <is>
          <t>R</t>
        </is>
      </c>
      <c r="E4" s="9" t="inlineStr">
        <is>
          <t>R</t>
        </is>
      </c>
      <c r="F4" s="9" t="inlineStr">
        <is>
          <t>R</t>
        </is>
      </c>
      <c r="G4" s="9" t="inlineStr">
        <is>
          <t>R</t>
        </is>
      </c>
      <c r="H4" s="9" t="inlineStr">
        <is>
          <t>R</t>
        </is>
      </c>
    </row>
    <row r="5">
      <c r="A5" s="9" t="inlineStr">
        <is>
          <t>MST-02</t>
        </is>
      </c>
      <c r="B5" s="16" t="inlineStr">
        <is>
          <t>商品管理</t>
        </is>
      </c>
      <c r="C5" s="30" t="inlineStr">
        <is>
          <t>C</t>
        </is>
      </c>
      <c r="D5" s="30" t="inlineStr">
        <is>
          <t>C</t>
        </is>
      </c>
      <c r="E5" s="9" t="inlineStr">
        <is>
          <t>R</t>
        </is>
      </c>
      <c r="F5" s="9" t="inlineStr">
        <is>
          <t>R</t>
        </is>
      </c>
      <c r="G5" s="9" t="inlineStr">
        <is>
          <t>R</t>
        </is>
      </c>
      <c r="H5" s="9" t="inlineStr">
        <is>
          <t>R</t>
        </is>
      </c>
    </row>
    <row r="6">
      <c r="A6" s="9" t="inlineStr">
        <is>
          <t>MST-03</t>
        </is>
      </c>
      <c r="B6" s="16" t="inlineStr">
        <is>
          <t>顧客管理</t>
        </is>
      </c>
      <c r="C6" s="30" t="inlineStr">
        <is>
          <t>C</t>
        </is>
      </c>
      <c r="D6" s="9" t="inlineStr">
        <is>
          <t>R</t>
        </is>
      </c>
      <c r="E6" s="9" t="inlineStr">
        <is>
          <t>R</t>
        </is>
      </c>
      <c r="F6" s="30" t="inlineStr">
        <is>
          <t>C</t>
        </is>
      </c>
      <c r="G6" s="9" t="inlineStr">
        <is>
          <t>R</t>
        </is>
      </c>
      <c r="H6" s="9" t="inlineStr">
        <is>
          <t>R</t>
        </is>
      </c>
    </row>
    <row r="7">
      <c r="A7" s="9" t="inlineStr">
        <is>
          <t>MST-04</t>
        </is>
      </c>
      <c r="B7" s="16" t="inlineStr">
        <is>
          <t>保管場所管理</t>
        </is>
      </c>
      <c r="C7" s="30" t="inlineStr">
        <is>
          <t>C</t>
        </is>
      </c>
      <c r="D7" s="9" t="inlineStr">
        <is>
          <t>R</t>
        </is>
      </c>
      <c r="E7" s="30" t="inlineStr">
        <is>
          <t>C</t>
        </is>
      </c>
      <c r="F7" s="9" t="inlineStr">
        <is>
          <t>R</t>
        </is>
      </c>
      <c r="G7" s="9" t="inlineStr">
        <is>
          <t>R</t>
        </is>
      </c>
      <c r="H7" s="9" t="inlineStr">
        <is>
          <t>R</t>
        </is>
      </c>
    </row>
    <row r="8">
      <c r="A8" s="9" t="inlineStr">
        <is>
          <t>MST-05</t>
        </is>
      </c>
      <c r="B8" s="16" t="inlineStr">
        <is>
          <t>ユーザー・権限管理</t>
        </is>
      </c>
      <c r="C8" s="30" t="inlineStr">
        <is>
          <t>C</t>
        </is>
      </c>
      <c r="D8" s="31" t="inlineStr">
        <is>
          <t>-</t>
        </is>
      </c>
      <c r="E8" s="31" t="inlineStr">
        <is>
          <t>-</t>
        </is>
      </c>
      <c r="F8" s="31" t="inlineStr">
        <is>
          <t>-</t>
        </is>
      </c>
      <c r="G8" s="31" t="inlineStr">
        <is>
          <t>-</t>
        </is>
      </c>
      <c r="H8" s="31" t="inlineStr">
        <is>
          <t>-</t>
        </is>
      </c>
    </row>
    <row r="9">
      <c r="A9" s="9" t="inlineStr">
        <is>
          <t>MST-06</t>
        </is>
      </c>
      <c r="B9" s="16" t="inlineStr">
        <is>
          <t>販売可否ルール管理</t>
        </is>
      </c>
      <c r="C9" s="30" t="inlineStr">
        <is>
          <t>C</t>
        </is>
      </c>
      <c r="D9" s="9" t="inlineStr">
        <is>
          <t>R</t>
        </is>
      </c>
      <c r="E9" s="9" t="inlineStr">
        <is>
          <t>R</t>
        </is>
      </c>
      <c r="F9" s="9" t="inlineStr">
        <is>
          <t>R</t>
        </is>
      </c>
      <c r="G9" s="30" t="inlineStr">
        <is>
          <t>A</t>
        </is>
      </c>
      <c r="H9" s="31" t="inlineStr">
        <is>
          <t>-</t>
        </is>
      </c>
    </row>
    <row r="10">
      <c r="A10" s="9" t="inlineStr">
        <is>
          <t>PUR-01</t>
        </is>
      </c>
      <c r="B10" s="16" t="inlineStr">
        <is>
          <t>発注登録</t>
        </is>
      </c>
      <c r="C10" s="30" t="inlineStr">
        <is>
          <t>C</t>
        </is>
      </c>
      <c r="D10" s="30" t="inlineStr">
        <is>
          <t>C</t>
        </is>
      </c>
      <c r="E10" s="9" t="inlineStr">
        <is>
          <t>R</t>
        </is>
      </c>
      <c r="F10" s="31" t="inlineStr">
        <is>
          <t>-</t>
        </is>
      </c>
      <c r="G10" s="9" t="inlineStr">
        <is>
          <t>R</t>
        </is>
      </c>
      <c r="H10" s="31" t="inlineStr">
        <is>
          <t>-</t>
        </is>
      </c>
    </row>
    <row r="11">
      <c r="A11" s="9" t="inlineStr">
        <is>
          <t>PUR-02</t>
        </is>
      </c>
      <c r="B11" s="16" t="inlineStr">
        <is>
          <t>発注承認・発注書出力</t>
        </is>
      </c>
      <c r="C11" s="30" t="inlineStr">
        <is>
          <t>A</t>
        </is>
      </c>
      <c r="D11" s="9" t="inlineStr">
        <is>
          <t>R</t>
        </is>
      </c>
      <c r="E11" s="31" t="inlineStr">
        <is>
          <t>-</t>
        </is>
      </c>
      <c r="F11" s="31" t="inlineStr">
        <is>
          <t>-</t>
        </is>
      </c>
      <c r="G11" s="9" t="inlineStr">
        <is>
          <t>R</t>
        </is>
      </c>
      <c r="H11" s="31" t="inlineStr">
        <is>
          <t>-</t>
        </is>
      </c>
    </row>
    <row r="12">
      <c r="A12" s="9" t="inlineStr">
        <is>
          <t>RCV-01</t>
        </is>
      </c>
      <c r="B12" s="16" t="inlineStr">
        <is>
          <t>入荷登録</t>
        </is>
      </c>
      <c r="C12" s="30" t="inlineStr">
        <is>
          <t>C</t>
        </is>
      </c>
      <c r="D12" s="9" t="inlineStr">
        <is>
          <t>R</t>
        </is>
      </c>
      <c r="E12" s="30" t="inlineStr">
        <is>
          <t>C</t>
        </is>
      </c>
      <c r="F12" s="31" t="inlineStr">
        <is>
          <t>-</t>
        </is>
      </c>
      <c r="G12" s="9" t="inlineStr">
        <is>
          <t>R</t>
        </is>
      </c>
      <c r="H12" s="9" t="inlineStr">
        <is>
          <t>R</t>
        </is>
      </c>
    </row>
    <row r="13">
      <c r="A13" s="9" t="inlineStr">
        <is>
          <t>RCV-02</t>
        </is>
      </c>
      <c r="B13" s="16" t="inlineStr">
        <is>
          <t>受入検品</t>
        </is>
      </c>
      <c r="C13" s="9" t="inlineStr">
        <is>
          <t>R</t>
        </is>
      </c>
      <c r="D13" s="9" t="inlineStr">
        <is>
          <t>R</t>
        </is>
      </c>
      <c r="E13" s="9" t="inlineStr">
        <is>
          <t>R</t>
        </is>
      </c>
      <c r="F13" s="31" t="inlineStr">
        <is>
          <t>-</t>
        </is>
      </c>
      <c r="G13" s="30" t="inlineStr">
        <is>
          <t>A</t>
        </is>
      </c>
      <c r="H13" s="31" t="inlineStr">
        <is>
          <t>-</t>
        </is>
      </c>
    </row>
    <row r="14">
      <c r="A14" s="9" t="inlineStr">
        <is>
          <t>LOT-01</t>
        </is>
      </c>
      <c r="B14" s="16" t="inlineStr">
        <is>
          <t>ロット一覧・詳細</t>
        </is>
      </c>
      <c r="C14" s="9" t="inlineStr">
        <is>
          <t>R</t>
        </is>
      </c>
      <c r="D14" s="9" t="inlineStr">
        <is>
          <t>R</t>
        </is>
      </c>
      <c r="E14" s="9" t="inlineStr">
        <is>
          <t>R</t>
        </is>
      </c>
      <c r="F14" s="9" t="inlineStr">
        <is>
          <t>R</t>
        </is>
      </c>
      <c r="G14" s="9" t="inlineStr">
        <is>
          <t>R</t>
        </is>
      </c>
      <c r="H14" s="9" t="inlineStr">
        <is>
          <t>R</t>
        </is>
      </c>
    </row>
    <row r="15">
      <c r="A15" s="9" t="inlineStr">
        <is>
          <t>LOT-02</t>
        </is>
      </c>
      <c r="B15" s="16" t="inlineStr">
        <is>
          <t>ロットステータス変更</t>
        </is>
      </c>
      <c r="C15" s="9" t="inlineStr">
        <is>
          <t>R</t>
        </is>
      </c>
      <c r="D15" s="9" t="inlineStr">
        <is>
          <t>R</t>
        </is>
      </c>
      <c r="E15" s="9" t="inlineStr">
        <is>
          <t>R</t>
        </is>
      </c>
      <c r="F15" s="31" t="inlineStr">
        <is>
          <t>-</t>
        </is>
      </c>
      <c r="G15" s="30" t="inlineStr">
        <is>
          <t>A</t>
        </is>
      </c>
      <c r="H15" s="31" t="inlineStr">
        <is>
          <t>-</t>
        </is>
      </c>
    </row>
    <row r="16">
      <c r="A16" s="9" t="inlineStr">
        <is>
          <t>INV-01</t>
        </is>
      </c>
      <c r="B16" s="16" t="inlineStr">
        <is>
          <t>在庫照会</t>
        </is>
      </c>
      <c r="C16" s="9" t="inlineStr">
        <is>
          <t>R</t>
        </is>
      </c>
      <c r="D16" s="9" t="inlineStr">
        <is>
          <t>R</t>
        </is>
      </c>
      <c r="E16" s="9" t="inlineStr">
        <is>
          <t>R</t>
        </is>
      </c>
      <c r="F16" s="9" t="inlineStr">
        <is>
          <t>R</t>
        </is>
      </c>
      <c r="G16" s="9" t="inlineStr">
        <is>
          <t>R</t>
        </is>
      </c>
      <c r="H16" s="9" t="inlineStr">
        <is>
          <t>R</t>
        </is>
      </c>
    </row>
    <row r="17">
      <c r="A17" s="9" t="inlineStr">
        <is>
          <t>INV-02</t>
        </is>
      </c>
      <c r="B17" s="16" t="inlineStr">
        <is>
          <t>在庫移動（保管場所間）</t>
        </is>
      </c>
      <c r="C17" s="30" t="inlineStr">
        <is>
          <t>C</t>
        </is>
      </c>
      <c r="D17" s="31" t="inlineStr">
        <is>
          <t>-</t>
        </is>
      </c>
      <c r="E17" s="30" t="inlineStr">
        <is>
          <t>C</t>
        </is>
      </c>
      <c r="F17" s="31" t="inlineStr">
        <is>
          <t>-</t>
        </is>
      </c>
      <c r="G17" s="9" t="inlineStr">
        <is>
          <t>R</t>
        </is>
      </c>
      <c r="H17" s="31" t="inlineStr">
        <is>
          <t>-</t>
        </is>
      </c>
    </row>
    <row r="18">
      <c r="A18" s="9" t="inlineStr">
        <is>
          <t>INV-03</t>
        </is>
      </c>
      <c r="B18" s="16" t="inlineStr">
        <is>
          <t>棚卸・在庫調整</t>
        </is>
      </c>
      <c r="C18" s="30" t="inlineStr">
        <is>
          <t>C</t>
        </is>
      </c>
      <c r="D18" s="31" t="inlineStr">
        <is>
          <t>-</t>
        </is>
      </c>
      <c r="E18" s="30" t="inlineStr">
        <is>
          <t>C</t>
        </is>
      </c>
      <c r="F18" s="31" t="inlineStr">
        <is>
          <t>-</t>
        </is>
      </c>
      <c r="G18" s="30" t="inlineStr">
        <is>
          <t>C</t>
        </is>
      </c>
      <c r="H18" s="31" t="inlineStr">
        <is>
          <t>-</t>
        </is>
      </c>
    </row>
    <row r="19">
      <c r="A19" s="9" t="inlineStr">
        <is>
          <t>INV-04</t>
        </is>
      </c>
      <c r="B19" s="16" t="inlineStr">
        <is>
          <t>温度記録</t>
        </is>
      </c>
      <c r="C19" s="30" t="inlineStr">
        <is>
          <t>C</t>
        </is>
      </c>
      <c r="D19" s="31" t="inlineStr">
        <is>
          <t>-</t>
        </is>
      </c>
      <c r="E19" s="30" t="inlineStr">
        <is>
          <t>C</t>
        </is>
      </c>
      <c r="F19" s="31" t="inlineStr">
        <is>
          <t>-</t>
        </is>
      </c>
      <c r="G19" s="30" t="inlineStr">
        <is>
          <t>C</t>
        </is>
      </c>
      <c r="H19" s="9" t="inlineStr">
        <is>
          <t>R</t>
        </is>
      </c>
    </row>
    <row r="20">
      <c r="A20" s="9" t="inlineStr">
        <is>
          <t>INV-05</t>
        </is>
      </c>
      <c r="B20" s="16" t="inlineStr">
        <is>
          <t>期限・在庫アラート</t>
        </is>
      </c>
      <c r="C20" s="9" t="inlineStr">
        <is>
          <t>R</t>
        </is>
      </c>
      <c r="D20" s="9" t="inlineStr">
        <is>
          <t>R</t>
        </is>
      </c>
      <c r="E20" s="9" t="inlineStr">
        <is>
          <t>R</t>
        </is>
      </c>
      <c r="F20" s="9" t="inlineStr">
        <is>
          <t>R</t>
        </is>
      </c>
      <c r="G20" s="9" t="inlineStr">
        <is>
          <t>R</t>
        </is>
      </c>
      <c r="H20" s="9" t="inlineStr">
        <is>
          <t>R</t>
        </is>
      </c>
    </row>
    <row r="21">
      <c r="A21" s="9" t="inlineStr">
        <is>
          <t>SAL-01</t>
        </is>
      </c>
      <c r="B21" s="16" t="inlineStr">
        <is>
          <t>受注登録</t>
        </is>
      </c>
      <c r="C21" s="30" t="inlineStr">
        <is>
          <t>C</t>
        </is>
      </c>
      <c r="D21" s="31" t="inlineStr">
        <is>
          <t>-</t>
        </is>
      </c>
      <c r="E21" s="31" t="inlineStr">
        <is>
          <t>-</t>
        </is>
      </c>
      <c r="F21" s="30" t="inlineStr">
        <is>
          <t>C</t>
        </is>
      </c>
      <c r="G21" s="9" t="inlineStr">
        <is>
          <t>R</t>
        </is>
      </c>
      <c r="H21" s="9" t="inlineStr">
        <is>
          <t>R</t>
        </is>
      </c>
    </row>
    <row r="22">
      <c r="A22" s="9" t="inlineStr">
        <is>
          <t>SHP-01</t>
        </is>
      </c>
      <c r="B22" s="16" t="inlineStr">
        <is>
          <t>ロット引当</t>
        </is>
      </c>
      <c r="C22" s="30" t="inlineStr">
        <is>
          <t>C</t>
        </is>
      </c>
      <c r="D22" s="31" t="inlineStr">
        <is>
          <t>-</t>
        </is>
      </c>
      <c r="E22" s="30" t="inlineStr">
        <is>
          <t>C</t>
        </is>
      </c>
      <c r="F22" s="9" t="inlineStr">
        <is>
          <t>R</t>
        </is>
      </c>
      <c r="G22" s="9" t="inlineStr">
        <is>
          <t>R</t>
        </is>
      </c>
      <c r="H22" s="31" t="inlineStr">
        <is>
          <t>-</t>
        </is>
      </c>
    </row>
    <row r="23">
      <c r="A23" s="9" t="inlineStr">
        <is>
          <t>SHP-02</t>
        </is>
      </c>
      <c r="B23" s="16" t="inlineStr">
        <is>
          <t>出荷確定・取消</t>
        </is>
      </c>
      <c r="C23" s="30" t="inlineStr">
        <is>
          <t>C</t>
        </is>
      </c>
      <c r="D23" s="31" t="inlineStr">
        <is>
          <t>-</t>
        </is>
      </c>
      <c r="E23" s="30" t="inlineStr">
        <is>
          <t>C</t>
        </is>
      </c>
      <c r="F23" s="9" t="inlineStr">
        <is>
          <t>R</t>
        </is>
      </c>
      <c r="G23" s="9" t="inlineStr">
        <is>
          <t>R</t>
        </is>
      </c>
      <c r="H23" s="31" t="inlineStr">
        <is>
          <t>-</t>
        </is>
      </c>
    </row>
    <row r="24">
      <c r="A24" s="9" t="inlineStr">
        <is>
          <t>SHP-03</t>
        </is>
      </c>
      <c r="B24" s="16" t="inlineStr">
        <is>
          <t>納品書出力</t>
        </is>
      </c>
      <c r="C24" s="9" t="inlineStr">
        <is>
          <t>R</t>
        </is>
      </c>
      <c r="D24" s="31" t="inlineStr">
        <is>
          <t>-</t>
        </is>
      </c>
      <c r="E24" s="9" t="inlineStr">
        <is>
          <t>R</t>
        </is>
      </c>
      <c r="F24" s="9" t="inlineStr">
        <is>
          <t>R</t>
        </is>
      </c>
      <c r="G24" s="31" t="inlineStr">
        <is>
          <t>-</t>
        </is>
      </c>
      <c r="H24" s="31" t="inlineStr">
        <is>
          <t>-</t>
        </is>
      </c>
    </row>
    <row r="25">
      <c r="A25" s="9" t="inlineStr">
        <is>
          <t>RET-01</t>
        </is>
      </c>
      <c r="B25" s="16" t="inlineStr">
        <is>
          <t>返品登録</t>
        </is>
      </c>
      <c r="C25" s="30" t="inlineStr">
        <is>
          <t>C</t>
        </is>
      </c>
      <c r="D25" s="31" t="inlineStr">
        <is>
          <t>-</t>
        </is>
      </c>
      <c r="E25" s="30" t="inlineStr">
        <is>
          <t>C</t>
        </is>
      </c>
      <c r="F25" s="9" t="inlineStr">
        <is>
          <t>R</t>
        </is>
      </c>
      <c r="G25" s="30" t="inlineStr">
        <is>
          <t>A</t>
        </is>
      </c>
      <c r="H25" s="31" t="inlineStr">
        <is>
          <t>-</t>
        </is>
      </c>
    </row>
    <row r="26">
      <c r="A26" s="9" t="inlineStr">
        <is>
          <t>TRC-01</t>
        </is>
      </c>
      <c r="B26" s="16" t="inlineStr">
        <is>
          <t>ロット→顧客 追跡</t>
        </is>
      </c>
      <c r="C26" s="9" t="inlineStr">
        <is>
          <t>R</t>
        </is>
      </c>
      <c r="D26" s="9" t="inlineStr">
        <is>
          <t>R</t>
        </is>
      </c>
      <c r="E26" s="9" t="inlineStr">
        <is>
          <t>R</t>
        </is>
      </c>
      <c r="F26" s="9" t="inlineStr">
        <is>
          <t>R</t>
        </is>
      </c>
      <c r="G26" s="9" t="inlineStr">
        <is>
          <t>R</t>
        </is>
      </c>
      <c r="H26" s="9" t="inlineStr">
        <is>
          <t>R</t>
        </is>
      </c>
    </row>
    <row r="27">
      <c r="A27" s="9" t="inlineStr">
        <is>
          <t>TRC-02</t>
        </is>
      </c>
      <c r="B27" s="16" t="inlineStr">
        <is>
          <t>顧客→ロット 追跡</t>
        </is>
      </c>
      <c r="C27" s="9" t="inlineStr">
        <is>
          <t>R</t>
        </is>
      </c>
      <c r="D27" s="9" t="inlineStr">
        <is>
          <t>R</t>
        </is>
      </c>
      <c r="E27" s="9" t="inlineStr">
        <is>
          <t>R</t>
        </is>
      </c>
      <c r="F27" s="9" t="inlineStr">
        <is>
          <t>R</t>
        </is>
      </c>
      <c r="G27" s="9" t="inlineStr">
        <is>
          <t>R</t>
        </is>
      </c>
      <c r="H27" s="9" t="inlineStr">
        <is>
          <t>R</t>
        </is>
      </c>
    </row>
    <row r="28">
      <c r="A28" s="9" t="inlineStr">
        <is>
          <t>RCL-01</t>
        </is>
      </c>
      <c r="B28" s="16" t="inlineStr">
        <is>
          <t>回収案件登録</t>
        </is>
      </c>
      <c r="C28" s="9" t="inlineStr">
        <is>
          <t>R</t>
        </is>
      </c>
      <c r="D28" s="31" t="inlineStr">
        <is>
          <t>-</t>
        </is>
      </c>
      <c r="E28" s="31" t="inlineStr">
        <is>
          <t>-</t>
        </is>
      </c>
      <c r="F28" s="31" t="inlineStr">
        <is>
          <t>-</t>
        </is>
      </c>
      <c r="G28" s="30" t="inlineStr">
        <is>
          <t>C</t>
        </is>
      </c>
      <c r="H28" s="31" t="inlineStr">
        <is>
          <t>-</t>
        </is>
      </c>
    </row>
    <row r="29">
      <c r="A29" s="9" t="inlineStr">
        <is>
          <t>RCL-02</t>
        </is>
      </c>
      <c r="B29" s="16" t="inlineStr">
        <is>
          <t>回収進捗管理</t>
        </is>
      </c>
      <c r="C29" s="9" t="inlineStr">
        <is>
          <t>R</t>
        </is>
      </c>
      <c r="D29" s="31" t="inlineStr">
        <is>
          <t>-</t>
        </is>
      </c>
      <c r="E29" s="31" t="inlineStr">
        <is>
          <t>-</t>
        </is>
      </c>
      <c r="F29" s="30" t="inlineStr">
        <is>
          <t>C</t>
        </is>
      </c>
      <c r="G29" s="30" t="inlineStr">
        <is>
          <t>C</t>
        </is>
      </c>
      <c r="H29" s="9" t="inlineStr">
        <is>
          <t>R</t>
        </is>
      </c>
    </row>
    <row r="30">
      <c r="A30" s="9" t="inlineStr">
        <is>
          <t>RPT-01</t>
        </is>
      </c>
      <c r="B30" s="16" t="inlineStr">
        <is>
          <t>仕入実績表</t>
        </is>
      </c>
      <c r="C30" s="9" t="inlineStr">
        <is>
          <t>R</t>
        </is>
      </c>
      <c r="D30" s="9" t="inlineStr">
        <is>
          <t>R</t>
        </is>
      </c>
      <c r="E30" s="31" t="inlineStr">
        <is>
          <t>-</t>
        </is>
      </c>
      <c r="F30" s="31" t="inlineStr">
        <is>
          <t>-</t>
        </is>
      </c>
      <c r="G30" s="9" t="inlineStr">
        <is>
          <t>R</t>
        </is>
      </c>
      <c r="H30" s="31" t="inlineStr">
        <is>
          <t>-</t>
        </is>
      </c>
    </row>
    <row r="31">
      <c r="A31" s="9" t="inlineStr">
        <is>
          <t>RPT-02</t>
        </is>
      </c>
      <c r="B31" s="16" t="inlineStr">
        <is>
          <t>販売実績表</t>
        </is>
      </c>
      <c r="C31" s="9" t="inlineStr">
        <is>
          <t>R</t>
        </is>
      </c>
      <c r="D31" s="31" t="inlineStr">
        <is>
          <t>-</t>
        </is>
      </c>
      <c r="E31" s="31" t="inlineStr">
        <is>
          <t>-</t>
        </is>
      </c>
      <c r="F31" s="9" t="inlineStr">
        <is>
          <t>R</t>
        </is>
      </c>
      <c r="G31" s="9" t="inlineStr">
        <is>
          <t>R</t>
        </is>
      </c>
      <c r="H31" s="9" t="inlineStr">
        <is>
          <t>R</t>
        </is>
      </c>
    </row>
    <row r="32">
      <c r="A32" s="9" t="inlineStr">
        <is>
          <t>RPT-03</t>
        </is>
      </c>
      <c r="B32" s="16" t="inlineStr">
        <is>
          <t>在庫受払表</t>
        </is>
      </c>
      <c r="C32" s="9" t="inlineStr">
        <is>
          <t>R</t>
        </is>
      </c>
      <c r="D32" s="9" t="inlineStr">
        <is>
          <t>R</t>
        </is>
      </c>
      <c r="E32" s="9" t="inlineStr">
        <is>
          <t>R</t>
        </is>
      </c>
      <c r="F32" s="31" t="inlineStr">
        <is>
          <t>-</t>
        </is>
      </c>
      <c r="G32" s="9" t="inlineStr">
        <is>
          <t>R</t>
        </is>
      </c>
      <c r="H32" s="9" t="inlineStr">
        <is>
          <t>R</t>
        </is>
      </c>
    </row>
    <row r="33">
      <c r="A33" s="9" t="inlineStr">
        <is>
          <t>RPT-04</t>
        </is>
      </c>
      <c r="B33" s="16" t="inlineStr">
        <is>
          <t>トレーサビリティ台帳</t>
        </is>
      </c>
      <c r="C33" s="9" t="inlineStr">
        <is>
          <t>R</t>
        </is>
      </c>
      <c r="D33" s="31" t="inlineStr">
        <is>
          <t>-</t>
        </is>
      </c>
      <c r="E33" s="31" t="inlineStr">
        <is>
          <t>-</t>
        </is>
      </c>
      <c r="F33" s="31" t="inlineStr">
        <is>
          <t>-</t>
        </is>
      </c>
      <c r="G33" s="9" t="inlineStr">
        <is>
          <t>R</t>
        </is>
      </c>
      <c r="H33" s="9" t="inlineStr">
        <is>
          <t>R</t>
        </is>
      </c>
    </row>
    <row r="34">
      <c r="A34" s="9" t="inlineStr">
        <is>
          <t>RPT-05</t>
        </is>
      </c>
      <c r="B34" s="16" t="inlineStr">
        <is>
          <t>会計連携CSV</t>
        </is>
      </c>
      <c r="C34" s="9" t="inlineStr">
        <is>
          <t>R</t>
        </is>
      </c>
      <c r="D34" s="31" t="inlineStr">
        <is>
          <t>-</t>
        </is>
      </c>
      <c r="E34" s="31" t="inlineStr">
        <is>
          <t>-</t>
        </is>
      </c>
      <c r="F34" s="31" t="inlineStr">
        <is>
          <t>-</t>
        </is>
      </c>
      <c r="G34" s="31" t="inlineStr">
        <is>
          <t>-</t>
        </is>
      </c>
      <c r="H34" s="31" t="inlineStr">
        <is>
          <t>-</t>
        </is>
      </c>
    </row>
    <row r="35">
      <c r="A35" s="9" t="inlineStr">
        <is>
          <t>SYS-01</t>
        </is>
      </c>
      <c r="B35" s="16" t="inlineStr">
        <is>
          <t>ログイン・認証</t>
        </is>
      </c>
      <c r="C35" s="30" t="inlineStr">
        <is>
          <t>C</t>
        </is>
      </c>
      <c r="D35" s="30" t="inlineStr">
        <is>
          <t>C</t>
        </is>
      </c>
      <c r="E35" s="30" t="inlineStr">
        <is>
          <t>C</t>
        </is>
      </c>
      <c r="F35" s="30" t="inlineStr">
        <is>
          <t>C</t>
        </is>
      </c>
      <c r="G35" s="30" t="inlineStr">
        <is>
          <t>C</t>
        </is>
      </c>
      <c r="H35" s="30" t="inlineStr">
        <is>
          <t>C</t>
        </is>
      </c>
    </row>
    <row r="36">
      <c r="A36" s="9" t="inlineStr">
        <is>
          <t>SYS-02</t>
        </is>
      </c>
      <c r="B36" s="16" t="inlineStr">
        <is>
          <t>監査ログ</t>
        </is>
      </c>
      <c r="C36" s="9" t="inlineStr">
        <is>
          <t>R</t>
        </is>
      </c>
      <c r="D36" s="31" t="inlineStr">
        <is>
          <t>-</t>
        </is>
      </c>
      <c r="E36" s="31" t="inlineStr">
        <is>
          <t>-</t>
        </is>
      </c>
      <c r="F36" s="31" t="inlineStr">
        <is>
          <t>-</t>
        </is>
      </c>
      <c r="G36" s="9" t="inlineStr">
        <is>
          <t>R</t>
        </is>
      </c>
      <c r="H36" s="31" t="inlineStr">
        <is>
          <t>-</t>
        </is>
      </c>
    </row>
    <row r="37">
      <c r="A37" s="9" t="inlineStr">
        <is>
          <t>SYS-03</t>
        </is>
      </c>
      <c r="B37" s="16" t="inlineStr">
        <is>
          <t>ダッシュボード</t>
        </is>
      </c>
      <c r="C37" s="9" t="inlineStr">
        <is>
          <t>R</t>
        </is>
      </c>
      <c r="D37" s="9" t="inlineStr">
        <is>
          <t>R</t>
        </is>
      </c>
      <c r="E37" s="9" t="inlineStr">
        <is>
          <t>R</t>
        </is>
      </c>
      <c r="F37" s="9" t="inlineStr">
        <is>
          <t>R</t>
        </is>
      </c>
      <c r="G37" s="9" t="inlineStr">
        <is>
          <t>R</t>
        </is>
      </c>
      <c r="H37" s="9" t="inlineStr">
        <is>
          <t>R</t>
        </is>
      </c>
    </row>
  </sheetData>
  <autoFilter ref="A3:H37"/>
  <hyperlinks>
    <hyperlink xmlns:r="http://schemas.openxmlformats.org/officeDocument/2006/relationships" ref="H1" r:id="rId1"/>
  </hyperlinks>
  <printOptions gridLines="0"/>
  <pageMargins left="0.75" right="0.75" top="1" bottom="1" header="0.5" footer="0.5"/>
  <pageSetup orientation="landscape" fitToHeight="0" fitToWidth="1"/>
</worksheet>
</file>

<file path=xl/worksheets/sheet20.xml><?xml version="1.0" encoding="utf-8"?>
<worksheet xmlns="http://schemas.openxmlformats.org/spreadsheetml/2006/main">
  <sheetPr>
    <outlinePr summaryBelow="1" summaryRight="1"/>
    <pageSetUpPr fitToPage="1"/>
  </sheetPr>
  <dimension ref="A1:D38"/>
  <sheetViews>
    <sheetView zoomScale="90" workbookViewId="0">
      <pane ySplit="3" topLeftCell="A4" activePane="bottomLeft" state="frozen"/>
      <selection pane="bottomLeft" activeCell="A1" sqref="A1"/>
    </sheetView>
  </sheetViews>
  <sheetFormatPr baseColWidth="8" defaultRowHeight="15"/>
  <cols>
    <col width="12" customWidth="1" min="1" max="1"/>
    <col width="8" customWidth="1" min="2" max="2"/>
    <col width="80" customWidth="1" min="3" max="3"/>
    <col width="30" customWidth="1" min="4" max="4"/>
  </cols>
  <sheetData>
    <row r="1">
      <c r="A1" s="5" t="inlineStr">
        <is>
          <t>メッセージ一覧</t>
        </is>
      </c>
      <c r="D1" s="15" t="inlineStr">
        <is>
          <t>← 表紙へ</t>
        </is>
      </c>
    </row>
    <row r="2">
      <c r="A2" s="17" t="inlineStr">
        <is>
          <t>{xxx} は実行時に値を埋め込む</t>
        </is>
      </c>
    </row>
    <row r="3">
      <c r="A3" s="8" t="inlineStr">
        <is>
          <t>メッセージID</t>
        </is>
      </c>
      <c r="B3" s="8" t="inlineStr">
        <is>
          <t>種別</t>
        </is>
      </c>
      <c r="C3" s="8" t="inlineStr">
        <is>
          <t>メッセージ</t>
        </is>
      </c>
      <c r="D3" s="8" t="inlineStr">
        <is>
          <t>発生条件</t>
        </is>
      </c>
    </row>
    <row r="4">
      <c r="A4" s="9" t="inlineStr">
        <is>
          <t>MSG-E01</t>
        </is>
      </c>
      <c r="B4" s="9" t="inlineStr">
        <is>
          <t>エラー</t>
        </is>
      </c>
      <c r="C4" s="16" t="inlineStr">
        <is>
          <t>他のユーザーにより更新されたか、処理できない状態です。画面を再読込してください。</t>
        </is>
      </c>
      <c r="D4" s="16" t="inlineStr">
        <is>
          <t>ステータス不一致・楽観ロック競合</t>
        </is>
      </c>
    </row>
    <row r="5">
      <c r="A5" s="9" t="inlineStr">
        <is>
          <t>MSG-E05</t>
        </is>
      </c>
      <c r="B5" s="9" t="inlineStr">
        <is>
          <t>エラー</t>
        </is>
      </c>
      <c r="C5" s="16" t="inlineStr">
        <is>
          <t>仕入先ロット番号「{supplier_lot_no}」は既に使用期限 {expires_on} で登録されています。使用期限を確認してください。</t>
        </is>
      </c>
      <c r="D5" s="16" t="inlineStr">
        <is>
          <t>BR-15 分納時の使用期限不一致</t>
        </is>
      </c>
    </row>
    <row r="6">
      <c r="A6" s="9" t="inlineStr">
        <is>
          <t>MSG-E06</t>
        </is>
      </c>
      <c r="B6" s="9" t="inlineStr">
        <is>
          <t>エラー</t>
        </is>
      </c>
      <c r="C6" s="16" t="inlineStr">
        <is>
          <t>使用期限は入荷日より後の日付を入力してください。</t>
        </is>
      </c>
      <c r="D6" s="16" t="inlineStr">
        <is>
          <t>使用期限 &lt;= 入荷日</t>
        </is>
      </c>
    </row>
    <row r="7">
      <c r="A7" s="9" t="inlineStr">
        <is>
          <t>MSG-E07</t>
        </is>
      </c>
      <c r="B7" s="9" t="inlineStr">
        <is>
          <t>エラー</t>
        </is>
      </c>
      <c r="C7" s="16" t="inlineStr">
        <is>
          <t>保管場所「{location}」には入庫できません（温度区分不一致または用途不一致）。</t>
        </is>
      </c>
      <c r="D7" s="16" t="inlineStr">
        <is>
          <t>BR-06 違反</t>
        </is>
      </c>
    </row>
    <row r="8">
      <c r="A8" s="9" t="inlineStr">
        <is>
          <t>MSG-E08</t>
        </is>
      </c>
      <c r="B8" s="9" t="inlineStr">
        <is>
          <t>エラー</t>
        </is>
      </c>
      <c r="C8" s="16" t="inlineStr">
        <is>
          <t>合格（保留解除）にはCOA（試験成績書）の添付と受入検品の完了が必要です。未検品のロットは『検品待ち』に戻してください。</t>
        </is>
      </c>
      <c r="D8" s="16" t="inlineStr">
        <is>
          <t>BR-08 / BR-17 違反</t>
        </is>
      </c>
    </row>
    <row r="9">
      <c r="A9" s="9" t="inlineStr">
        <is>
          <t>MSG-E09</t>
        </is>
      </c>
      <c r="B9" s="9" t="inlineStr">
        <is>
          <t>エラー</t>
        </is>
      </c>
      <c r="C9" s="16" t="inlineStr">
        <is>
          <t>判定理由を入力してください。</t>
        </is>
      </c>
      <c r="D9" s="16" t="inlineStr">
        <is>
          <t>不合格・保留・保留解除で理由未入力</t>
        </is>
      </c>
    </row>
    <row r="10">
      <c r="A10" s="9" t="inlineStr">
        <is>
          <t>MSG-E10</t>
        </is>
      </c>
      <c r="B10" s="9" t="inlineStr">
        <is>
          <t>エラー</t>
        </is>
      </c>
      <c r="C10" s="16" t="inlineStr">
        <is>
          <t>商品「{product}」（{regulatory_class}）は顧客区分「{customer_type}」に販売できません。</t>
        </is>
      </c>
      <c r="D10" s="16" t="inlineStr">
        <is>
          <t>BR-09 違反</t>
        </is>
      </c>
    </row>
    <row r="11">
      <c r="A11" s="9" t="inlineStr">
        <is>
          <t>MSG-E11</t>
        </is>
      </c>
      <c r="B11" s="9" t="inlineStr">
        <is>
          <t>エラー</t>
        </is>
      </c>
      <c r="C11" s="16" t="inlineStr">
        <is>
          <t>顧客または納品先が無効か、納品先が顧客に属していません。</t>
        </is>
      </c>
      <c r="D11" s="16" t="inlineStr">
        <is>
          <t>顧客・納品先不整合</t>
        </is>
      </c>
    </row>
    <row r="12">
      <c r="A12" s="9" t="inlineStr">
        <is>
          <t>MSG-E12</t>
        </is>
      </c>
      <c r="B12" s="9" t="inlineStr">
        <is>
          <t>エラー</t>
        </is>
      </c>
      <c r="C12" s="16" t="inlineStr">
        <is>
          <t>ロット「{lot_no}」の引当可能数（{available}）を超えています。</t>
        </is>
      </c>
      <c r="D12" s="16" t="inlineStr">
        <is>
          <t>在庫不足・同時更新</t>
        </is>
      </c>
    </row>
    <row r="13">
      <c r="A13" s="9" t="inlineStr">
        <is>
          <t>MSG-E13</t>
        </is>
      </c>
      <c r="B13" s="9" t="inlineStr">
        <is>
          <t>エラー</t>
        </is>
      </c>
      <c r="C13" s="16" t="inlineStr">
        <is>
          <t>ロット「{lot_no}」は現在出荷できません（{status}／残期間{days}日）。引当をやり直してください。</t>
        </is>
      </c>
      <c r="D13" s="16" t="inlineStr">
        <is>
          <t>出荷確定・手動引当時の再検証NG</t>
        </is>
      </c>
    </row>
    <row r="14">
      <c r="A14" s="9" t="inlineStr">
        <is>
          <t>MSG-E14</t>
        </is>
      </c>
      <c r="B14" s="9" t="inlineStr">
        <is>
          <t>エラー</t>
        </is>
      </c>
      <c r="C14" s="16" t="inlineStr">
        <is>
          <t>返品が登録されている出荷は取消できません。</t>
        </is>
      </c>
      <c r="D14" s="16" t="inlineStr">
        <is>
          <t>P-06 返品あり</t>
        </is>
      </c>
    </row>
    <row r="15">
      <c r="A15" s="9" t="inlineStr">
        <is>
          <t>MSG-E15</t>
        </is>
      </c>
      <c r="B15" s="9" t="inlineStr">
        <is>
          <t>エラー</t>
        </is>
      </c>
      <c r="C15" s="16" t="inlineStr">
        <is>
          <t>返品数量が返品可能数（{available}）を超えています。</t>
        </is>
      </c>
      <c r="D15" s="16" t="inlineStr">
        <is>
          <t>BR-12 違反</t>
        </is>
      </c>
    </row>
    <row r="16">
      <c r="A16" s="9" t="inlineStr">
        <is>
          <t>MSG-E16</t>
        </is>
      </c>
      <c r="B16" s="9" t="inlineStr">
        <is>
          <t>エラー</t>
        </is>
      </c>
      <c r="C16" s="16" t="inlineStr">
        <is>
          <t>このロットは在庫に戻せません（ロット状態が合格でない、または回収品）。廃棄を選択してください。</t>
        </is>
      </c>
      <c r="D16" s="16" t="inlineStr">
        <is>
          <t>P-07 RESTOCK不可</t>
        </is>
      </c>
    </row>
    <row r="17">
      <c r="A17" s="9" t="inlineStr">
        <is>
          <t>MSG-E18</t>
        </is>
      </c>
      <c r="B17" s="9" t="inlineStr">
        <is>
          <t>エラー</t>
        </is>
      </c>
      <c r="C17" s="16" t="inlineStr">
        <is>
          <t>調整後の在庫数が引当済数を下回ります。先に引当を解除してください。</t>
        </is>
      </c>
      <c r="D17" s="16" t="inlineStr">
        <is>
          <t>P-10</t>
        </is>
      </c>
    </row>
    <row r="18">
      <c r="A18" s="9" t="inlineStr">
        <is>
          <t>MSG-E19</t>
        </is>
      </c>
      <c r="B18" s="9" t="inlineStr">
        <is>
          <t>エラー</t>
        </is>
      </c>
      <c r="C18" s="16" t="inlineStr">
        <is>
          <t>引当中または出荷済の明細があるため、変更・取消・打切りできません。</t>
        </is>
      </c>
      <c r="D18" s="16" t="inlineStr">
        <is>
          <t>P-03 変更・取消、受注打切り</t>
        </is>
      </c>
    </row>
    <row r="19">
      <c r="A19" s="9" t="inlineStr">
        <is>
          <t>MSG-E20</t>
        </is>
      </c>
      <c r="B19" s="9" t="inlineStr">
        <is>
          <t>エラー</t>
        </is>
      </c>
      <c r="C19" s="16" t="inlineStr">
        <is>
          <t>このロットは出荷・移動・引当が行われているため入荷を取消できません。</t>
        </is>
      </c>
      <c r="D19" s="16" t="inlineStr">
        <is>
          <t>P-12</t>
        </is>
      </c>
    </row>
    <row r="20">
      <c r="A20" s="9" t="inlineStr">
        <is>
          <t>MSG-E21</t>
        </is>
      </c>
      <c r="B20" s="9" t="inlineStr">
        <is>
          <t>エラー</t>
        </is>
      </c>
      <c r="C20" s="16" t="inlineStr">
        <is>
          <t>入荷実績があるため発注を取消できません。残数打切りを使用してください。</t>
        </is>
      </c>
      <c r="D20" s="16" t="inlineStr">
        <is>
          <t>発注取消</t>
        </is>
      </c>
    </row>
    <row r="21">
      <c r="A21" s="9" t="inlineStr">
        <is>
          <t>MSG-E22</t>
        </is>
      </c>
      <c r="B21" s="9" t="inlineStr">
        <is>
          <t>エラー</t>
        </is>
      </c>
      <c r="C21" s="16" t="inlineStr">
        <is>
          <t>入荷日は当日以前、製造日は入荷日以前の日付を入力してください。</t>
        </is>
      </c>
      <c r="D21" s="16" t="inlineStr">
        <is>
          <t>P-01 日付不正</t>
        </is>
      </c>
    </row>
    <row r="22">
      <c r="A22" s="9" t="inlineStr">
        <is>
          <t>MSG-E23</t>
        </is>
      </c>
      <c r="B22" s="9" t="inlineStr">
        <is>
          <t>エラー</t>
        </is>
      </c>
      <c r="C22" s="16" t="inlineStr">
        <is>
          <t>出荷（引当）数量が受注残数（{remaining}）を超えています。</t>
        </is>
      </c>
      <c r="D22" s="16" t="inlineStr">
        <is>
          <t>P-05 / P-13</t>
        </is>
      </c>
    </row>
    <row r="23">
      <c r="A23" s="9" t="inlineStr">
        <is>
          <t>MSG-E24</t>
        </is>
      </c>
      <c r="B23" s="9" t="inlineStr">
        <is>
          <t>エラー</t>
        </is>
      </c>
      <c r="C23" s="16" t="inlineStr">
        <is>
          <t>未完了の回収対象顧客が {count} 件あるため完了できません。</t>
        </is>
      </c>
      <c r="D23" s="16" t="inlineStr">
        <is>
          <t>P-14</t>
        </is>
      </c>
    </row>
    <row r="24">
      <c r="A24" s="9" t="inlineStr">
        <is>
          <t>MSG-E25</t>
        </is>
      </c>
      <c r="B24" s="9" t="inlineStr">
        <is>
          <t>エラー</t>
        </is>
      </c>
      <c r="C24" s="16" t="inlineStr">
        <is>
          <t>ロット「{lot_no}」は {status} のため入荷できません。新しい仕入先ロット番号で登録するか仕入先に確認してください。</t>
        </is>
      </c>
      <c r="D24" s="16" t="inlineStr">
        <is>
          <t>P-01 分納先ロットが REJECTED/RECALLED/EXPIRED</t>
        </is>
      </c>
    </row>
    <row r="25">
      <c r="A25" s="9" t="inlineStr">
        <is>
          <t>MSG-E26</t>
        </is>
      </c>
      <c r="B25" s="9" t="inlineStr">
        <is>
          <t>エラー</t>
        </is>
      </c>
      <c r="C25" s="16" t="inlineStr">
        <is>
          <t>回収中のロットです。回収対象（納品先・ロットが一致し、完了していない回収案件）を選択してください。</t>
        </is>
      </c>
      <c r="D25" s="16" t="inlineStr">
        <is>
          <t>P-07 回収品の指定漏れ・不整合</t>
        </is>
      </c>
    </row>
    <row r="26">
      <c r="A26" s="9" t="inlineStr">
        <is>
          <t>MSG-E27</t>
        </is>
      </c>
      <c r="B26" s="9" t="inlineStr">
        <is>
          <t>エラー</t>
        </is>
      </c>
      <c r="C26" s="16" t="inlineStr">
        <is>
          <t>無効（VOID）のロットは回収対象に指定できません。</t>
        </is>
      </c>
      <c r="D26" s="16" t="inlineStr">
        <is>
          <t>P-08</t>
        </is>
      </c>
    </row>
    <row r="27">
      <c r="A27" s="9" t="inlineStr">
        <is>
          <t>MSG-E28</t>
        </is>
      </c>
      <c r="B27" s="9" t="inlineStr">
        <is>
          <t>エラー</t>
        </is>
      </c>
      <c r="C27" s="16" t="inlineStr">
        <is>
          <t>隔離保管場所の在庫は移動できません。調整・廃棄は QA が出所伝票を指定した減少方向のみ可能です（返品判定・分納受入判定・仕入先返品を使用）。</t>
        </is>
      </c>
      <c r="D27" s="16" t="inlineStr">
        <is>
          <t>P-10</t>
        </is>
      </c>
    </row>
    <row r="28">
      <c r="A28" s="9" t="inlineStr">
        <is>
          <t>MSG-E29</t>
        </is>
      </c>
      <c r="B28" s="9" t="inlineStr">
        <is>
          <t>エラー</t>
        </is>
      </c>
      <c r="C28" s="16" t="inlineStr">
        <is>
          <t>現在のステータス（{status}）からはこの操作を実行できません。</t>
        </is>
      </c>
      <c r="D28" s="16" t="inlineStr">
        <is>
          <t>P-15 / P-17 遷移不可</t>
        </is>
      </c>
    </row>
    <row r="29">
      <c r="A29" s="9" t="inlineStr">
        <is>
          <t>MSG-E30</t>
        </is>
      </c>
      <c r="B29" s="9" t="inlineStr">
        <is>
          <t>エラー</t>
        </is>
      </c>
      <c r="C29" s="16" t="inlineStr">
        <is>
          <t>出所伝票（{ref}）の払出し可能数（{available}）を超えているか、既に判定済です。</t>
        </is>
      </c>
      <c r="D29" s="16" t="inlineStr">
        <is>
          <t>P-00 ステップ7 / P-16 / P-17</t>
        </is>
      </c>
    </row>
    <row r="30">
      <c r="A30" s="9" t="inlineStr">
        <is>
          <t>MSG-E31</t>
        </is>
      </c>
      <c r="B30" s="9" t="inlineStr">
        <is>
          <t>エラー</t>
        </is>
      </c>
      <c r="C30" s="16" t="inlineStr">
        <is>
          <t>変更後の受注は与信限度額を超えます。引当済の出荷があるため、先に引当を解除してから変更してください。</t>
        </is>
      </c>
      <c r="D30" s="16" t="inlineStr">
        <is>
          <t>P-03 与信再判定</t>
        </is>
      </c>
    </row>
    <row r="31">
      <c r="A31" s="9" t="inlineStr">
        <is>
          <t>MSG-E32</t>
        </is>
      </c>
      <c r="B31" s="9" t="inlineStr">
        <is>
          <t>エラー</t>
        </is>
      </c>
      <c r="C31" s="16" t="inlineStr">
        <is>
          <t>未確定の入荷（{receipt_no}）があるため発注を打切りできません。先に確定または破棄してください。</t>
        </is>
      </c>
      <c r="D31" s="16" t="inlineStr">
        <is>
          <t>API-024</t>
        </is>
      </c>
    </row>
    <row r="32">
      <c r="A32" s="9" t="inlineStr">
        <is>
          <t>MSG-W01</t>
        </is>
      </c>
      <c r="B32" s="9" t="inlineStr">
        <is>
          <t>警告</t>
        </is>
      </c>
      <c r="C32" s="16" t="inlineStr">
        <is>
          <t>到着時温度が保管温度区分の許容範囲外です。QAに通知されます。</t>
        </is>
      </c>
      <c r="D32" s="16" t="inlineStr">
        <is>
          <t>入荷時温度逸脱</t>
        </is>
      </c>
    </row>
    <row r="33">
      <c r="A33" s="9" t="inlineStr">
        <is>
          <t>MSG-W02</t>
        </is>
      </c>
      <c r="B33" s="9" t="inlineStr">
        <is>
          <t>警告</t>
        </is>
      </c>
      <c r="C33" s="16" t="inlineStr">
        <is>
          <t>入荷数量が発注残数を超えています。登録してよろしいですか？</t>
        </is>
      </c>
      <c r="D33" s="16" t="inlineStr">
        <is>
          <t>過剰入荷</t>
        </is>
      </c>
    </row>
    <row r="34">
      <c r="A34" s="9" t="inlineStr">
        <is>
          <t>MSG-W03</t>
        </is>
      </c>
      <c r="B34" s="9" t="inlineStr">
        <is>
          <t>警告</t>
        </is>
      </c>
      <c r="C34" s="16" t="inlineStr">
        <is>
          <t>与信限度額を超えます（与信残高{balance}円＋今回{amount}円 ＞ 限度額{limit}円）。管理者の承認が必要です。</t>
        </is>
      </c>
      <c r="D34" s="16" t="inlineStr">
        <is>
          <t>BR-11</t>
        </is>
      </c>
    </row>
    <row r="35">
      <c r="A35" s="9" t="inlineStr">
        <is>
          <t>MSG-W04</t>
        </is>
      </c>
      <c r="B35" s="9" t="inlineStr">
        <is>
          <t>警告</t>
        </is>
      </c>
      <c r="C35" s="16" t="inlineStr">
        <is>
          <t>引当可能な在庫が不足しています（不足数量：{shortage}）。</t>
        </is>
      </c>
      <c r="D35" s="16" t="inlineStr">
        <is>
          <t>P-04 一部引当</t>
        </is>
      </c>
    </row>
    <row r="36">
      <c r="A36" s="9" t="inlineStr">
        <is>
          <t>MSG-W05</t>
        </is>
      </c>
      <c r="B36" s="9" t="inlineStr">
        <is>
          <t>警告</t>
        </is>
      </c>
      <c r="C36" s="16" t="inlineStr">
        <is>
          <t>温度逸脱を検知しました（{location}：{temperature}℃）。該当ロットを保留にしました。</t>
        </is>
      </c>
      <c r="D36" s="16" t="inlineStr">
        <is>
          <t>BR-07</t>
        </is>
      </c>
    </row>
    <row r="37">
      <c r="A37" s="9" t="inlineStr">
        <is>
          <t>MSG-W06</t>
        </is>
      </c>
      <c r="B37" s="9" t="inlineStr">
        <is>
          <t>警告</t>
        </is>
      </c>
      <c r="C37" s="16" t="inlineStr">
        <is>
          <t>このロットには温度逸脱の履歴があります。評価結果を確認の上で判定してください。</t>
        </is>
      </c>
      <c r="D37" s="16" t="inlineStr">
        <is>
          <t>P-02 逸脱履歴あり</t>
        </is>
      </c>
    </row>
    <row r="38">
      <c r="A38" s="9" t="inlineStr">
        <is>
          <t>MSG-W07</t>
        </is>
      </c>
      <c r="B38" s="9" t="inlineStr">
        <is>
          <t>警告</t>
        </is>
      </c>
      <c r="C38" s="16" t="inlineStr">
        <is>
          <t>回収対象ロットに未処分の在庫（{qty}）が残っています。</t>
        </is>
      </c>
      <c r="D38" s="16" t="inlineStr">
        <is>
          <t>P-14</t>
        </is>
      </c>
    </row>
  </sheetData>
  <autoFilter ref="A3:D38"/>
  <hyperlinks>
    <hyperlink xmlns:r="http://schemas.openxmlformats.org/officeDocument/2006/relationships" ref="D1" r:id="rId1"/>
  </hyperlinks>
  <printOptions gridLines="0"/>
  <pageMargins left="0.75" right="0.75" top="1" bottom="1" header="0.5" footer="0.5"/>
  <pageSetup orientation="landscape" fitToHeight="0" fitToWidth="1"/>
</worksheet>
</file>

<file path=xl/worksheets/sheet21.xml><?xml version="1.0" encoding="utf-8"?>
<worksheet xmlns="http://schemas.openxmlformats.org/spreadsheetml/2006/main">
  <sheetPr>
    <outlinePr summaryBelow="1" summaryRight="1"/>
    <pageSetUpPr fitToPage="1"/>
  </sheetPr>
  <dimension ref="A1:F11"/>
  <sheetViews>
    <sheetView zoomScale="90" workbookViewId="0">
      <pane ySplit="3" topLeftCell="A4" activePane="bottomLeft" state="frozen"/>
      <selection pane="bottomLeft" activeCell="A1" sqref="A1"/>
    </sheetView>
  </sheetViews>
  <sheetFormatPr baseColWidth="8" defaultRowHeight="15"/>
  <cols>
    <col width="8" customWidth="1" min="1" max="1"/>
    <col width="20" customWidth="1" min="2" max="2"/>
    <col width="10" customWidth="1" min="3" max="3"/>
    <col width="24" customWidth="1" min="4" max="4"/>
    <col width="60" customWidth="1" min="5" max="5"/>
    <col width="14" customWidth="1" min="6" max="6"/>
  </cols>
  <sheetData>
    <row r="1">
      <c r="A1" s="5" t="inlineStr">
        <is>
          <t>帳票一覧</t>
        </is>
      </c>
      <c r="F1" s="15" t="inlineStr">
        <is>
          <t>← 表紙へ</t>
        </is>
      </c>
    </row>
    <row r="3">
      <c r="A3" s="8" t="inlineStr">
        <is>
          <t>帳票ID</t>
        </is>
      </c>
      <c r="B3" s="8" t="inlineStr">
        <is>
          <t>帳票名</t>
        </is>
      </c>
      <c r="C3" s="8" t="inlineStr">
        <is>
          <t>形式</t>
        </is>
      </c>
      <c r="D3" s="8" t="inlineStr">
        <is>
          <t>抽出条件</t>
        </is>
      </c>
      <c r="E3" s="8" t="inlineStr">
        <is>
          <t>主な出力項目</t>
        </is>
      </c>
      <c r="F3" s="8" t="inlineStr">
        <is>
          <t>関連機能ID</t>
        </is>
      </c>
    </row>
    <row r="4">
      <c r="A4" s="9" t="inlineStr">
        <is>
          <t>RP-01</t>
        </is>
      </c>
      <c r="B4" s="16" t="inlineStr">
        <is>
          <t>発注書</t>
        </is>
      </c>
      <c r="C4" s="9" t="inlineStr">
        <is>
          <t>PDF</t>
        </is>
      </c>
      <c r="D4" s="16" t="inlineStr">
        <is>
          <t>発注番号</t>
        </is>
      </c>
      <c r="E4" s="16" t="inlineStr">
        <is>
          <t>発注番号・仕入先・商品・数量・単価・納期</t>
        </is>
      </c>
      <c r="F4" s="16" t="inlineStr">
        <is>
          <t>PUR-02</t>
        </is>
      </c>
    </row>
    <row r="5">
      <c r="A5" s="9" t="inlineStr">
        <is>
          <t>RP-02</t>
        </is>
      </c>
      <c r="B5" s="16" t="inlineStr">
        <is>
          <t>納品書</t>
        </is>
      </c>
      <c r="C5" s="9" t="inlineStr">
        <is>
          <t>PDF</t>
        </is>
      </c>
      <c r="D5" s="16" t="inlineStr">
        <is>
          <t>出荷番号</t>
        </is>
      </c>
      <c r="E5" s="16" t="inlineStr">
        <is>
          <t>出荷番号・顧客・納品先・商品・ロット番号・使用期限・数量・保管温度</t>
        </is>
      </c>
      <c r="F5" s="16" t="inlineStr">
        <is>
          <t>SHP-03</t>
        </is>
      </c>
    </row>
    <row r="6">
      <c r="A6" s="9" t="inlineStr">
        <is>
          <t>RP-03</t>
        </is>
      </c>
      <c r="B6" s="16" t="inlineStr">
        <is>
          <t>仕入実績表</t>
        </is>
      </c>
      <c r="C6" s="9" t="inlineStr">
        <is>
          <t>画面/CSV</t>
        </is>
      </c>
      <c r="D6" s="16" t="inlineStr">
        <is>
          <t>期間・仕入先・商品</t>
        </is>
      </c>
      <c r="E6" s="16" t="inlineStr">
        <is>
          <t>入荷数量・金額、入荷取消・仕入先返品（マイナス）、純仕入</t>
        </is>
      </c>
      <c r="F6" s="16" t="inlineStr">
        <is>
          <t>RPT-01</t>
        </is>
      </c>
    </row>
    <row r="7">
      <c r="A7" s="9" t="inlineStr">
        <is>
          <t>RP-04</t>
        </is>
      </c>
      <c r="B7" s="16" t="inlineStr">
        <is>
          <t>販売実績表</t>
        </is>
      </c>
      <c r="C7" s="9" t="inlineStr">
        <is>
          <t>画面/CSV</t>
        </is>
      </c>
      <c r="D7" s="16" t="inlineStr">
        <is>
          <t>期間・顧客・商品・営業担当</t>
        </is>
      </c>
      <c r="E7" s="16" t="inlineStr">
        <is>
          <t>数量・売上・原価・粗利・粗利率</t>
        </is>
      </c>
      <c r="F7" s="16" t="inlineStr">
        <is>
          <t>RPT-02</t>
        </is>
      </c>
    </row>
    <row r="8">
      <c r="A8" s="9" t="inlineStr">
        <is>
          <t>RP-05</t>
        </is>
      </c>
      <c r="B8" s="16" t="inlineStr">
        <is>
          <t>在庫受払表</t>
        </is>
      </c>
      <c r="C8" s="9" t="inlineStr">
        <is>
          <t>画面/CSV</t>
        </is>
      </c>
      <c r="D8" s="16" t="inlineStr">
        <is>
          <t>期間・商品・ロット</t>
        </is>
      </c>
      <c r="E8" s="16" t="inlineStr">
        <is>
          <t>期首在庫・入荷・出荷・取消・返品・仕入先返品・移動・調整・廃棄・期末在庫（移動区分別）</t>
        </is>
      </c>
      <c r="F8" s="16" t="inlineStr">
        <is>
          <t>RPT-03</t>
        </is>
      </c>
    </row>
    <row r="9">
      <c r="A9" s="9" t="inlineStr">
        <is>
          <t>RP-06</t>
        </is>
      </c>
      <c r="B9" s="16" t="inlineStr">
        <is>
          <t>トレーサビリティ台帳</t>
        </is>
      </c>
      <c r="C9" s="9" t="inlineStr">
        <is>
          <t>PDF/CSV</t>
        </is>
      </c>
      <c r="D9" s="16" t="inlineStr">
        <is>
          <t>ロット番号 or 顧客</t>
        </is>
      </c>
      <c r="E9" s="16" t="inlineStr">
        <is>
          <t>入荷情報・検品結果・出荷先・出荷日・数量・返品・回収状況</t>
        </is>
      </c>
      <c r="F9" s="16" t="inlineStr">
        <is>
          <t>RPT-04</t>
        </is>
      </c>
    </row>
    <row r="10">
      <c r="A10" s="9" t="inlineStr">
        <is>
          <t>RP-07</t>
        </is>
      </c>
      <c r="B10" s="16" t="inlineStr">
        <is>
          <t>回収対象顧客リスト</t>
        </is>
      </c>
      <c r="C10" s="9" t="inlineStr">
        <is>
          <t>PDF/CSV</t>
        </is>
      </c>
      <c r="D10" s="16" t="inlineStr">
        <is>
          <t>回収番号</t>
        </is>
      </c>
      <c r="E10" s="16" t="inlineStr">
        <is>
          <t>顧客・納品先・担当者・連絡先・ロット・出荷正味数量・連絡状況・回収数量</t>
        </is>
      </c>
      <c r="F10" s="16" t="inlineStr">
        <is>
          <t>RCL-02</t>
        </is>
      </c>
    </row>
    <row r="11">
      <c r="A11" s="9" t="inlineStr">
        <is>
          <t>RP-08</t>
        </is>
      </c>
      <c r="B11" s="16" t="inlineStr">
        <is>
          <t>会計連携CSV</t>
        </is>
      </c>
      <c r="C11" s="9" t="inlineStr">
        <is>
          <t>CSV</t>
        </is>
      </c>
      <c r="D11" s="16" t="inlineStr">
        <is>
          <t>期間・種別（売上/仕入）</t>
        </is>
      </c>
      <c r="E11" s="16" t="inlineStr">
        <is>
          <t>日付・取引先・勘定科目・金額・税区分・伝票番号</t>
        </is>
      </c>
      <c r="F11" s="16" t="inlineStr">
        <is>
          <t>RPT-05</t>
        </is>
      </c>
    </row>
  </sheetData>
  <autoFilter ref="A3:F11"/>
  <hyperlinks>
    <hyperlink xmlns:r="http://schemas.openxmlformats.org/officeDocument/2006/relationships" ref="F1" r:id="rId1"/>
  </hyperlinks>
  <printOptions gridLines="0"/>
  <pageMargins left="0.75" right="0.75" top="1" bottom="1" header="0.5" footer="0.5"/>
  <pageSetup orientation="landscape" fitToHeight="0" fitToWidth="1"/>
</worksheet>
</file>

<file path=xl/worksheets/sheet22.xml><?xml version="1.0" encoding="utf-8"?>
<worksheet xmlns="http://schemas.openxmlformats.org/spreadsheetml/2006/main">
  <sheetPr>
    <outlinePr summaryBelow="1" summaryRight="1"/>
    <pageSetUpPr fitToPage="1"/>
  </sheetPr>
  <dimension ref="A1:E8"/>
  <sheetViews>
    <sheetView zoomScale="90"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70" customWidth="1" min="4" max="4"/>
    <col width="36" customWidth="1" min="5" max="5"/>
  </cols>
  <sheetData>
    <row r="1">
      <c r="A1" s="5" t="inlineStr">
        <is>
          <t>バッチ一覧</t>
        </is>
      </c>
      <c r="E1" s="15" t="inlineStr">
        <is>
          <t>← 表紙へ</t>
        </is>
      </c>
    </row>
    <row r="3">
      <c r="A3" s="8" t="inlineStr">
        <is>
          <t>バッチID</t>
        </is>
      </c>
      <c r="B3" s="8" t="inlineStr">
        <is>
          <t>バッチ名</t>
        </is>
      </c>
      <c r="C3" s="8" t="inlineStr">
        <is>
          <t>実行タイミング</t>
        </is>
      </c>
      <c r="D3" s="8" t="inlineStr">
        <is>
          <t>処理内容</t>
        </is>
      </c>
      <c r="E3" s="8" t="inlineStr">
        <is>
          <t>失敗時対応</t>
        </is>
      </c>
    </row>
    <row r="4">
      <c r="A4" s="9" t="inlineStr">
        <is>
          <t>B-01</t>
        </is>
      </c>
      <c r="B4" s="16" t="inlineStr">
        <is>
          <t>期限切れ判定</t>
        </is>
      </c>
      <c r="C4" s="9" t="inlineStr">
        <is>
          <t>毎日 1:00</t>
        </is>
      </c>
      <c r="D4" s="16" t="inlineStr">
        <is>
          <t>expires_on &lt; 当日 の RELEASED/HOLD ロットを EXPIRED に更新（履歴記録）し、P-11 で引当を解除して影響受注を通知</t>
        </is>
      </c>
      <c r="E4" s="16" t="inlineStr">
        <is>
          <t>管理者へメール。翌日再実行で冪等に処理</t>
        </is>
      </c>
    </row>
    <row r="5">
      <c r="A5" s="9" t="inlineStr">
        <is>
          <t>B-02</t>
        </is>
      </c>
      <c r="B5" s="16" t="inlineStr">
        <is>
          <t>アラート生成</t>
        </is>
      </c>
      <c r="C5" s="9" t="inlineStr">
        <is>
          <t>毎日 1:10</t>
        </is>
      </c>
      <c r="D5" s="16" t="inlineStr">
        <is>
          <t>BR-16 の条件（期限90/30日・発注点・回収未対応7日超）でアラートを生成しメール送信</t>
        </is>
      </c>
      <c r="E5" s="16" t="inlineStr">
        <is>
          <t>同上</t>
        </is>
      </c>
    </row>
    <row r="6">
      <c r="A6" s="9" t="inlineStr">
        <is>
          <t>B-03</t>
        </is>
      </c>
      <c r="B6" s="16" t="inlineStr">
        <is>
          <t>在庫・引当整合性チェック</t>
        </is>
      </c>
      <c r="C6" s="9" t="inlineStr">
        <is>
          <t>毎日 1:30</t>
        </is>
      </c>
      <c r="D6" s="16" t="inlineStr">
        <is>
          <t>SQL-04・SQL-05 を実行し不一致があれば管理者へ通知（自動補正はしない）</t>
        </is>
      </c>
      <c r="E6" s="16" t="inlineStr">
        <is>
          <t>不一致内容を監査ログに記録</t>
        </is>
      </c>
    </row>
    <row r="7">
      <c r="A7" s="9" t="inlineStr">
        <is>
          <t>B-04</t>
        </is>
      </c>
      <c r="B7" s="16" t="inlineStr">
        <is>
          <t>温度CSV取込</t>
        </is>
      </c>
      <c r="C7" s="9" t="inlineStr">
        <is>
          <t>毎時 0分</t>
        </is>
      </c>
      <c r="D7" s="16" t="inlineStr">
        <is>
          <t>所定フォルダの温度ロガーCSVを取込み P-09 を実行（測定日時が過去でも P-09 ステップ2〜4で遡及判定）</t>
        </is>
      </c>
      <c r="E7" s="16" t="inlineStr">
        <is>
          <t>取込エラー行を管理者へ通知</t>
        </is>
      </c>
    </row>
    <row r="8">
      <c r="A8" s="9" t="inlineStr">
        <is>
          <t>B-05</t>
        </is>
      </c>
      <c r="B8" s="16" t="inlineStr">
        <is>
          <t>バックアップ確認</t>
        </is>
      </c>
      <c r="C8" s="9" t="inlineStr">
        <is>
          <t>毎日 6:00</t>
        </is>
      </c>
      <c r="D8" s="16" t="inlineStr">
        <is>
          <t>前日バックアップの成否を確認</t>
        </is>
      </c>
      <c r="E8" s="16" t="inlineStr">
        <is>
          <t>失敗時は管理者へ通知</t>
        </is>
      </c>
    </row>
  </sheetData>
  <autoFilter ref="A3:E8"/>
  <hyperlinks>
    <hyperlink xmlns:r="http://schemas.openxmlformats.org/officeDocument/2006/relationships" ref="E1" r:id="rId1"/>
  </hyperlinks>
  <printOptions gridLines="0"/>
  <pageMargins left="0.75" right="0.75" top="1" bottom="1" header="0.5" footer="0.5"/>
  <pageSetup orientation="landscape" fitToHeight="0" fitToWidth="1"/>
</worksheet>
</file>

<file path=xl/worksheets/sheet23.xml><?xml version="1.0" encoding="utf-8"?>
<worksheet xmlns="http://schemas.openxmlformats.org/spreadsheetml/2006/main">
  <sheetPr>
    <outlinePr summaryBelow="1" summaryRight="1"/>
    <pageSetUpPr fitToPage="1"/>
  </sheetPr>
  <dimension ref="A1:C21"/>
  <sheetViews>
    <sheetView zoomScale="90" workbookViewId="0">
      <pane ySplit="3" topLeftCell="A4" activePane="bottomLeft" state="frozen"/>
      <selection pane="bottomLeft" activeCell="A1" sqref="A1"/>
    </sheetView>
  </sheetViews>
  <sheetFormatPr baseColWidth="8" defaultRowHeight="15"/>
  <cols>
    <col width="12" customWidth="1" min="1" max="1"/>
    <col width="20" customWidth="1" min="2" max="2"/>
    <col width="100" customWidth="1" min="3" max="3"/>
  </cols>
  <sheetData>
    <row r="1">
      <c r="A1" s="5" t="inlineStr">
        <is>
          <t>非機能要件</t>
        </is>
      </c>
      <c r="C1" s="15" t="inlineStr">
        <is>
          <t>← 表紙へ</t>
        </is>
      </c>
    </row>
    <row r="3">
      <c r="A3" s="8" t="inlineStr">
        <is>
          <t>区分</t>
        </is>
      </c>
      <c r="B3" s="8" t="inlineStr">
        <is>
          <t>項目</t>
        </is>
      </c>
      <c r="C3" s="8" t="inlineStr">
        <is>
          <t>要件</t>
        </is>
      </c>
    </row>
    <row r="4">
      <c r="A4" s="9" t="inlineStr">
        <is>
          <t>性能</t>
        </is>
      </c>
      <c r="B4" s="16" t="inlineStr">
        <is>
          <t>画面応答</t>
        </is>
      </c>
      <c r="C4" s="16" t="inlineStr">
        <is>
          <t>通常の画面表示・検索は3秒以内（データ量：想定規模の5年分）</t>
        </is>
      </c>
    </row>
    <row r="5">
      <c r="A5" s="9" t="inlineStr">
        <is>
          <t>性能</t>
        </is>
      </c>
      <c r="B5" s="16" t="inlineStr">
        <is>
          <t>トレース検索</t>
        </is>
      </c>
      <c r="C5" s="16" t="inlineStr">
        <is>
          <t>ロット→顧客／顧客→ロットの追跡結果を2秒以内に表示</t>
        </is>
      </c>
    </row>
    <row r="6">
      <c r="A6" s="9" t="inlineStr">
        <is>
          <t>可用性</t>
        </is>
      </c>
      <c r="B6" s="16" t="inlineStr">
        <is>
          <t>稼働時間</t>
        </is>
      </c>
      <c r="C6" s="16" t="inlineStr">
        <is>
          <t>平日 8:00〜20:00 の稼働率 99.5%以上。計画停止は事前通知</t>
        </is>
      </c>
    </row>
    <row r="7">
      <c r="A7" s="9" t="inlineStr">
        <is>
          <t>データ保全</t>
        </is>
      </c>
      <c r="B7" s="16" t="inlineStr">
        <is>
          <t>バックアップ</t>
        </is>
      </c>
      <c r="C7" s="16" t="inlineStr">
        <is>
          <t>DBは日次フルバックアップ＋PITR（7日）。バックアップは別リージョンへ保管</t>
        </is>
      </c>
    </row>
    <row r="8">
      <c r="A8" s="9" t="inlineStr">
        <is>
          <t>データ保全</t>
        </is>
      </c>
      <c r="B8" s="16" t="inlineStr">
        <is>
          <t>保存期間</t>
        </is>
      </c>
      <c r="C8" s="16" t="inlineStr">
        <is>
          <t>トレーサビリティ関連データ（ロット・入出荷・回収・監査ログ）は最低10年保存。法令・契約要件を確認の上確定</t>
        </is>
      </c>
    </row>
    <row r="9">
      <c r="A9" s="9" t="inlineStr">
        <is>
          <t>セキュリティ</t>
        </is>
      </c>
      <c r="B9" s="16" t="inlineStr">
        <is>
          <t>認証</t>
        </is>
      </c>
      <c r="C9" s="16" t="inlineStr">
        <is>
          <t>パスワード12文字以上＋2要素認証。5回失敗でロック。セッション30分無操作でタイムアウト</t>
        </is>
      </c>
    </row>
    <row r="10">
      <c r="A10" s="9" t="inlineStr">
        <is>
          <t>セキュリティ</t>
        </is>
      </c>
      <c r="B10" s="16" t="inlineStr">
        <is>
          <t>認可</t>
        </is>
      </c>
      <c r="C10" s="16" t="inlineStr">
        <is>
          <t>ロールベースアクセス制御（権限マトリクス 参照）。APIでもサーバー側で権限検証</t>
        </is>
      </c>
    </row>
    <row r="11">
      <c r="A11" s="9" t="inlineStr">
        <is>
          <t>セキュリティ</t>
        </is>
      </c>
      <c r="B11" s="16" t="inlineStr">
        <is>
          <t>通信・保存</t>
        </is>
      </c>
      <c r="C11" s="16" t="inlineStr">
        <is>
          <t>通信はTLS1.2以上。DB・ファイルストレージは保存時暗号化</t>
        </is>
      </c>
    </row>
    <row r="12">
      <c r="A12" s="9" t="inlineStr">
        <is>
          <t>セキュリティ</t>
        </is>
      </c>
      <c r="B12" s="16" t="inlineStr">
        <is>
          <t>個人情報</t>
        </is>
      </c>
      <c r="C12" s="16" t="inlineStr">
        <is>
          <t>顧客担当者の氏名・連絡先は個人情報として扱い、出力操作は監査ログに記録</t>
        </is>
      </c>
    </row>
    <row r="13">
      <c r="A13" s="9" t="inlineStr">
        <is>
          <t>監査性</t>
        </is>
      </c>
      <c r="B13" s="16" t="inlineStr">
        <is>
          <t>監査ログ</t>
        </is>
      </c>
      <c r="C13" s="16" t="inlineStr">
        <is>
          <t>登録・更新・取消・ステータス変更・CSV/PDF出力・ログインを記録。ログは追記のみで改変不可</t>
        </is>
      </c>
    </row>
    <row r="14">
      <c r="A14" s="9" t="inlineStr">
        <is>
          <t>監査性</t>
        </is>
      </c>
      <c r="B14" s="16" t="inlineStr">
        <is>
          <t>電子記録</t>
        </is>
      </c>
      <c r="C14" s="16" t="inlineStr">
        <is>
          <t>確定済伝票の変更履歴（誰が・いつ・何を）を保持（ER/ES指針等の要否は課題として確認）</t>
        </is>
      </c>
    </row>
    <row r="15">
      <c r="A15" s="9" t="inlineStr">
        <is>
          <t>運用</t>
        </is>
      </c>
      <c r="B15" s="16" t="inlineStr">
        <is>
          <t>日次バッチ</t>
        </is>
      </c>
      <c r="C15" s="16" t="inlineStr">
        <is>
          <t>毎日 1:00 に期限切れ判定・アラート生成・在庫/引当整合性チェックを実行（バッチ一覧 参照）</t>
        </is>
      </c>
    </row>
    <row r="16">
      <c r="A16" s="9" t="inlineStr">
        <is>
          <t>データ</t>
        </is>
      </c>
      <c r="B16" s="16" t="inlineStr">
        <is>
          <t>日時</t>
        </is>
      </c>
      <c r="C16" s="16" t="inlineStr">
        <is>
          <t>日時は全て TIMESTAMPTZ（UTC保存・画面はJST表示）</t>
        </is>
      </c>
    </row>
    <row r="17">
      <c r="A17" s="9" t="inlineStr">
        <is>
          <t>同時実行</t>
        </is>
      </c>
      <c r="B17" s="16" t="inlineStr">
        <is>
          <t>排他制御</t>
        </is>
      </c>
      <c r="C17" s="16" t="inlineStr">
        <is>
          <t>画面編集は楽観ロック（version）、在庫・ロット・出荷の確定処理は行ロック（処理詳細 参照）。ロック順序は ロット→在庫→伝票 に統一しデッドロックを防ぐ（処理詳細 P-00）</t>
        </is>
      </c>
    </row>
    <row r="18">
      <c r="A18" s="9" t="inlineStr">
        <is>
          <t>運用</t>
        </is>
      </c>
      <c r="B18" s="16" t="inlineStr">
        <is>
          <t>マスタ移行</t>
        </is>
      </c>
      <c r="C18" s="16" t="inlineStr">
        <is>
          <t>初期データ（仕入先・商品・顧客・現在庫ロット）はCSVテンプレートで一括取込。移行ロットは使用期限・初回入荷日・原価単価・ステータスを必須とし、RECEIPT（参照伝票種別=migration）の移動履歴を生成。初期管理者は created_by/updated_by が自己参照となるため id=1 を明示して最初に投入する。バッチ・自動処理用のシステムユーザー（id=2, role=ADMIN, ログイン不可）も同時に投入し、created_by/updated_by に使用する</t>
        </is>
      </c>
    </row>
    <row r="19">
      <c r="A19" s="9" t="inlineStr">
        <is>
          <t>UI</t>
        </is>
      </c>
      <c r="B19" s="16" t="inlineStr">
        <is>
          <t>対応端末</t>
        </is>
      </c>
      <c r="C19" s="16" t="inlineStr">
        <is>
          <t>PCブラウザ（Chrome/Edge最新）。在庫照会・入出荷はタブレット表示に対応</t>
        </is>
      </c>
    </row>
    <row r="20">
      <c r="A20" s="9" t="inlineStr">
        <is>
          <t>UI</t>
        </is>
      </c>
      <c r="B20" s="16" t="inlineStr">
        <is>
          <t>バーコード</t>
        </is>
      </c>
      <c r="C20" s="16" t="inlineStr">
        <is>
          <t>（将来）ロットラベルのバーコード/QR印字・読取に対応。ロット番号は英数字とハイフンのみ・最大30文字（Code128/QRで表現可能）とする</t>
        </is>
      </c>
    </row>
    <row r="21">
      <c r="A21" s="9" t="inlineStr">
        <is>
          <t>拡張性</t>
        </is>
      </c>
      <c r="B21" s="16" t="inlineStr">
        <is>
          <t>簡易版（段階導入）</t>
        </is>
      </c>
      <c r="C21" s="16" t="inlineStr">
        <is>
          <t>第1段階として Google スプレッドシート＋AppSheet で本設計のテーブル構造をシート化して運用し、件数・利用者増加時にWebアプリへ移行可能とする（テーブル・コード値は共通）</t>
        </is>
      </c>
    </row>
  </sheetData>
  <autoFilter ref="A3:C21"/>
  <hyperlinks>
    <hyperlink xmlns:r="http://schemas.openxmlformats.org/officeDocument/2006/relationships" ref="C1" r:id="rId1"/>
  </hyperlinks>
  <printOptions gridLines="0"/>
  <pageMargins left="0.75" right="0.75" top="1" bottom="1" header="0.5" footer="0.5"/>
  <pageSetup orientation="landscape" fitToHeight="0" fitToWidth="1"/>
</worksheet>
</file>

<file path=xl/worksheets/sheet24.xml><?xml version="1.0" encoding="utf-8"?>
<worksheet xmlns="http://schemas.openxmlformats.org/spreadsheetml/2006/main">
  <sheetPr>
    <outlinePr summaryBelow="1" summaryRight="1"/>
    <pageSetUpPr fitToPage="1"/>
  </sheetPr>
  <dimension ref="A1:G13"/>
  <sheetViews>
    <sheetView zoomScale="90" workbookViewId="0">
      <pane ySplit="3" topLeftCell="A4" activePane="bottomLeft" state="frozen"/>
      <selection pane="bottomLeft" activeCell="A1" sqref="A1"/>
    </sheetView>
  </sheetViews>
  <sheetFormatPr baseColWidth="8" defaultRowHeight="15"/>
  <cols>
    <col width="7" customWidth="1" min="1" max="1"/>
    <col width="9" customWidth="1" min="2" max="2"/>
    <col width="60" customWidth="1" min="3" max="3"/>
    <col width="40" customWidth="1" min="4" max="4"/>
    <col width="16" customWidth="1" min="5" max="5"/>
    <col width="10" customWidth="1" min="6" max="6"/>
    <col width="40" customWidth="1" min="7" max="7"/>
  </cols>
  <sheetData>
    <row r="1">
      <c r="A1" s="5" t="inlineStr">
        <is>
          <t>課題一覧</t>
        </is>
      </c>
      <c r="G1" s="15" t="inlineStr">
        <is>
          <t>← 表紙へ</t>
        </is>
      </c>
    </row>
    <row r="2">
      <c r="A2" s="17" t="inlineStr">
        <is>
          <t>黄色セル（ステータス・回答欄）に記入してください。例：ステータス=回答済、回答=「化粧品原料のみ取扱い」</t>
        </is>
      </c>
    </row>
    <row r="3">
      <c r="A3" s="8" t="inlineStr">
        <is>
          <t>No</t>
        </is>
      </c>
      <c r="B3" s="8" t="inlineStr">
        <is>
          <t>区分</t>
        </is>
      </c>
      <c r="C3" s="8" t="inlineStr">
        <is>
          <t>内容</t>
        </is>
      </c>
      <c r="D3" s="8" t="inlineStr">
        <is>
          <t>対応方針</t>
        </is>
      </c>
      <c r="E3" s="8" t="inlineStr">
        <is>
          <t>期限</t>
        </is>
      </c>
      <c r="F3" s="8" t="inlineStr">
        <is>
          <t>ステータス</t>
        </is>
      </c>
      <c r="G3" s="8" t="inlineStr">
        <is>
          <t>回答・決定事項（記入欄）</t>
        </is>
      </c>
    </row>
    <row r="4">
      <c r="A4" s="9" t="inlineStr">
        <is>
          <t>Q-01</t>
        </is>
      </c>
      <c r="B4" s="9" t="inlineStr">
        <is>
          <t>法規制</t>
        </is>
      </c>
      <c r="C4" s="16" t="inlineStr">
        <is>
          <t>取り扱うエクソソーム製品の法的区分（化粧品原料・研究用・医療用途等）と、販売可能な顧客区分の確定。再生医療等安全性確保法の改正等による規制対象化の動向確認。</t>
        </is>
      </c>
      <c r="D4" s="16" t="inlineStr">
        <is>
          <t>薬事専門家・行政書士へ確認し、販売可否ルール初期値を確定</t>
        </is>
      </c>
      <c r="E4" s="16" t="inlineStr">
        <is>
          <t>要件定義完了まで</t>
        </is>
      </c>
      <c r="F4" s="32" t="inlineStr">
        <is>
          <t>未対応</t>
        </is>
      </c>
      <c r="G4" s="33" t="inlineStr"/>
    </row>
    <row r="5">
      <c r="A5" s="9" t="inlineStr">
        <is>
          <t>Q-02</t>
        </is>
      </c>
      <c r="B5" s="9" t="inlineStr">
        <is>
          <t>法規制</t>
        </is>
      </c>
      <c r="C5" s="16" t="inlineStr">
        <is>
          <t>トレーサビリティ記録の法定保存期間の確認。</t>
        </is>
      </c>
      <c r="D5" s="16" t="inlineStr">
        <is>
          <t>確認結果で非機能要件『保存期間』を確定</t>
        </is>
      </c>
      <c r="E5" s="16" t="inlineStr">
        <is>
          <t>要件定義完了まで</t>
        </is>
      </c>
      <c r="F5" s="32" t="inlineStr">
        <is>
          <t>未対応</t>
        </is>
      </c>
      <c r="G5" s="33" t="inlineStr"/>
    </row>
    <row r="6">
      <c r="A6" s="9" t="inlineStr">
        <is>
          <t>Q-03</t>
        </is>
      </c>
      <c r="B6" s="9" t="inlineStr">
        <is>
          <t>業務</t>
        </is>
      </c>
      <c r="C6" s="16" t="inlineStr">
        <is>
          <t>代理店経由で販売した場合、最終販売先（代理店の顧客）まで管理するか。</t>
        </is>
      </c>
      <c r="D6" s="16" t="inlineStr">
        <is>
          <t>代理店に販売報告をもらいCSV取込する案を検討</t>
        </is>
      </c>
      <c r="E6" s="16" t="inlineStr">
        <is>
          <t>基本設計完了まで</t>
        </is>
      </c>
      <c r="F6" s="32" t="inlineStr">
        <is>
          <t>未対応</t>
        </is>
      </c>
      <c r="G6" s="33" t="inlineStr"/>
    </row>
    <row r="7">
      <c r="A7" s="9" t="inlineStr">
        <is>
          <t>Q-04</t>
        </is>
      </c>
      <c r="B7" s="9" t="inlineStr">
        <is>
          <t>業務</t>
        </is>
      </c>
      <c r="C7" s="16" t="inlineStr">
        <is>
          <t>1ロットを小分け（リパック）して販売するケースの有無。</t>
        </is>
      </c>
      <c r="D7" s="16" t="inlineStr">
        <is>
          <t>有りの場合は親子ロット（t_lot に parent_lot_id）を追加</t>
        </is>
      </c>
      <c r="E7" s="16" t="inlineStr">
        <is>
          <t>基本設計完了まで</t>
        </is>
      </c>
      <c r="F7" s="32" t="inlineStr">
        <is>
          <t>未対応</t>
        </is>
      </c>
      <c r="G7" s="33" t="inlineStr"/>
    </row>
    <row r="8">
      <c r="A8" s="9" t="inlineStr">
        <is>
          <t>Q-05</t>
        </is>
      </c>
      <c r="B8" s="9" t="inlineStr">
        <is>
          <t>業務</t>
        </is>
      </c>
      <c r="C8" s="16" t="inlineStr">
        <is>
          <t>サンプル（無償出荷）もトレース対象とするか。</t>
        </is>
      </c>
      <c r="D8" s="16" t="inlineStr">
        <is>
          <t>対象とする前提で、受注に『無償』区分を追加する案</t>
        </is>
      </c>
      <c r="E8" s="16" t="inlineStr">
        <is>
          <t>基本設計完了まで</t>
        </is>
      </c>
      <c r="F8" s="32" t="inlineStr">
        <is>
          <t>未対応</t>
        </is>
      </c>
      <c r="G8" s="33" t="inlineStr"/>
    </row>
    <row r="9">
      <c r="A9" s="9" t="inlineStr">
        <is>
          <t>Q-06</t>
        </is>
      </c>
      <c r="B9" s="9" t="inlineStr">
        <is>
          <t>システム</t>
        </is>
      </c>
      <c r="C9" s="16" t="inlineStr">
        <is>
          <t>温度ロガー機器からの自動取込（API/CSV）の要否と機種。</t>
        </is>
      </c>
      <c r="D9" s="16" t="inlineStr">
        <is>
          <t>当面はCSV取込で対応</t>
        </is>
      </c>
      <c r="E9" s="16" t="inlineStr">
        <is>
          <t>詳細設計まで</t>
        </is>
      </c>
      <c r="F9" s="32" t="inlineStr">
        <is>
          <t>未対応</t>
        </is>
      </c>
      <c r="G9" s="33" t="inlineStr"/>
    </row>
    <row r="10">
      <c r="A10" s="9" t="inlineStr">
        <is>
          <t>Q-07</t>
        </is>
      </c>
      <c r="B10" s="9" t="inlineStr">
        <is>
          <t>システム</t>
        </is>
      </c>
      <c r="C10" s="16" t="inlineStr">
        <is>
          <t>会計ソフト（freee/マネーフォワード/弥生 等）の機種と取込形式。</t>
        </is>
      </c>
      <c r="D10" s="16" t="inlineStr">
        <is>
          <t>機種確定後にRP-08の項目確定</t>
        </is>
      </c>
      <c r="E10" s="16" t="inlineStr">
        <is>
          <t>詳細設計まで</t>
        </is>
      </c>
      <c r="F10" s="32" t="inlineStr">
        <is>
          <t>未対応</t>
        </is>
      </c>
      <c r="G10" s="33" t="inlineStr"/>
    </row>
    <row r="11">
      <c r="A11" s="9" t="inlineStr">
        <is>
          <t>Q-09</t>
        </is>
      </c>
      <c r="B11" s="9" t="inlineStr">
        <is>
          <t>業務</t>
        </is>
      </c>
      <c r="C11" s="16" t="inlineStr">
        <is>
          <t>与信残高の算出方法（入金情報を会計ソフトから取込むか）。</t>
        </is>
      </c>
      <c r="D11" s="16" t="inlineStr">
        <is>
          <t>当面は BR-11 の簡易算出。会計連携で入金データ取込を検討</t>
        </is>
      </c>
      <c r="E11" s="16" t="inlineStr">
        <is>
          <t>基本設計完了まで</t>
        </is>
      </c>
      <c r="F11" s="32" t="inlineStr">
        <is>
          <t>未対応</t>
        </is>
      </c>
      <c r="G11" s="33" t="inlineStr"/>
    </row>
    <row r="12">
      <c r="A12" s="9" t="inlineStr">
        <is>
          <t>Q-10</t>
        </is>
      </c>
      <c r="B12" s="9" t="inlineStr">
        <is>
          <t>品質</t>
        </is>
      </c>
      <c r="C12" s="16" t="inlineStr">
        <is>
          <t>温度逸脱時の保留単位。現設計はロット単位（他保管場所の同ロットも停止＝安全側）。保管場所単位にするか。</t>
        </is>
      </c>
      <c r="D12" s="16" t="inlineStr">
        <is>
          <t>QAと協議。保管場所単位にする場合は t_inventory に保留フラグを追加</t>
        </is>
      </c>
      <c r="E12" s="16" t="inlineStr">
        <is>
          <t>基本設計完了まで</t>
        </is>
      </c>
      <c r="F12" s="32" t="inlineStr">
        <is>
          <t>未対応</t>
        </is>
      </c>
      <c r="G12" s="33" t="inlineStr"/>
    </row>
    <row r="13">
      <c r="A13" s="9" t="inlineStr">
        <is>
          <t>Q-08</t>
        </is>
      </c>
      <c r="B13" s="9" t="inlineStr">
        <is>
          <t>システム</t>
        </is>
      </c>
      <c r="C13" s="16" t="inlineStr">
        <is>
          <t>第1段階をスプレッドシート＋AppSheet で始めるか、Webアプリで始めるか。</t>
        </is>
      </c>
      <c r="D13" s="16" t="inlineStr">
        <is>
          <t>件数・予算・開始時期で判断</t>
        </is>
      </c>
      <c r="E13" s="16" t="inlineStr">
        <is>
          <t>要件定義完了まで</t>
        </is>
      </c>
      <c r="F13" s="32" t="inlineStr">
        <is>
          <t>未対応</t>
        </is>
      </c>
      <c r="G13" s="33" t="inlineStr"/>
    </row>
  </sheetData>
  <autoFilter ref="A3:G13"/>
  <dataValidations count="1">
    <dataValidation sqref="F4 F5 F6 F7 F8 F9 F10 F11 F12 F13" showDropDown="0" showInputMessage="0" showErrorMessage="0" allowBlank="0" type="list">
      <formula1>"未対応,確認中,回答済,クローズ"</formula1>
    </dataValidation>
  </dataValidations>
  <hyperlinks>
    <hyperlink xmlns:r="http://schemas.openxmlformats.org/officeDocument/2006/relationships" ref="G1" r:id="rId1"/>
  </hyperlinks>
  <printOptions gridLines="0"/>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2026-10-05T05:09:50Z</dcterms:created>
  <dcterms:modified xsi:type="dcterms:W3CDTF">2026-10-05T05:09:51Z</dcterms:modified>
</cp:coreProperties>
</file>